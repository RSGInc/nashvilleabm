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763" firstSheet="0" activeTab="4" autoFilterDateGrouping="1"/>
  </bookViews>
  <sheets>
    <sheet name="BoardingByRoute_All" sheetId="1" state="visible" r:id="rId1"/>
    <sheet name="PrilimTable" sheetId="2" state="visible" r:id="rId2"/>
    <sheet name="Aggregated_Transit_Final_V2" sheetId="3" state="visible" r:id="rId3"/>
    <sheet name="TrnStat.asc" sheetId="4" state="visible" r:id="rId4"/>
    <sheet name="Obs_Ridership" sheetId="5" state="visible" r:id="rId5"/>
    <sheet name="BoardingByRoute_ABM" sheetId="6" state="visible" r:id="rId6"/>
    <sheet name="OBS_RteName" sheetId="7" state="visible" r:id="rId7"/>
    <sheet name="ABM_RteName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"/>
    <numFmt numFmtId="166" formatCode="0.0%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B050"/>
      <sz val="11"/>
      <scheme val="minor"/>
    </font>
    <font>
      <name val="Aptos Narrow"/>
      <family val="2"/>
      <color indexed="8"/>
      <sz val="11"/>
    </font>
    <font>
      <name val="Calibri"/>
      <family val="2"/>
      <color indexed="8"/>
      <sz val="11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43" fontId="1" fillId="0" borderId="0"/>
  </cellStyleXfs>
  <cellXfs count="149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0" fillId="34" borderId="0" pivotButton="0" quotePrefix="0" xfId="0"/>
    <xf numFmtId="0" fontId="16" fillId="0" borderId="0" pivotButton="0" quotePrefix="0" xfId="0"/>
    <xf numFmtId="0" fontId="0" fillId="0" borderId="0" pivotButton="0" quotePrefix="0" xfId="0"/>
    <xf numFmtId="0" fontId="16" fillId="0" borderId="10" pivotButton="0" quotePrefix="0" xfId="0"/>
    <xf numFmtId="0" fontId="0" fillId="0" borderId="12" pivotButton="0" quotePrefix="0" xfId="0"/>
    <xf numFmtId="0" fontId="16" fillId="0" borderId="0" pivotButton="0" quotePrefix="0" xfId="0"/>
    <xf numFmtId="3" fontId="0" fillId="33" borderId="0" pivotButton="0" quotePrefix="0" xfId="0"/>
    <xf numFmtId="10" fontId="0" fillId="33" borderId="0" pivotButton="0" quotePrefix="0" xfId="0"/>
    <xf numFmtId="3" fontId="0" fillId="34" borderId="0" pivotButton="0" quotePrefix="0" xfId="0"/>
    <xf numFmtId="10" fontId="0" fillId="34" borderId="0" pivotButton="0" quotePrefix="0" xfId="0"/>
    <xf numFmtId="0" fontId="0" fillId="0" borderId="10" pivotButton="0" quotePrefix="0" xfId="0"/>
    <xf numFmtId="3" fontId="0" fillId="33" borderId="10" pivotButton="0" quotePrefix="0" xfId="0"/>
    <xf numFmtId="10" fontId="0" fillId="34" borderId="10" pivotButton="0" quotePrefix="0" xfId="0"/>
    <xf numFmtId="3" fontId="16" fillId="33" borderId="10" pivotButton="0" quotePrefix="0" xfId="0"/>
    <xf numFmtId="3" fontId="16" fillId="34" borderId="10" pivotButton="0" quotePrefix="0" xfId="0"/>
    <xf numFmtId="10" fontId="16" fillId="34" borderId="10" pivotButton="0" quotePrefix="0" xfId="0"/>
    <xf numFmtId="0" fontId="16" fillId="0" borderId="12" pivotButton="0" quotePrefix="0" xfId="0"/>
    <xf numFmtId="10" fontId="0" fillId="0" borderId="0" pivotButton="0" quotePrefix="0" xfId="1"/>
    <xf numFmtId="3" fontId="16" fillId="34" borderId="11" pivotButton="0" quotePrefix="0" xfId="0"/>
    <xf numFmtId="10" fontId="16" fillId="34" borderId="11" pivotButton="0" quotePrefix="0" xfId="0"/>
    <xf numFmtId="0" fontId="0" fillId="0" borderId="0" applyAlignment="1" pivotButton="0" quotePrefix="0" xfId="0">
      <alignment horizontal="right"/>
    </xf>
    <xf numFmtId="0" fontId="16" fillId="33" borderId="1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0" fontId="16" fillId="34" borderId="10" applyAlignment="1" pivotButton="0" quotePrefix="0" xfId="0">
      <alignment horizontal="right"/>
    </xf>
    <xf numFmtId="0" fontId="16" fillId="33" borderId="11" applyAlignment="1" pivotButton="0" quotePrefix="0" xfId="0">
      <alignment horizontal="right"/>
    </xf>
    <xf numFmtId="0" fontId="16" fillId="34" borderId="1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0" fontId="0" fillId="34" borderId="0" pivotButton="0" quotePrefix="0" xfId="1"/>
    <xf numFmtId="10" fontId="0" fillId="33" borderId="0" pivotButton="0" quotePrefix="0" xfId="1"/>
    <xf numFmtId="10" fontId="16" fillId="34" borderId="11" pivotButton="0" quotePrefix="0" xfId="1"/>
    <xf numFmtId="164" fontId="0" fillId="34" borderId="0" pivotButton="0" quotePrefix="0" xfId="43"/>
    <xf numFmtId="0" fontId="16" fillId="34" borderId="11" pivotButton="0" quotePrefix="0" xfId="0"/>
    <xf numFmtId="0" fontId="16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0" pivotButton="0" quotePrefix="0" xfId="0"/>
    <xf numFmtId="3" fontId="16" fillId="0" borderId="0" pivotButton="0" quotePrefix="0" xfId="0"/>
    <xf numFmtId="0" fontId="0" fillId="34" borderId="0" pivotButton="0" quotePrefix="0" xfId="43"/>
    <xf numFmtId="164" fontId="16" fillId="34" borderId="11" pivotButton="0" quotePrefix="0" xfId="43"/>
    <xf numFmtId="165" fontId="0" fillId="34" borderId="0" pivotButton="0" quotePrefix="0" xfId="0"/>
    <xf numFmtId="10" fontId="0" fillId="34" borderId="0" pivotButton="0" quotePrefix="0" xfId="1"/>
    <xf numFmtId="164" fontId="0" fillId="33" borderId="0" pivotButton="0" quotePrefix="0" xfId="43"/>
    <xf numFmtId="10" fontId="0" fillId="33" borderId="0" pivotButton="0" quotePrefix="0" xfId="1"/>
    <xf numFmtId="0" fontId="16" fillId="33" borderId="11" pivotButton="0" quotePrefix="0" xfId="0"/>
    <xf numFmtId="0" fontId="0" fillId="0" borderId="11" pivotButton="0" quotePrefix="0" xfId="0"/>
    <xf numFmtId="10" fontId="16" fillId="33" borderId="11" pivotButton="0" quotePrefix="0" xfId="1"/>
    <xf numFmtId="164" fontId="16" fillId="33" borderId="11" pivotButton="0" quotePrefix="0" xfId="43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1"/>
    <xf numFmtId="164" fontId="0" fillId="35" borderId="0" pivotButton="0" quotePrefix="0" xfId="1"/>
    <xf numFmtId="164" fontId="16" fillId="35" borderId="11" pivotButton="0" quotePrefix="0" xfId="1"/>
    <xf numFmtId="10" fontId="0" fillId="34" borderId="0" pivotButton="0" quotePrefix="0" xfId="0"/>
    <xf numFmtId="10" fontId="0" fillId="33" borderId="0" pivotButton="0" quotePrefix="0" xfId="0"/>
    <xf numFmtId="10" fontId="0" fillId="0" borderId="0" pivotButton="0" quotePrefix="0" xfId="0"/>
    <xf numFmtId="0" fontId="0" fillId="0" borderId="0" pivotButton="0" quotePrefix="0" xfId="0"/>
    <xf numFmtId="166" fontId="0" fillId="33" borderId="0" pivotButton="0" quotePrefix="0" xfId="1"/>
    <xf numFmtId="0" fontId="16" fillId="36" borderId="10" applyAlignment="1" pivotButton="0" quotePrefix="0" xfId="0">
      <alignment horizontal="right"/>
    </xf>
    <xf numFmtId="3" fontId="0" fillId="36" borderId="0" pivotButton="0" quotePrefix="0" xfId="0"/>
    <xf numFmtId="166" fontId="0" fillId="36" borderId="0" pivotButton="0" quotePrefix="0" xfId="1"/>
    <xf numFmtId="3" fontId="16" fillId="36" borderId="10" pivotButton="0" quotePrefix="0" xfId="0"/>
    <xf numFmtId="10" fontId="16" fillId="36" borderId="10" pivotButton="0" quotePrefix="0" xfId="0"/>
    <xf numFmtId="166" fontId="0" fillId="33" borderId="10" pivotButton="0" quotePrefix="0" xfId="1"/>
    <xf numFmtId="3" fontId="0" fillId="36" borderId="10" pivotButton="0" quotePrefix="0" xfId="0"/>
    <xf numFmtId="166" fontId="0" fillId="36" borderId="10" pivotButton="0" quotePrefix="0" xfId="1"/>
    <xf numFmtId="0" fontId="18" fillId="0" borderId="0" pivotButton="0" quotePrefix="0" xfId="0"/>
    <xf numFmtId="164" fontId="16" fillId="0" borderId="0" applyAlignment="1" pivotButton="0" quotePrefix="0" xfId="1">
      <alignment horizontal="right"/>
    </xf>
    <xf numFmtId="0" fontId="16" fillId="0" borderId="11" pivotButton="0" quotePrefix="0" xfId="0"/>
    <xf numFmtId="1" fontId="0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left"/>
    </xf>
    <xf numFmtId="166" fontId="0" fillId="33" borderId="0" pivotButton="0" quotePrefix="0" xfId="1"/>
    <xf numFmtId="166" fontId="16" fillId="33" borderId="11" pivotButton="0" quotePrefix="0" xfId="1"/>
    <xf numFmtId="166" fontId="0" fillId="34" borderId="0" pivotButton="0" quotePrefix="0" xfId="1"/>
    <xf numFmtId="166" fontId="16" fillId="34" borderId="11" pivotButton="0" quotePrefix="0" xfId="1"/>
    <xf numFmtId="0" fontId="16" fillId="0" borderId="10" applyAlignment="1" pivotButton="0" quotePrefix="0" xfId="0">
      <alignment horizontal="right"/>
    </xf>
    <xf numFmtId="0" fontId="16" fillId="0" borderId="11" applyAlignment="1" pivotButton="0" quotePrefix="0" xfId="0">
      <alignment horizontal="left"/>
    </xf>
    <xf numFmtId="10" fontId="16" fillId="33" borderId="11" pivotButton="0" quotePrefix="0" xfId="0"/>
    <xf numFmtId="0" fontId="16" fillId="0" borderId="0" applyAlignment="1" pivotButton="0" quotePrefix="0" xfId="0">
      <alignment horizontal="right"/>
    </xf>
    <xf numFmtId="0" fontId="16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43"/>
    <xf numFmtId="164" fontId="0" fillId="0" borderId="0" pivotButton="0" quotePrefix="0" xfId="0"/>
    <xf numFmtId="164" fontId="0" fillId="0" borderId="0" pivotButton="0" quotePrefix="0" xfId="43"/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3" fontId="14" fillId="0" borderId="0" pivotButton="0" quotePrefix="0" xfId="0"/>
    <xf numFmtId="10" fontId="14" fillId="0" borderId="0" pivotButton="0" quotePrefix="0" xfId="1"/>
    <xf numFmtId="3" fontId="16" fillId="33" borderId="11" pivotButton="0" quotePrefix="0" xfId="0"/>
    <xf numFmtId="9" fontId="16" fillId="33" borderId="11" pivotButton="0" quotePrefix="0" xfId="1"/>
    <xf numFmtId="9" fontId="16" fillId="34" borderId="11" pivotButton="0" quotePrefix="0" xfId="1"/>
    <xf numFmtId="164" fontId="0" fillId="0" borderId="0" pivotButton="0" quotePrefix="0" xfId="0"/>
    <xf numFmtId="164" fontId="16" fillId="0" borderId="0" pivotButton="0" quotePrefix="0" xfId="0"/>
    <xf numFmtId="9" fontId="0" fillId="35" borderId="0" pivotButton="0" quotePrefix="0" xfId="1"/>
    <xf numFmtId="9" fontId="16" fillId="35" borderId="11" pivotButton="0" quotePrefix="0" xfId="1"/>
    <xf numFmtId="0" fontId="16" fillId="35" borderId="10" applyAlignment="1" pivotButton="0" quotePrefix="0" xfId="0">
      <alignment horizontal="right"/>
    </xf>
    <xf numFmtId="3" fontId="0" fillId="35" borderId="0" pivotButton="0" quotePrefix="0" xfId="0"/>
    <xf numFmtId="9" fontId="0" fillId="35" borderId="0" pivotButton="0" quotePrefix="0" xfId="1"/>
    <xf numFmtId="3" fontId="0" fillId="35" borderId="10" pivotButton="0" quotePrefix="0" xfId="0"/>
    <xf numFmtId="9" fontId="0" fillId="35" borderId="10" pivotButton="0" quotePrefix="0" xfId="1"/>
    <xf numFmtId="3" fontId="16" fillId="35" borderId="10" pivotButton="0" quotePrefix="0" xfId="0"/>
    <xf numFmtId="9" fontId="16" fillId="35" borderId="10" pivotButton="0" quotePrefix="0" xfId="0"/>
    <xf numFmtId="0" fontId="16" fillId="37" borderId="11" applyAlignment="1" pivotButton="0" quotePrefix="0" xfId="0">
      <alignment horizontal="left"/>
    </xf>
    <xf numFmtId="0" fontId="16" fillId="37" borderId="11" applyAlignment="1" pivotButton="0" quotePrefix="0" xfId="0">
      <alignment horizontal="center"/>
    </xf>
    <xf numFmtId="0" fontId="16" fillId="37" borderId="10" applyAlignment="1" pivotButton="0" quotePrefix="0" xfId="0">
      <alignment horizontal="right"/>
    </xf>
    <xf numFmtId="4" fontId="0" fillId="37" borderId="0" pivotButton="0" quotePrefix="0" xfId="0"/>
    <xf numFmtId="3" fontId="0" fillId="37" borderId="0" pivotButton="0" quotePrefix="0" xfId="0"/>
    <xf numFmtId="164" fontId="16" fillId="37" borderId="12" pivotButton="0" quotePrefix="0" xfId="43"/>
    <xf numFmtId="10" fontId="16" fillId="37" borderId="12" pivotButton="0" quotePrefix="0" xfId="0"/>
    <xf numFmtId="0" fontId="16" fillId="35" borderId="11" applyAlignment="1" pivotButton="0" quotePrefix="0" xfId="0">
      <alignment horizontal="right"/>
    </xf>
    <xf numFmtId="0" fontId="16" fillId="38" borderId="0" pivotButton="0" quotePrefix="0" xfId="0"/>
    <xf numFmtId="0" fontId="16" fillId="38" borderId="12" pivotButton="0" quotePrefix="0" xfId="0"/>
    <xf numFmtId="0" fontId="16" fillId="38" borderId="10" pivotButton="0" quotePrefix="0" xfId="0"/>
    <xf numFmtId="0" fontId="0" fillId="38" borderId="0" pivotButton="0" quotePrefix="0" xfId="0"/>
    <xf numFmtId="0" fontId="0" fillId="38" borderId="10" pivotButton="0" quotePrefix="0" xfId="0"/>
    <xf numFmtId="0" fontId="0" fillId="38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left"/>
    </xf>
    <xf numFmtId="164" fontId="0" fillId="38" borderId="0" pivotButton="0" quotePrefix="0" xfId="43"/>
    <xf numFmtId="9" fontId="0" fillId="38" borderId="0" pivotButton="0" quotePrefix="0" xfId="0"/>
    <xf numFmtId="166" fontId="0" fillId="38" borderId="0" pivotButton="0" quotePrefix="0" xfId="1"/>
    <xf numFmtId="43" fontId="0" fillId="38" borderId="0" pivotButton="0" quotePrefix="0" xfId="43"/>
    <xf numFmtId="0" fontId="0" fillId="38" borderId="0" applyAlignment="1" pivotButton="0" quotePrefix="0" xfId="0">
      <alignment horizontal="left"/>
    </xf>
    <xf numFmtId="166" fontId="0" fillId="0" borderId="0" pivotButton="0" quotePrefix="0" xfId="1"/>
    <xf numFmtId="43" fontId="0" fillId="0" borderId="0" pivotButton="0" quotePrefix="0" xfId="0"/>
    <xf numFmtId="0" fontId="0" fillId="0" borderId="0" pivotButton="0" quotePrefix="0" xfId="0"/>
    <xf numFmtId="0" fontId="14" fillId="39" borderId="0" pivotButton="0" quotePrefix="0" xfId="0"/>
    <xf numFmtId="164" fontId="14" fillId="39" borderId="0" pivotButton="0" quotePrefix="0" xfId="43"/>
    <xf numFmtId="0" fontId="0" fillId="39" borderId="0" pivotButton="0" quotePrefix="0" xfId="0"/>
    <xf numFmtId="164" fontId="0" fillId="39" borderId="0" pivotButton="0" quotePrefix="0" xfId="43"/>
    <xf numFmtId="43" fontId="0" fillId="39" borderId="0" pivotButton="0" quotePrefix="0" xfId="0"/>
    <xf numFmtId="0" fontId="0" fillId="40" borderId="0" pivotButton="0" quotePrefix="0" xfId="0"/>
    <xf numFmtId="1" fontId="0" fillId="0" borderId="0" pivotButton="0" quotePrefix="0" xfId="1"/>
    <xf numFmtId="1" fontId="14" fillId="39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6" fillId="36" borderId="11" applyAlignment="1" pivotButton="0" quotePrefix="0" xfId="0">
      <alignment horizontal="center"/>
    </xf>
    <xf numFmtId="0" fontId="16" fillId="33" borderId="11" applyAlignment="1" pivotButton="0" quotePrefix="0" xfId="0">
      <alignment horizontal="center"/>
    </xf>
    <xf numFmtId="0" fontId="16" fillId="35" borderId="11" applyAlignment="1" pivotButton="0" quotePrefix="0" xfId="0">
      <alignment horizontal="center"/>
    </xf>
    <xf numFmtId="0" fontId="16" fillId="35" borderId="10" applyAlignment="1" pivotButton="0" quotePrefix="0" xfId="0">
      <alignment horizontal="center"/>
    </xf>
    <xf numFmtId="0" fontId="16" fillId="33" borderId="12" applyAlignment="1" pivotButton="0" quotePrefix="0" xfId="0">
      <alignment horizontal="center"/>
    </xf>
    <xf numFmtId="0" fontId="16" fillId="34" borderId="12" applyAlignment="1" pivotButton="0" quotePrefix="0" xfId="0">
      <alignment horizontal="center"/>
    </xf>
    <xf numFmtId="0" fontId="16" fillId="34" borderId="1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</cellXfs>
  <cellStyles count="44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Comma" xfId="43" builtinId="3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R-Squared</a:t>
            </a:r>
            <a:r>
              <a:rPr lang="en-US" baseline="0"/>
              <a:t xml:space="preserve"> Plot (OBS vs ABM)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8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0"/>
            <trendlineLbl>
              <layout>
                <manualLayout>
                  <wMode val="factor"/>
                  <hMode val="factor"/>
                  <x val="-0.04098176018799887"/>
                  <y val="0.0135233176683472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14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xVal>
          <yVal>
            <numRef>
              <f>BoardingByRoute_All!$G$15:$G$48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yVal>
          <smooth val="0"/>
        </ser>
        <ser>
          <idx val="1"/>
          <order val="1"/>
          <tx>
            <strRef>
              <f>BoardingByRoute_All!$AG$14</f>
              <strCache>
                <ptCount val="1"/>
                <pt idx="0">
                  <v>Reference</v>
                </pt>
              </strCache>
            </strRef>
          </tx>
          <spPr>
            <a:ln w="25400" cap="rnd">
              <a:solidFill>
                <a:schemeClr val="bg2">
                  <a:lumMod val="50000"/>
                </a:schemeClr>
              </a:solidFill>
              <a:prstDash val="dash"/>
              <a:round/>
            </a:ln>
          </spPr>
          <marker>
            <symbol val="circle"/>
            <size val="5"/>
            <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  <a:prstDash val="sysDash"/>
              </a:ln>
            </spPr>
          </marker>
          <xVal>
            <numRef>
              <f>BoardingByRoute_All!$AG$15:$AG$48</f>
              <numCache>
                <formatCode>General</formatCode>
                <ptCount val="34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</numCache>
            </numRef>
          </xVal>
          <yVal>
            <numRef>
              <f>BoardingByRoute_All!$AG$15:$AG$48</f>
              <numCache>
                <formatCode>General</formatCode>
                <ptCount val="34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  <pt idx="18">
                  <v>1900</v>
                </pt>
                <pt idx="19">
                  <v>2000</v>
                </pt>
                <pt idx="20">
                  <v>2100</v>
                </pt>
                <pt idx="21">
                  <v>2200</v>
                </pt>
                <pt idx="22">
                  <v>2300</v>
                </pt>
                <pt idx="23">
                  <v>2400</v>
                </pt>
                <pt idx="24">
                  <v>2500</v>
                </pt>
                <pt idx="25">
                  <v>2600</v>
                </pt>
                <pt idx="26">
                  <v>2700</v>
                </pt>
                <pt idx="27">
                  <v>2800</v>
                </pt>
                <pt idx="28">
                  <v>2900</v>
                </pt>
                <pt idx="29">
                  <v>3000</v>
                </pt>
                <pt idx="30">
                  <v>3100</v>
                </pt>
                <pt idx="31">
                  <v>3200</v>
                </pt>
                <pt idx="32">
                  <v>3300</v>
                </pt>
                <pt idx="33">
                  <v>3400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60130112"/>
        <axId val="360132352"/>
      </scatterChart>
      <valAx>
        <axId val="360130112"/>
        <scaling>
          <orientation val="minMax"/>
          <max val="400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60132352"/>
        <crosses val="autoZero"/>
        <crossBetween val="midCat"/>
        <majorUnit val="500"/>
      </valAx>
      <valAx>
        <axId val="360132352"/>
        <scaling>
          <orientation val="minMax"/>
          <max val="400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ABM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60130112"/>
        <crosses val="autoZero"/>
        <crossBetween val="midCat"/>
        <majorUnit val="500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BoardingByRoute_All!$E$13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BoardingByRoute_All!$E$15:$E$48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val>
        </ser>
        <ser>
          <idx val="1"/>
          <order val="1"/>
          <tx>
            <strRef>
              <f>BoardingByRoute_All!$G$13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BoardingByRoute_All!$D$15:$D$48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BoardingByRoute_All!$G$15:$G$48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34670800"/>
        <axId val="353676336"/>
      </barChart>
      <catAx>
        <axId val="534670800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layout/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3676336"/>
        <crosses val="autoZero"/>
        <auto val="1"/>
        <lblAlgn val="ctr"/>
        <lblOffset val="100"/>
        <noMultiLvlLbl val="0"/>
      </catAx>
      <valAx>
        <axId val="353676336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layout/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34670800"/>
        <crosses val="autoZero"/>
        <crossBetween val="between"/>
        <majorUnit val="1000"/>
      </valAx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BOARDINGS</a:t>
            </a:r>
            <a:r>
              <a:rPr lang="en-US" b="1" baseline="0"/>
              <a:t xml:space="preserve"> BY ROUTE</a:t>
            </a:r>
            <a:endParaRPr lang="en-US" b="1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BoardingByRoute_All!$AA$13</f>
              <strCache>
                <ptCount val="1"/>
                <pt idx="0">
                  <v>OBS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BoardingByRoute_All!$AA$15:$AA$48</f>
              <numCache>
                <formatCode>_(* #,##0_);_(* \(#,##0\);_(* "-"??_);_(@_)</formatCode>
                <ptCount val="34"/>
                <pt idx="0">
                  <v>2516.909090909091</v>
                </pt>
                <pt idx="1">
                  <v>941.0454545454545</v>
                </pt>
                <pt idx="2">
                  <v>818.1818181818181</v>
                </pt>
                <pt idx="3">
                  <v>1841.590909090909</v>
                </pt>
                <pt idx="4">
                  <v>944.4090909090909</v>
                </pt>
                <pt idx="5">
                  <v>350.5909090909091</v>
                </pt>
                <pt idx="6">
                  <v>334.1818181818182</v>
                </pt>
                <pt idx="7">
                  <v>637.9545454545455</v>
                </pt>
                <pt idx="8">
                  <v>677.9090909090909</v>
                </pt>
                <pt idx="9">
                  <v>955.7272727272727</v>
                </pt>
                <pt idx="10">
                  <v>1505.409090909091</v>
                </pt>
                <pt idx="11">
                  <v>2690.5</v>
                </pt>
                <pt idx="12">
                  <v>275.4090909090909</v>
                </pt>
                <pt idx="13">
                  <v>691.0909090909091</v>
                </pt>
                <pt idx="14">
                  <v>365.8181818181818</v>
                </pt>
                <pt idx="15">
                  <v>61.90909090909091</v>
                </pt>
                <pt idx="16">
                  <v>402.6818181818182</v>
                </pt>
                <pt idx="17">
                  <v>2542.863636363636</v>
                </pt>
                <pt idx="18">
                  <v>3623.863636363636</v>
                </pt>
                <pt idx="19">
                  <v>5829.363636363636</v>
                </pt>
                <pt idx="20">
                  <v>4470.863636363636</v>
                </pt>
                <pt idx="21">
                  <v>9.181818181818182</v>
                </pt>
                <pt idx="22">
                  <v>42.40909090909091</v>
                </pt>
                <pt idx="23">
                  <v>127.6363636363636</v>
                </pt>
                <pt idx="24">
                  <v>347.3181818181818</v>
                </pt>
                <pt idx="25">
                  <v>333.9545454545454</v>
                </pt>
                <pt idx="26">
                  <v>225.7727272727273</v>
                </pt>
                <pt idx="27">
                  <v>127.5</v>
                </pt>
                <pt idx="28">
                  <v>47.09090909090909</v>
                </pt>
                <pt idx="29">
                  <v>77.31818181818181</v>
                </pt>
                <pt idx="30">
                  <v>23</v>
                </pt>
                <pt idx="31">
                  <v>399.3181818181818</v>
                </pt>
                <pt idx="32">
                  <v>121.3636363636364</v>
                </pt>
                <pt idx="33">
                  <v>51.63636363636363</v>
                </pt>
              </numCache>
            </numRef>
          </val>
        </ser>
        <ser>
          <idx val="1"/>
          <order val="1"/>
          <tx>
            <strRef>
              <f>BoardingByRoute_All!$AC$13</f>
              <strCache>
                <ptCount val="1"/>
                <pt idx="0">
                  <v>ABM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BoardingByRoute_All!$Z$15:$Z$48</f>
              <strCache>
                <ptCount val="34"/>
                <pt idx="0">
                  <v>Rte 3 West End (White Bridge)</v>
                </pt>
                <pt idx="1">
                  <v>Rte 4 Shelby</v>
                </pt>
                <pt idx="2">
                  <v>Rte 6 Lebanon Rd</v>
                </pt>
                <pt idx="3">
                  <v>Rte 7 Hillsboro</v>
                </pt>
                <pt idx="4">
                  <v>Rte 8 8TH AVENUE SOUTH</v>
                </pt>
                <pt idx="5">
                  <v>Rte 9 MetroCenter</v>
                </pt>
                <pt idx="6">
                  <v>Rte 14 WHITES CREEK</v>
                </pt>
                <pt idx="7">
                  <v>Rte 17 12TH AVENUE SOUTH</v>
                </pt>
                <pt idx="8">
                  <v>Rte 18 Airport Exp</v>
                </pt>
                <pt idx="9">
                  <v>Rte 19 Herman</v>
                </pt>
                <pt idx="10">
                  <v>Rte 22 Bordeaux (Panaroma)</v>
                </pt>
                <pt idx="11">
                  <v>Rte 23 Dickerson Pike</v>
                </pt>
                <pt idx="12">
                  <v>Rte 28 Meridian</v>
                </pt>
                <pt idx="13">
                  <v>Rte 29 Jefferson</v>
                </pt>
                <pt idx="14">
                  <v>Rte 34 Opry Mills</v>
                </pt>
                <pt idx="15">
                  <v>Rte 41 Golden Valley OB</v>
                </pt>
                <pt idx="16">
                  <v>Rte 42 St. Cecilia/Cumberland</v>
                </pt>
                <pt idx="17">
                  <v>Rte 50 CHARLOTTE PIKE</v>
                </pt>
                <pt idx="18">
                  <v>Rte 52 NOLENSVILLE PIKE (Hick)</v>
                </pt>
                <pt idx="19">
                  <v>Rte 55 MURFREESBORO PIKE</v>
                </pt>
                <pt idx="20">
                  <v>Rte 56 Gallatin Rd</v>
                </pt>
                <pt idx="21">
                  <v>Rte 64 STAR DOWNTOWN SHUTTLE</v>
                </pt>
                <pt idx="22">
                  <v>Rte 70 Belevue Conn</v>
                </pt>
                <pt idx="23">
                  <v>Rte 75 Midtown CW Loop</v>
                </pt>
                <pt idx="24">
                  <v>Rte 76 Madison Conn</v>
                </pt>
                <pt idx="25">
                  <v>Rte 77 THOMPSON - WEDGEWOOD ccw</v>
                </pt>
                <pt idx="26">
                  <v>Rte 79 Skyline</v>
                </pt>
                <pt idx="27">
                  <v>Rte 84 Murfreesboro Express</v>
                </pt>
                <pt idx="28">
                  <v>Rte 86 Smyrna Lavergne Exp</v>
                </pt>
                <pt idx="29">
                  <v>Rte 87 Gallatin Comm Bus</v>
                </pt>
                <pt idx="30">
                  <v>Rte 89 Spgfield/Joelton Exp</v>
                </pt>
                <pt idx="31">
                  <v>Rte 90 Music City Star</v>
                </pt>
                <pt idx="32">
                  <v>Rte 93 MCS West End Shuttle</v>
                </pt>
                <pt idx="33">
                  <v>Rte 95 Spring Hill Exp</v>
                </pt>
              </strCache>
            </strRef>
          </cat>
          <val>
            <numRef>
              <f>BoardingByRoute_All!$AC$15:$AC$48</f>
              <numCache>
                <formatCode>_(* #,##0_);_(* \(#,##0\);_(* "-"??_);_(@_)</formatCode>
                <ptCount val="34"/>
                <pt idx="0">
                  <v>2181</v>
                </pt>
                <pt idx="1">
                  <v>1091</v>
                </pt>
                <pt idx="2">
                  <v>932</v>
                </pt>
                <pt idx="3">
                  <v>1537</v>
                </pt>
                <pt idx="4">
                  <v>708</v>
                </pt>
                <pt idx="5">
                  <v>462</v>
                </pt>
                <pt idx="6">
                  <v>460</v>
                </pt>
                <pt idx="7">
                  <v>1039</v>
                </pt>
                <pt idx="8">
                  <v>451</v>
                </pt>
                <pt idx="9">
                  <v>796</v>
                </pt>
                <pt idx="10">
                  <v>1313</v>
                </pt>
                <pt idx="11">
                  <v>1152</v>
                </pt>
                <pt idx="12">
                  <v>331</v>
                </pt>
                <pt idx="13">
                  <v>615</v>
                </pt>
                <pt idx="14">
                  <v>187</v>
                </pt>
                <pt idx="15">
                  <v>7</v>
                </pt>
                <pt idx="16">
                  <v>476</v>
                </pt>
                <pt idx="17">
                  <v>0</v>
                </pt>
                <pt idx="18">
                  <v>2385</v>
                </pt>
                <pt idx="19">
                  <v>0</v>
                </pt>
                <pt idx="20">
                  <v>2591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49</v>
                </pt>
                <pt idx="25">
                  <v>36</v>
                </pt>
                <pt idx="26">
                  <v>0</v>
                </pt>
                <pt idx="27">
                  <v>258</v>
                </pt>
                <pt idx="28">
                  <v>105</v>
                </pt>
                <pt idx="29">
                  <v>28</v>
                </pt>
                <pt idx="30">
                  <v>76</v>
                </pt>
                <pt idx="31">
                  <v>0</v>
                </pt>
                <pt idx="32">
                  <v>826</v>
                </pt>
                <pt idx="3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540147904"/>
        <axId val="540145104"/>
      </barChart>
      <catAx>
        <axId val="540147904"/>
        <scaling>
          <orientation val="maxMin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0145104"/>
        <crosses val="autoZero"/>
        <auto val="1"/>
        <lblAlgn val="ctr"/>
        <lblOffset val="100"/>
        <noMultiLvlLbl val="0"/>
      </catAx>
      <valAx>
        <axId val="540145104"/>
        <scaling>
          <orientation val="minMax"/>
        </scaling>
        <delete val="0"/>
        <axPos val="t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Boardings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40147904"/>
        <crosses val="autoZero"/>
        <crossBetween val="between"/>
        <majorUnit val="1000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33</col>
      <colOff>226779</colOff>
      <row>1</row>
      <rowOff>124945</rowOff>
    </from>
    <to>
      <col>45</col>
      <colOff>381000</colOff>
      <row>36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40901</colOff>
      <row>12</row>
      <rowOff>2940</rowOff>
    </from>
    <to>
      <col>22</col>
      <colOff>96199</colOff>
      <row>55</row>
      <rowOff>35751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33</col>
      <colOff>300037</colOff>
      <row>37</row>
      <rowOff>102394</rowOff>
    </from>
    <to>
      <col>44</col>
      <colOff>533928</colOff>
      <row>80</row>
      <rowOff>135205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B050"/>
    <outlinePr summaryBelow="1" summaryRight="1"/>
    <pageSetUpPr/>
  </sheetPr>
  <dimension ref="A1:AX67"/>
  <sheetViews>
    <sheetView topLeftCell="A10" zoomScale="80" zoomScaleNormal="80" workbookViewId="0">
      <selection activeCell="G54" sqref="G54"/>
    </sheetView>
  </sheetViews>
  <sheetFormatPr baseColWidth="8" defaultRowHeight="15"/>
  <cols>
    <col width="12" customWidth="1" style="128" min="2" max="2"/>
    <col width="12.7109375" customWidth="1" style="128" min="3" max="3"/>
    <col width="31" customWidth="1" style="128" min="4" max="4"/>
    <col width="10.5703125" bestFit="1" customWidth="1" style="128" min="5" max="5"/>
    <col hidden="1" width="11" customWidth="1" style="128" min="6" max="6"/>
    <col width="14.28515625" bestFit="1" customWidth="1" style="128" min="7" max="7"/>
    <col hidden="1" width="12" customWidth="1" style="128" min="8" max="8"/>
    <col width="12" customWidth="1" style="128" min="9" max="9"/>
    <col hidden="1" width="12.5703125" customWidth="1" style="128" min="11" max="11"/>
    <col hidden="1" width="11.7109375" customWidth="1" style="128" min="12" max="12"/>
    <col width="11.5703125" bestFit="1" customWidth="1" style="128" min="24" max="24"/>
    <col width="12.28515625" bestFit="1" customWidth="1" style="128" min="25" max="25"/>
    <col width="29.42578125" bestFit="1" customWidth="1" style="128" min="26" max="26"/>
    <col width="12.140625" customWidth="1" style="128" min="29" max="29"/>
    <col width="11" bestFit="1" customWidth="1" style="128" min="30" max="30"/>
    <col width="11" customWidth="1" style="128" min="31" max="32"/>
  </cols>
  <sheetData>
    <row r="1" s="128">
      <c r="D1" s="113" t="inlineStr">
        <is>
          <t>BOARDINGS BY SUB-MODE</t>
        </is>
      </c>
      <c r="E1" s="118" t="n"/>
      <c r="F1" s="118" t="n"/>
      <c r="G1" s="118" t="n"/>
      <c r="H1" s="118" t="n"/>
      <c r="I1" s="118" t="n"/>
      <c r="J1" s="118" t="n"/>
      <c r="M1" s="68" t="n"/>
    </row>
    <row r="2" s="128">
      <c r="D2" s="114" t="n"/>
      <c r="E2" s="141" t="inlineStr">
        <is>
          <t>OBS</t>
        </is>
      </c>
      <c r="F2" s="46" t="n"/>
      <c r="G2" s="140" t="inlineStr">
        <is>
          <t>ABM</t>
        </is>
      </c>
      <c r="H2" s="46" t="n"/>
      <c r="I2" s="142" t="inlineStr">
        <is>
          <t>DIFF</t>
        </is>
      </c>
      <c r="J2" s="46" t="n"/>
      <c r="K2" s="105" t="inlineStr">
        <is>
          <t>Sub-mode Constant (DaySim)</t>
        </is>
      </c>
      <c r="L2" s="106" t="n"/>
      <c r="N2" t="inlineStr">
        <is>
          <t>NOTE:</t>
        </is>
      </c>
      <c r="O2" s="82" t="n"/>
      <c r="P2" s="82" t="n"/>
    </row>
    <row r="3" s="128">
      <c r="C3" t="inlineStr">
        <is>
          <t>Mode</t>
        </is>
      </c>
      <c r="D3" s="115" t="inlineStr">
        <is>
          <t>Transit sub-mode</t>
        </is>
      </c>
      <c r="E3" s="24" t="inlineStr">
        <is>
          <t>Count</t>
        </is>
      </c>
      <c r="F3" s="24" t="inlineStr">
        <is>
          <t>Percentage</t>
        </is>
      </c>
      <c r="G3" s="60" t="inlineStr">
        <is>
          <t>Count</t>
        </is>
      </c>
      <c r="H3" s="60" t="inlineStr">
        <is>
          <t>Percentage</t>
        </is>
      </c>
      <c r="I3" s="98" t="inlineStr">
        <is>
          <t>Count</t>
        </is>
      </c>
      <c r="J3" s="98" t="inlineStr">
        <is>
          <t>Percentage</t>
        </is>
      </c>
      <c r="K3" s="107" t="inlineStr">
        <is>
          <t>Utils</t>
        </is>
      </c>
      <c r="L3" s="107" t="inlineStr">
        <is>
          <t>Mins</t>
        </is>
      </c>
      <c r="M3" s="73" t="n"/>
      <c r="N3" s="120" t="inlineStr">
        <is>
          <t>diff in by sub-mode in TrnStat.asc and this table is because of Rte 18 Airport Exp. There are two servies, one is Exp and one local. TrnStat.asc considers both as local.</t>
        </is>
      </c>
      <c r="AX3" s="68" t="inlineStr">
        <is>
          <t>Path Impedance</t>
        </is>
      </c>
    </row>
    <row r="4" s="128">
      <c r="C4" s="119" t="inlineStr">
        <is>
          <t>1</t>
        </is>
      </c>
      <c r="D4" s="118" t="inlineStr">
        <is>
          <t>Local Bus</t>
        </is>
      </c>
      <c r="E4" s="9">
        <f>SUMIF($A$15:$A$48,1,E$15:E$49)+SUMIF($A$15:$A$48,2,E$15:E$49)</f>
        <v/>
      </c>
      <c r="F4" s="74">
        <f>E4/E$8</f>
        <v/>
      </c>
      <c r="G4" s="61">
        <f>SUMIF($A$15:$A$48,1,G$15:G$48)+SUMIF($A$15:$A$48,2,G$15:G$48)</f>
        <v/>
      </c>
      <c r="H4" s="62">
        <f>PrilimTable!F57</f>
        <v/>
      </c>
      <c r="I4" s="99">
        <f>G4-E4</f>
        <v/>
      </c>
      <c r="J4" s="100">
        <f>I4/E4</f>
        <v/>
      </c>
      <c r="K4" s="108">
        <f>PrilimTable!G57</f>
        <v/>
      </c>
      <c r="L4" s="109">
        <f>PrilimTable!H57</f>
        <v/>
      </c>
      <c r="N4" s="126" t="n"/>
      <c r="O4" s="126" t="n"/>
      <c r="AX4" t="inlineStr">
        <is>
          <t xml:space="preserve">PathImpedance_TransitLocalBusPathConstant = 0.05 </t>
        </is>
      </c>
    </row>
    <row r="5" s="128">
      <c r="C5" t="inlineStr">
        <is>
          <t>6,7</t>
        </is>
      </c>
      <c r="D5" s="118" t="inlineStr">
        <is>
          <t>Express Bus</t>
        </is>
      </c>
      <c r="E5" s="9">
        <f>SUMIF($A$15:$A$48,6,E$15:E$49)+SUMIF($A$15:$A$48,7,E$15:E$49)</f>
        <v/>
      </c>
      <c r="F5" s="74">
        <f>E5/E$8</f>
        <v/>
      </c>
      <c r="G5" s="61">
        <f>SUMIF($A$15:$A$48,6,G$15:G$48)+SUMIF($A$15:$A$48,7,G$15:G$48)</f>
        <v/>
      </c>
      <c r="H5" s="62">
        <f>PrilimTable!F58</f>
        <v/>
      </c>
      <c r="I5" s="99">
        <f>G5-E5</f>
        <v/>
      </c>
      <c r="J5" s="100">
        <f>I5/E5</f>
        <v/>
      </c>
      <c r="K5" s="108">
        <f>PrilimTable!G58</f>
        <v/>
      </c>
      <c r="L5" s="109">
        <f>PrilimTable!H58</f>
        <v/>
      </c>
      <c r="N5" s="126" t="n"/>
      <c r="O5" s="126" t="n"/>
      <c r="AX5" t="inlineStr">
        <is>
          <t>PathImpedance_TransitPremiumBusPathConstant = 0.12</t>
        </is>
      </c>
    </row>
    <row r="6" s="128">
      <c r="C6" s="120" t="n">
        <v>8</v>
      </c>
      <c r="D6" s="118" t="inlineStr">
        <is>
          <t>BRT</t>
        </is>
      </c>
      <c r="E6" s="9">
        <f>SUMIF($A$15:$A$48,8,E$15:E$49)</f>
        <v/>
      </c>
      <c r="F6" s="74">
        <f>E6/E$8</f>
        <v/>
      </c>
      <c r="G6" s="61">
        <f>SUMIF($A$15:$A$48,8,G$15:G$48)</f>
        <v/>
      </c>
      <c r="H6" s="62">
        <f>PrilimTable!F59</f>
        <v/>
      </c>
      <c r="I6" s="99">
        <f>G6-E6</f>
        <v/>
      </c>
      <c r="J6" s="100">
        <f>I6/E6</f>
        <v/>
      </c>
      <c r="K6" s="108">
        <f>PrilimTable!G59</f>
        <v/>
      </c>
      <c r="L6" s="109">
        <f>PrilimTable!H59</f>
        <v/>
      </c>
      <c r="N6" s="126" t="n"/>
      <c r="O6" s="126" t="n"/>
      <c r="S6" s="71" t="n"/>
      <c r="AX6" t="inlineStr">
        <is>
          <t xml:space="preserve">PathImpedance_TransitLightRailPathConstant = 0.0 </t>
        </is>
      </c>
    </row>
    <row r="7" s="128">
      <c r="C7" t="inlineStr">
        <is>
          <t>11,12</t>
        </is>
      </c>
      <c r="D7" s="117" t="inlineStr">
        <is>
          <t>Commuter Rail</t>
        </is>
      </c>
      <c r="E7" s="14">
        <f>SUMIF($A$15:$A$48,11,E$15:E$49)+SUMIF($A$15:$A$48,12,E$15:E$49)</f>
        <v/>
      </c>
      <c r="F7" s="65">
        <f>E7/E$8</f>
        <v/>
      </c>
      <c r="G7" s="66">
        <f>SUMIF($A$15:$A$48,11,G$15:G$48)+SUMIF($A$15:$A$48,12,G$15:G$48)</f>
        <v/>
      </c>
      <c r="H7" s="67">
        <f>PrilimTable!F60</f>
        <v/>
      </c>
      <c r="I7" s="101">
        <f>G7-E7</f>
        <v/>
      </c>
      <c r="J7" s="102">
        <f>I7/E7</f>
        <v/>
      </c>
      <c r="K7" s="108">
        <f>PrilimTable!G60</f>
        <v/>
      </c>
      <c r="L7" s="109">
        <f>PrilimTable!H60</f>
        <v/>
      </c>
      <c r="N7" s="126" t="n"/>
      <c r="O7" s="126" t="n"/>
      <c r="S7" s="71" t="n"/>
      <c r="AX7" t="inlineStr">
        <is>
          <t xml:space="preserve">PathImpedance_TransitCommuterRailPathConstant = 1.15 </t>
        </is>
      </c>
    </row>
    <row r="8" s="128">
      <c r="D8" s="115" t="inlineStr">
        <is>
          <t>Total</t>
        </is>
      </c>
      <c r="E8" s="16">
        <f>SUM(E4:E7)</f>
        <v/>
      </c>
      <c r="F8" s="75">
        <f>E8/E$8</f>
        <v/>
      </c>
      <c r="G8" s="63">
        <f>SUM(G4:G7)</f>
        <v/>
      </c>
      <c r="H8" s="64" t="n">
        <v>1</v>
      </c>
      <c r="I8" s="103">
        <f>G8-E8</f>
        <v/>
      </c>
      <c r="J8" s="104">
        <f>I8/E8</f>
        <v/>
      </c>
      <c r="K8" s="110" t="n"/>
      <c r="L8" s="111" t="n"/>
      <c r="S8" s="71" t="n"/>
      <c r="AX8" t="inlineStr">
        <is>
          <t>PathImpedance_TransitFerryPathConstant = 0.07</t>
        </is>
      </c>
    </row>
    <row r="9" s="128">
      <c r="D9" s="118" t="inlineStr">
        <is>
          <t>Transit trips</t>
        </is>
      </c>
      <c r="E9" s="121" t="n">
        <v>25693</v>
      </c>
      <c r="F9" s="118" t="n"/>
      <c r="G9" s="121" t="n">
        <v>23765</v>
      </c>
      <c r="H9" s="118" t="n"/>
      <c r="I9" s="118" t="n"/>
      <c r="J9" s="118" t="n"/>
      <c r="L9" s="20" t="n"/>
      <c r="S9" s="71" t="n"/>
      <c r="AX9" t="inlineStr">
        <is>
          <t xml:space="preserve">PathImpedance_TransitUsePathTypeSpecificTime = true </t>
        </is>
      </c>
    </row>
    <row r="10">
      <c r="D10" s="118" t="inlineStr">
        <is>
          <t>Boarding rate</t>
        </is>
      </c>
      <c r="E10" s="124">
        <f>E8/E9</f>
        <v/>
      </c>
      <c r="F10" s="118" t="n"/>
      <c r="G10" s="124">
        <f>G8/G9</f>
        <v/>
      </c>
      <c r="H10" s="118" t="n"/>
      <c r="I10" s="118" t="n"/>
      <c r="J10" s="118" t="n"/>
      <c r="K10" s="118" t="inlineStr">
        <is>
          <t>Transfer Rate</t>
        </is>
      </c>
      <c r="L10" s="122">
        <f>PrilimTable!E63</f>
        <v/>
      </c>
    </row>
    <row r="11" s="128">
      <c r="C11" s="57" t="n"/>
      <c r="D11" s="125" t="inlineStr">
        <is>
          <t>R-Squared</t>
        </is>
      </c>
      <c r="E11" s="123">
        <f>RSQ(G15:G48,E15:E48)</f>
        <v/>
      </c>
      <c r="F11" s="118" t="n"/>
      <c r="G11" s="118" t="n"/>
      <c r="H11" s="118" t="n"/>
      <c r="I11" s="118" t="n"/>
      <c r="J11" s="118" t="n"/>
      <c r="AX11" t="inlineStr">
        <is>
          <t xml:space="preserve">PathImpedance_TransitPremiumBusTimeAdditiveWeight = -0.204 </t>
        </is>
      </c>
    </row>
    <row r="12">
      <c r="B12" s="82" t="inlineStr">
        <is>
          <t>BOARDINGS BY ROUTE</t>
        </is>
      </c>
      <c r="I12" s="13" t="n"/>
      <c r="J12" s="13" t="n"/>
      <c r="X12" s="137" t="inlineStr">
        <is>
          <t>BOARDINGS BY ROUTE (SORTED BY OBS BOARDINGS)</t>
        </is>
      </c>
      <c r="AX12" t="inlineStr">
        <is>
          <t>PathImpedance_TransitLightRailTimeAdditiveWeight = 0.0</t>
        </is>
      </c>
    </row>
    <row r="13">
      <c r="B13" s="7" t="n"/>
      <c r="C13" s="7" t="n"/>
      <c r="D13" s="7" t="n"/>
      <c r="E13" s="144" t="inlineStr">
        <is>
          <t>OBS</t>
        </is>
      </c>
      <c r="F13" s="7" t="n"/>
      <c r="G13" s="145" t="inlineStr">
        <is>
          <t>ABM</t>
        </is>
      </c>
      <c r="H13" s="7" t="n"/>
      <c r="I13" s="143" t="inlineStr">
        <is>
          <t>DIFF</t>
        </is>
      </c>
      <c r="J13" s="13" t="n"/>
      <c r="L13" s="82" t="n"/>
      <c r="X13" s="7" t="n"/>
      <c r="Y13" s="7" t="n"/>
      <c r="Z13" s="7" t="n"/>
      <c r="AA13" s="144" t="inlineStr">
        <is>
          <t>OBS</t>
        </is>
      </c>
      <c r="AB13" s="7" t="n"/>
      <c r="AC13" s="145">
        <f>G13</f>
        <v/>
      </c>
      <c r="AD13" s="7" t="n"/>
      <c r="AE13" s="143" t="inlineStr">
        <is>
          <t>DIFF</t>
        </is>
      </c>
      <c r="AF13" s="13" t="n"/>
      <c r="AX13" t="inlineStr">
        <is>
          <t>PathImpedance_TransitCommuterRailTimeAdditiveWeight = -0.273</t>
        </is>
      </c>
    </row>
    <row r="14">
      <c r="A14" t="inlineStr">
        <is>
          <t>Mode</t>
        </is>
      </c>
      <c r="B14" s="78" t="inlineStr">
        <is>
          <t>Rte Id (OBS)</t>
        </is>
      </c>
      <c r="C14" s="6" t="inlineStr">
        <is>
          <t>Rte Id (ABM)</t>
        </is>
      </c>
      <c r="D14" s="6" t="inlineStr">
        <is>
          <t>Rte Name</t>
        </is>
      </c>
      <c r="E14" s="45" t="inlineStr">
        <is>
          <t>Boardings</t>
        </is>
      </c>
      <c r="F14" s="45" t="inlineStr">
        <is>
          <t>Percentage</t>
        </is>
      </c>
      <c r="G14" s="34" t="inlineStr">
        <is>
          <t>Boardings</t>
        </is>
      </c>
      <c r="H14" s="34" t="inlineStr">
        <is>
          <t>Percentage</t>
        </is>
      </c>
      <c r="I14" s="112" t="inlineStr">
        <is>
          <t>Diff</t>
        </is>
      </c>
      <c r="J14" s="112" t="inlineStr">
        <is>
          <t>% Diff</t>
        </is>
      </c>
      <c r="L14" s="82" t="n"/>
      <c r="M14" s="83" t="n"/>
      <c r="X14" s="6" t="inlineStr">
        <is>
          <t>Rte Id (OBS)</t>
        </is>
      </c>
      <c r="Y14" s="6" t="inlineStr">
        <is>
          <t>Rte Id (ABM)</t>
        </is>
      </c>
      <c r="Z14" s="6" t="inlineStr">
        <is>
          <t>Rte Name</t>
        </is>
      </c>
      <c r="AA14" s="45" t="inlineStr">
        <is>
          <t>Boardings</t>
        </is>
      </c>
      <c r="AB14" s="45" t="inlineStr">
        <is>
          <t>Percentage</t>
        </is>
      </c>
      <c r="AC14" s="34" t="inlineStr">
        <is>
          <t>Boardings</t>
        </is>
      </c>
      <c r="AD14" s="34" t="inlineStr">
        <is>
          <t>Percentage</t>
        </is>
      </c>
      <c r="AE14" s="112" t="inlineStr">
        <is>
          <t>Diff</t>
        </is>
      </c>
      <c r="AF14" s="112" t="inlineStr">
        <is>
          <t>% Diff</t>
        </is>
      </c>
      <c r="AG14" t="inlineStr">
        <is>
          <t>Reference</t>
        </is>
      </c>
      <c r="AX14" t="inlineStr">
        <is>
          <t>PathImpedance_TransitFerryTimeAdditiveWeight = -0.318</t>
        </is>
      </c>
    </row>
    <row r="15">
      <c r="A15">
        <f>VLOOKUP($C15,PrilimTable!$O:$U,7,FALSE)</f>
        <v/>
      </c>
      <c r="B15" t="n">
        <v>3</v>
      </c>
      <c r="C15">
        <f>B15</f>
        <v/>
      </c>
      <c r="D15">
        <f>VLOOKUP($C15,PrilimTable!$O:$T,2,FALSE)</f>
        <v/>
      </c>
      <c r="E15" s="43">
        <f>SUMIF(PrilimTable!$N$4:$N$82,B15,PrilimTable!$Q$4:$Q$82)</f>
        <v/>
      </c>
      <c r="F15" s="74">
        <f>E15/$E$49</f>
        <v/>
      </c>
      <c r="G15" s="33">
        <f>SUMIF(PrilimTable!$O$4:$O$82,C15,PrilimTable!$S$4:$S$82)</f>
        <v/>
      </c>
      <c r="H15" s="76">
        <f>G15/$G$49</f>
        <v/>
      </c>
      <c r="I15" s="53">
        <f>G15-E15</f>
        <v/>
      </c>
      <c r="J15" s="100">
        <f>I15/E15</f>
        <v/>
      </c>
      <c r="L15" s="86" t="n"/>
      <c r="M15" s="94" t="n"/>
      <c r="N15" s="94" t="n"/>
      <c r="X15" t="n">
        <v>3</v>
      </c>
      <c r="Y15" t="n">
        <v>3</v>
      </c>
      <c r="Z15">
        <f>VLOOKUP(Y15,$C$14:$D$49,2,FALSE)</f>
        <v/>
      </c>
      <c r="AA15" s="43">
        <f>SUMIF(PrilimTable!$N$4:$N$82,X15,PrilimTable!$Q$4:$Q$82)</f>
        <v/>
      </c>
      <c r="AB15" s="44">
        <f>AA15/$E$49</f>
        <v/>
      </c>
      <c r="AC15" s="33">
        <f>SUMIF(PrilimTable!$O$4:$O$82,Y15,PrilimTable!$S$4:$S$82)</f>
        <v/>
      </c>
      <c r="AD15" s="42">
        <f>AC15/$G$49</f>
        <v/>
      </c>
      <c r="AE15" s="53">
        <f>AC15-AA15</f>
        <v/>
      </c>
      <c r="AF15" s="100">
        <f>AE15/AA15</f>
        <v/>
      </c>
      <c r="AG15" t="n">
        <v>100</v>
      </c>
    </row>
    <row r="16">
      <c r="A16">
        <f>VLOOKUP($C16,PrilimTable!$O:$U,7,FALSE)</f>
        <v/>
      </c>
      <c r="B16" t="n">
        <v>4</v>
      </c>
      <c r="C16">
        <f>B16</f>
        <v/>
      </c>
      <c r="D16">
        <f>VLOOKUP($C16,PrilimTable!$O:$T,2,FALSE)</f>
        <v/>
      </c>
      <c r="E16" s="43">
        <f>SUMIF(PrilimTable!$N$4:$N$82,B16,PrilimTable!$Q$4:$Q$82)</f>
        <v/>
      </c>
      <c r="F16" s="74">
        <f>E16/$E$49</f>
        <v/>
      </c>
      <c r="G16" s="33">
        <f>SUMIF(PrilimTable!$O$4:$O$82,C16,PrilimTable!$S$4:$S$82)</f>
        <v/>
      </c>
      <c r="H16" s="76">
        <f>G16/$G$49</f>
        <v/>
      </c>
      <c r="I16" s="53">
        <f>G16-E16</f>
        <v/>
      </c>
      <c r="J16" s="100">
        <f>I16/E16</f>
        <v/>
      </c>
      <c r="L16" s="86" t="n"/>
      <c r="M16" s="94" t="n"/>
      <c r="X16" t="n">
        <v>4</v>
      </c>
      <c r="Y16" t="n">
        <v>4</v>
      </c>
      <c r="Z16">
        <f>VLOOKUP(Y16,$C$14:$D$49,2,FALSE)</f>
        <v/>
      </c>
      <c r="AA16" s="43">
        <f>SUMIF(PrilimTable!$N$4:$N$82,X16,PrilimTable!$Q$4:$Q$82)</f>
        <v/>
      </c>
      <c r="AB16" s="44">
        <f>AA16/$E$49</f>
        <v/>
      </c>
      <c r="AC16" s="33">
        <f>SUMIF(PrilimTable!$O$4:$O$82,Y16,PrilimTable!$S$4:$S$82)</f>
        <v/>
      </c>
      <c r="AD16" s="42">
        <f>AC16/$G$49</f>
        <v/>
      </c>
      <c r="AE16" s="53">
        <f>AC16-AA16</f>
        <v/>
      </c>
      <c r="AF16" s="100">
        <f>AE16/AA16</f>
        <v/>
      </c>
      <c r="AG16" t="n">
        <v>200</v>
      </c>
      <c r="AX16" t="inlineStr">
        <is>
          <t>PathImpedance_TransitPremiumBusInVehicleTimeWeight = 0.95</t>
        </is>
      </c>
    </row>
    <row r="17">
      <c r="A17">
        <f>VLOOKUP($C17,PrilimTable!$O:$U,7,FALSE)</f>
        <v/>
      </c>
      <c r="B17" t="n">
        <v>6</v>
      </c>
      <c r="C17">
        <f>B17</f>
        <v/>
      </c>
      <c r="D17">
        <f>VLOOKUP($C17,PrilimTable!$O:$T,2,FALSE)</f>
        <v/>
      </c>
      <c r="E17" s="43">
        <f>SUMIF(PrilimTable!$N$4:$N$82,B17,PrilimTable!$Q$4:$Q$82)</f>
        <v/>
      </c>
      <c r="F17" s="74">
        <f>E17/$E$49</f>
        <v/>
      </c>
      <c r="G17" s="33">
        <f>SUMIF(PrilimTable!$O$4:$O$82,C17,PrilimTable!$S$4:$S$82)</f>
        <v/>
      </c>
      <c r="H17" s="76">
        <f>G17/$G$49</f>
        <v/>
      </c>
      <c r="I17" s="53">
        <f>G17-E17</f>
        <v/>
      </c>
      <c r="J17" s="100">
        <f>I17/E17</f>
        <v/>
      </c>
      <c r="L17" s="86" t="n"/>
      <c r="M17" s="94" t="n"/>
      <c r="N17" s="94" t="n"/>
      <c r="X17" t="n">
        <v>6</v>
      </c>
      <c r="Y17" t="n">
        <v>6</v>
      </c>
      <c r="Z17">
        <f>VLOOKUP(Y17,$C$14:$D$49,2,FALSE)</f>
        <v/>
      </c>
      <c r="AA17" s="43">
        <f>SUMIF(PrilimTable!$N$4:$N$82,X17,PrilimTable!$Q$4:$Q$82)</f>
        <v/>
      </c>
      <c r="AB17" s="44">
        <f>AA17/$E$49</f>
        <v/>
      </c>
      <c r="AC17" s="33">
        <f>SUMIF(PrilimTable!$O$4:$O$82,Y17,PrilimTable!$S$4:$S$82)</f>
        <v/>
      </c>
      <c r="AD17" s="42">
        <f>AC17/$G$49</f>
        <v/>
      </c>
      <c r="AE17" s="53">
        <f>AC17-AA17</f>
        <v/>
      </c>
      <c r="AF17" s="100">
        <f>AE17/AA17</f>
        <v/>
      </c>
      <c r="AG17" t="n">
        <v>300</v>
      </c>
      <c r="AX17" t="inlineStr">
        <is>
          <t>PathImpedance_TransitLightRailInVehicleTimeWeight = 1.0</t>
        </is>
      </c>
    </row>
    <row r="18">
      <c r="A18">
        <f>VLOOKUP($C18,PrilimTable!$O:$U,7,FALSE)</f>
        <v/>
      </c>
      <c r="B18" t="n">
        <v>7</v>
      </c>
      <c r="C18">
        <f>B18</f>
        <v/>
      </c>
      <c r="D18">
        <f>VLOOKUP($C18,PrilimTable!$O:$T,2,FALSE)</f>
        <v/>
      </c>
      <c r="E18" s="43">
        <f>SUMIF(PrilimTable!$N$4:$N$82,B18,PrilimTable!$Q$4:$Q$82)</f>
        <v/>
      </c>
      <c r="F18" s="74">
        <f>E18/$E$49</f>
        <v/>
      </c>
      <c r="G18" s="33">
        <f>SUMIF(PrilimTable!$O$4:$O$82,C18,PrilimTable!$S$4:$S$82)</f>
        <v/>
      </c>
      <c r="H18" s="76">
        <f>G18/$G$49</f>
        <v/>
      </c>
      <c r="I18" s="53">
        <f>G18-E18</f>
        <v/>
      </c>
      <c r="J18" s="100">
        <f>I18/E18</f>
        <v/>
      </c>
      <c r="L18" s="86" t="n"/>
      <c r="M18" s="94" t="n"/>
      <c r="X18" t="n">
        <v>7</v>
      </c>
      <c r="Y18" t="n">
        <v>7</v>
      </c>
      <c r="Z18">
        <f>VLOOKUP(Y18,$C$14:$D$49,2,FALSE)</f>
        <v/>
      </c>
      <c r="AA18" s="43">
        <f>SUMIF(PrilimTable!$N$4:$N$82,X18,PrilimTable!$Q$4:$Q$82)</f>
        <v/>
      </c>
      <c r="AB18" s="44">
        <f>AA18/$E$49</f>
        <v/>
      </c>
      <c r="AC18" s="33">
        <f>SUMIF(PrilimTable!$O$4:$O$82,Y18,PrilimTable!$S$4:$S$82)</f>
        <v/>
      </c>
      <c r="AD18" s="42">
        <f>AC18/$G$49</f>
        <v/>
      </c>
      <c r="AE18" s="53">
        <f>AC18-AA18</f>
        <v/>
      </c>
      <c r="AF18" s="100">
        <f>AE18/AA18</f>
        <v/>
      </c>
      <c r="AG18" t="n">
        <v>400</v>
      </c>
      <c r="AX18" t="inlineStr">
        <is>
          <t>PathImpedance_TransitCommuterRailInVehicleTimeWeight = 0.65</t>
        </is>
      </c>
    </row>
    <row r="19">
      <c r="A19">
        <f>VLOOKUP($C19,PrilimTable!$O:$U,7,FALSE)</f>
        <v/>
      </c>
      <c r="B19" t="n">
        <v>8</v>
      </c>
      <c r="C19">
        <f>B19</f>
        <v/>
      </c>
      <c r="D19">
        <f>VLOOKUP($C19,PrilimTable!$O:$T,2,FALSE)</f>
        <v/>
      </c>
      <c r="E19" s="43">
        <f>SUMIF(PrilimTable!$N$4:$N$82,B19,PrilimTable!$Q$4:$Q$82)</f>
        <v/>
      </c>
      <c r="F19" s="74">
        <f>E19/$E$49</f>
        <v/>
      </c>
      <c r="G19" s="33">
        <f>SUMIF(PrilimTable!$O$4:$O$82,C19,PrilimTable!$S$4:$S$82)</f>
        <v/>
      </c>
      <c r="H19" s="76">
        <f>G19/$G$49</f>
        <v/>
      </c>
      <c r="I19" s="53">
        <f>G19-E19</f>
        <v/>
      </c>
      <c r="J19" s="100">
        <f>I19/E19</f>
        <v/>
      </c>
      <c r="L19" s="86" t="n"/>
      <c r="M19" s="94" t="n"/>
      <c r="X19" t="n">
        <v>8</v>
      </c>
      <c r="Y19" t="n">
        <v>8</v>
      </c>
      <c r="Z19">
        <f>VLOOKUP(Y19,$C$14:$D$49,2,FALSE)</f>
        <v/>
      </c>
      <c r="AA19" s="43">
        <f>SUMIF(PrilimTable!$N$4:$N$82,X19,PrilimTable!$Q$4:$Q$82)</f>
        <v/>
      </c>
      <c r="AB19" s="44">
        <f>AA19/$E$49</f>
        <v/>
      </c>
      <c r="AC19" s="33">
        <f>SUMIF(PrilimTable!$O$4:$O$82,Y19,PrilimTable!$S$4:$S$82)</f>
        <v/>
      </c>
      <c r="AD19" s="42">
        <f>AC19/$G$49</f>
        <v/>
      </c>
      <c r="AE19" s="53">
        <f>AC19-AA19</f>
        <v/>
      </c>
      <c r="AF19" s="100">
        <f>AE19/AA19</f>
        <v/>
      </c>
      <c r="AG19" t="n">
        <v>500</v>
      </c>
      <c r="AX19" t="inlineStr">
        <is>
          <t>PathImpedance_TransitFerryInVehicleTimeWeight = 0.80</t>
        </is>
      </c>
    </row>
    <row r="20">
      <c r="A20">
        <f>VLOOKUP($C20,PrilimTable!$O:$U,7,FALSE)</f>
        <v/>
      </c>
      <c r="B20" t="n">
        <v>9</v>
      </c>
      <c r="C20">
        <f>B20</f>
        <v/>
      </c>
      <c r="D20">
        <f>VLOOKUP($C20,PrilimTable!$O:$T,2,FALSE)</f>
        <v/>
      </c>
      <c r="E20" s="43">
        <f>SUMIF(PrilimTable!$N$4:$N$82,B20,PrilimTable!$Q$4:$Q$82)</f>
        <v/>
      </c>
      <c r="F20" s="74">
        <f>E20/$E$49</f>
        <v/>
      </c>
      <c r="G20" s="33">
        <f>SUMIF(PrilimTable!$O$4:$O$82,C20,PrilimTable!$S$4:$S$82)</f>
        <v/>
      </c>
      <c r="H20" s="76">
        <f>G20/$G$49</f>
        <v/>
      </c>
      <c r="I20" s="53">
        <f>G20-E20</f>
        <v/>
      </c>
      <c r="J20" s="100">
        <f>I20/E20</f>
        <v/>
      </c>
      <c r="L20" s="86" t="n"/>
      <c r="M20" s="94" t="n"/>
      <c r="N20" s="94" t="n"/>
      <c r="X20" t="n">
        <v>9</v>
      </c>
      <c r="Y20" t="n">
        <v>9</v>
      </c>
      <c r="Z20">
        <f>VLOOKUP(Y20,$C$14:$D$49,2,FALSE)</f>
        <v/>
      </c>
      <c r="AA20" s="43">
        <f>SUMIF(PrilimTable!$N$4:$N$82,X20,PrilimTable!$Q$4:$Q$82)</f>
        <v/>
      </c>
      <c r="AB20" s="44">
        <f>AA20/$E$49</f>
        <v/>
      </c>
      <c r="AC20" s="33">
        <f>SUMIF(PrilimTable!$O$4:$O$82,Y20,PrilimTable!$S$4:$S$82)</f>
        <v/>
      </c>
      <c r="AD20" s="42">
        <f>AC20/$G$49</f>
        <v/>
      </c>
      <c r="AE20" s="53">
        <f>AC20-AA20</f>
        <v/>
      </c>
      <c r="AF20" s="100">
        <f>AE20/AA20</f>
        <v/>
      </c>
      <c r="AG20" t="n">
        <v>600</v>
      </c>
    </row>
    <row r="21">
      <c r="A21">
        <f>VLOOKUP($C21,PrilimTable!$O:$U,7,FALSE)</f>
        <v/>
      </c>
      <c r="B21" t="n">
        <v>14</v>
      </c>
      <c r="C21">
        <f>B21</f>
        <v/>
      </c>
      <c r="D21">
        <f>VLOOKUP($C21,PrilimTable!$O:$T,2,FALSE)</f>
        <v/>
      </c>
      <c r="E21" s="43">
        <f>SUMIF(PrilimTable!$N$4:$N$82,B21,PrilimTable!$Q$4:$Q$82)</f>
        <v/>
      </c>
      <c r="F21" s="74">
        <f>E21/$E$49</f>
        <v/>
      </c>
      <c r="G21" s="33">
        <f>SUMIF(PrilimTable!$O$4:$O$82,C21,PrilimTable!$S$4:$S$82)</f>
        <v/>
      </c>
      <c r="H21" s="76">
        <f>G21/$G$49</f>
        <v/>
      </c>
      <c r="I21" s="53">
        <f>G21-E21</f>
        <v/>
      </c>
      <c r="J21" s="100">
        <f>I21/E21</f>
        <v/>
      </c>
      <c r="L21" s="86" t="n"/>
      <c r="M21" s="94" t="n"/>
      <c r="X21" t="n">
        <v>14</v>
      </c>
      <c r="Y21" t="n">
        <v>14</v>
      </c>
      <c r="Z21">
        <f>VLOOKUP(Y21,$C$14:$D$49,2,FALSE)</f>
        <v/>
      </c>
      <c r="AA21" s="43">
        <f>SUMIF(PrilimTable!$N$4:$N$82,X21,PrilimTable!$Q$4:$Q$82)</f>
        <v/>
      </c>
      <c r="AB21" s="44">
        <f>AA21/$E$49</f>
        <v/>
      </c>
      <c r="AC21" s="33">
        <f>SUMIF(PrilimTable!$O$4:$O$82,Y21,PrilimTable!$S$4:$S$82)</f>
        <v/>
      </c>
      <c r="AD21" s="42">
        <f>AC21/$G$49</f>
        <v/>
      </c>
      <c r="AE21" s="53">
        <f>AC21-AA21</f>
        <v/>
      </c>
      <c r="AF21" s="100">
        <f>AE21/AA21</f>
        <v/>
      </c>
      <c r="AG21" t="n">
        <v>700</v>
      </c>
    </row>
    <row r="22">
      <c r="A22">
        <f>VLOOKUP($C22,PrilimTable!$O:$U,7,FALSE)</f>
        <v/>
      </c>
      <c r="B22" t="n">
        <v>17</v>
      </c>
      <c r="C22">
        <f>B22</f>
        <v/>
      </c>
      <c r="D22">
        <f>VLOOKUP($C22,PrilimTable!$O:$T,2,FALSE)</f>
        <v/>
      </c>
      <c r="E22" s="43">
        <f>SUMIF(PrilimTable!$N$4:$N$82,B22,PrilimTable!$Q$4:$Q$82)</f>
        <v/>
      </c>
      <c r="F22" s="74">
        <f>E22/$E$49</f>
        <v/>
      </c>
      <c r="G22" s="33">
        <f>SUMIF(PrilimTable!$O$4:$O$82,C22,PrilimTable!$S$4:$S$82)</f>
        <v/>
      </c>
      <c r="H22" s="76">
        <f>G22/$G$49</f>
        <v/>
      </c>
      <c r="I22" s="53">
        <f>G22-E22</f>
        <v/>
      </c>
      <c r="J22" s="100">
        <f>I22/E22</f>
        <v/>
      </c>
      <c r="L22" s="86" t="n"/>
      <c r="M22" s="94" t="n"/>
      <c r="X22" t="n">
        <v>17</v>
      </c>
      <c r="Y22" t="n">
        <v>17</v>
      </c>
      <c r="Z22">
        <f>VLOOKUP(Y22,$C$14:$D$49,2,FALSE)</f>
        <v/>
      </c>
      <c r="AA22" s="43">
        <f>SUMIF(PrilimTable!$N$4:$N$82,X22,PrilimTable!$Q$4:$Q$82)</f>
        <v/>
      </c>
      <c r="AB22" s="44">
        <f>AA22/$E$49</f>
        <v/>
      </c>
      <c r="AC22" s="33">
        <f>SUMIF(PrilimTable!$O$4:$O$82,Y22,PrilimTable!$S$4:$S$82)</f>
        <v/>
      </c>
      <c r="AD22" s="42">
        <f>AC22/$G$49</f>
        <v/>
      </c>
      <c r="AE22" s="53">
        <f>AC22-AA22</f>
        <v/>
      </c>
      <c r="AF22" s="100">
        <f>AE22/AA22</f>
        <v/>
      </c>
      <c r="AG22" t="n">
        <v>800</v>
      </c>
    </row>
    <row r="23">
      <c r="A23">
        <f>VLOOKUP($C23,PrilimTable!$O:$U,7,FALSE)</f>
        <v/>
      </c>
      <c r="B23" t="n">
        <v>18</v>
      </c>
      <c r="C23">
        <f>B23</f>
        <v/>
      </c>
      <c r="D23">
        <f>VLOOKUP($C23,PrilimTable!$O:$T,2,FALSE)</f>
        <v/>
      </c>
      <c r="E23" s="43">
        <f>SUMIF(PrilimTable!$N$4:$N$82,B23,PrilimTable!$Q$4:$Q$82)</f>
        <v/>
      </c>
      <c r="F23" s="74">
        <f>E23/$E$49</f>
        <v/>
      </c>
      <c r="G23" s="33">
        <f>SUMIF(PrilimTable!$O$4:$O$82,C23,PrilimTable!$S$4:$S$82)</f>
        <v/>
      </c>
      <c r="H23" s="76">
        <f>G23/$G$49</f>
        <v/>
      </c>
      <c r="I23" s="53">
        <f>G23-E23</f>
        <v/>
      </c>
      <c r="J23" s="100">
        <f>I23/E23</f>
        <v/>
      </c>
      <c r="L23" s="86" t="n"/>
      <c r="M23" s="94" t="n"/>
      <c r="X23" t="n">
        <v>18</v>
      </c>
      <c r="Y23" t="n">
        <v>18</v>
      </c>
      <c r="Z23">
        <f>VLOOKUP(Y23,$C$14:$D$49,2,FALSE)</f>
        <v/>
      </c>
      <c r="AA23" s="43">
        <f>SUMIF(PrilimTable!$N$4:$N$82,X23,PrilimTable!$Q$4:$Q$82)</f>
        <v/>
      </c>
      <c r="AB23" s="44">
        <f>AA23/$E$49</f>
        <v/>
      </c>
      <c r="AC23" s="33">
        <f>SUMIF(PrilimTable!$O$4:$O$82,Y23,PrilimTable!$S$4:$S$82)</f>
        <v/>
      </c>
      <c r="AD23" s="42">
        <f>AC23/$G$49</f>
        <v/>
      </c>
      <c r="AE23" s="53">
        <f>AC23-AA23</f>
        <v/>
      </c>
      <c r="AF23" s="100">
        <f>AE23/AA23</f>
        <v/>
      </c>
      <c r="AG23" t="n">
        <v>900</v>
      </c>
    </row>
    <row r="24">
      <c r="A24">
        <f>VLOOKUP($C24,PrilimTable!$O:$U,7,FALSE)</f>
        <v/>
      </c>
      <c r="B24" t="n">
        <v>19</v>
      </c>
      <c r="C24">
        <f>B24</f>
        <v/>
      </c>
      <c r="D24">
        <f>VLOOKUP($C24,PrilimTable!$O:$T,2,FALSE)</f>
        <v/>
      </c>
      <c r="E24" s="43">
        <f>SUMIF(PrilimTable!$N$4:$N$82,B24,PrilimTable!$Q$4:$Q$82)</f>
        <v/>
      </c>
      <c r="F24" s="74">
        <f>E24/$E$49</f>
        <v/>
      </c>
      <c r="G24" s="33">
        <f>SUMIF(PrilimTable!$O$4:$O$82,C24,PrilimTable!$S$4:$S$82)</f>
        <v/>
      </c>
      <c r="H24" s="76">
        <f>G24/$G$49</f>
        <v/>
      </c>
      <c r="I24" s="53">
        <f>G24-E24</f>
        <v/>
      </c>
      <c r="J24" s="100">
        <f>I24/E24</f>
        <v/>
      </c>
      <c r="L24" s="86" t="n"/>
      <c r="M24" s="94" t="n"/>
      <c r="X24" t="n">
        <v>19</v>
      </c>
      <c r="Y24" t="n">
        <v>19</v>
      </c>
      <c r="Z24">
        <f>VLOOKUP(Y24,$C$14:$D$49,2,FALSE)</f>
        <v/>
      </c>
      <c r="AA24" s="43">
        <f>SUMIF(PrilimTable!$N$4:$N$82,X24,PrilimTable!$Q$4:$Q$82)</f>
        <v/>
      </c>
      <c r="AB24" s="44">
        <f>AA24/$E$49</f>
        <v/>
      </c>
      <c r="AC24" s="33">
        <f>SUMIF(PrilimTable!$O$4:$O$82,Y24,PrilimTable!$S$4:$S$82)</f>
        <v/>
      </c>
      <c r="AD24" s="42">
        <f>AC24/$G$49</f>
        <v/>
      </c>
      <c r="AE24" s="53">
        <f>AC24-AA24</f>
        <v/>
      </c>
      <c r="AF24" s="100">
        <f>AE24/AA24</f>
        <v/>
      </c>
      <c r="AG24" t="n">
        <v>1000</v>
      </c>
    </row>
    <row r="25">
      <c r="A25">
        <f>VLOOKUP($C25,PrilimTable!$O:$U,7,FALSE)</f>
        <v/>
      </c>
      <c r="B25" t="n">
        <v>22</v>
      </c>
      <c r="C25">
        <f>B25</f>
        <v/>
      </c>
      <c r="D25">
        <f>VLOOKUP($C25,PrilimTable!$O:$T,2,FALSE)</f>
        <v/>
      </c>
      <c r="E25" s="43">
        <f>SUMIF(PrilimTable!$N$4:$N$82,B25,PrilimTable!$Q$4:$Q$82)</f>
        <v/>
      </c>
      <c r="F25" s="74">
        <f>E25/$E$49</f>
        <v/>
      </c>
      <c r="G25" s="33">
        <f>SUMIF(PrilimTable!$O$4:$O$82,C25,PrilimTable!$S$4:$S$82)</f>
        <v/>
      </c>
      <c r="H25" s="76">
        <f>G25/$G$49</f>
        <v/>
      </c>
      <c r="I25" s="53">
        <f>G25-E25</f>
        <v/>
      </c>
      <c r="J25" s="100">
        <f>I25/E25</f>
        <v/>
      </c>
      <c r="L25" s="86" t="n"/>
      <c r="M25" s="94" t="n"/>
      <c r="X25" t="n">
        <v>22</v>
      </c>
      <c r="Y25" t="n">
        <v>22</v>
      </c>
      <c r="Z25">
        <f>VLOOKUP(Y25,$C$14:$D$49,2,FALSE)</f>
        <v/>
      </c>
      <c r="AA25" s="43">
        <f>SUMIF(PrilimTable!$N$4:$N$82,X25,PrilimTable!$Q$4:$Q$82)</f>
        <v/>
      </c>
      <c r="AB25" s="44">
        <f>AA25/$E$49</f>
        <v/>
      </c>
      <c r="AC25" s="33">
        <f>SUMIF(PrilimTable!$O$4:$O$82,Y25,PrilimTable!$S$4:$S$82)</f>
        <v/>
      </c>
      <c r="AD25" s="42">
        <f>AC25/$G$49</f>
        <v/>
      </c>
      <c r="AE25" s="53">
        <f>AC25-AA25</f>
        <v/>
      </c>
      <c r="AF25" s="100">
        <f>AE25/AA25</f>
        <v/>
      </c>
      <c r="AG25" t="n">
        <v>1100</v>
      </c>
    </row>
    <row r="26">
      <c r="A26">
        <f>VLOOKUP($C26,PrilimTable!$O:$U,7,FALSE)</f>
        <v/>
      </c>
      <c r="B26" t="n">
        <v>23</v>
      </c>
      <c r="C26">
        <f>B26</f>
        <v/>
      </c>
      <c r="D26">
        <f>VLOOKUP($C26,PrilimTable!$O:$T,2,FALSE)</f>
        <v/>
      </c>
      <c r="E26" s="43">
        <f>SUMIF(PrilimTable!$N$4:$N$82,B26,PrilimTable!$Q$4:$Q$82)</f>
        <v/>
      </c>
      <c r="F26" s="74">
        <f>E26/$E$49</f>
        <v/>
      </c>
      <c r="G26" s="33">
        <f>SUMIF(PrilimTable!$O$4:$O$82,C26,PrilimTable!$S$4:$S$82)</f>
        <v/>
      </c>
      <c r="H26" s="76">
        <f>G26/$G$49</f>
        <v/>
      </c>
      <c r="I26" s="53">
        <f>G26-E26</f>
        <v/>
      </c>
      <c r="J26" s="100">
        <f>I26/E26</f>
        <v/>
      </c>
      <c r="L26" s="86" t="n"/>
      <c r="M26" s="94" t="n"/>
      <c r="X26" t="n">
        <v>23</v>
      </c>
      <c r="Y26" t="n">
        <v>23</v>
      </c>
      <c r="Z26">
        <f>VLOOKUP(Y26,$C$14:$D$49,2,FALSE)</f>
        <v/>
      </c>
      <c r="AA26" s="43">
        <f>SUMIF(PrilimTable!$N$4:$N$82,X26,PrilimTable!$Q$4:$Q$82)</f>
        <v/>
      </c>
      <c r="AB26" s="44">
        <f>AA26/$E$49</f>
        <v/>
      </c>
      <c r="AC26" s="33">
        <f>SUMIF(PrilimTable!$O$4:$O$82,Y26,PrilimTable!$S$4:$S$82)</f>
        <v/>
      </c>
      <c r="AD26" s="42">
        <f>AC26/$G$49</f>
        <v/>
      </c>
      <c r="AE26" s="53">
        <f>AC26-AA26</f>
        <v/>
      </c>
      <c r="AF26" s="100">
        <f>AE26/AA26</f>
        <v/>
      </c>
      <c r="AG26" t="n">
        <v>1200</v>
      </c>
    </row>
    <row r="27">
      <c r="A27">
        <f>VLOOKUP($C27,PrilimTable!$O:$U,7,FALSE)</f>
        <v/>
      </c>
      <c r="B27" t="n">
        <v>28</v>
      </c>
      <c r="C27">
        <f>B27</f>
        <v/>
      </c>
      <c r="D27">
        <f>VLOOKUP($C27,PrilimTable!$O:$T,2,FALSE)</f>
        <v/>
      </c>
      <c r="E27" s="43">
        <f>SUMIF(PrilimTable!$N$4:$N$82,B27,PrilimTable!$Q$4:$Q$82)</f>
        <v/>
      </c>
      <c r="F27" s="74">
        <f>E27/$E$49</f>
        <v/>
      </c>
      <c r="G27" s="33">
        <f>SUMIF(PrilimTable!$O$4:$O$82,C27,PrilimTable!$S$4:$S$82)</f>
        <v/>
      </c>
      <c r="H27" s="76">
        <f>G27/$G$49</f>
        <v/>
      </c>
      <c r="I27" s="53">
        <f>G27-E27</f>
        <v/>
      </c>
      <c r="J27" s="100">
        <f>I27/E27</f>
        <v/>
      </c>
      <c r="L27" s="86" t="n"/>
      <c r="M27" s="94" t="n"/>
      <c r="X27" t="n">
        <v>28</v>
      </c>
      <c r="Y27" t="n">
        <v>28</v>
      </c>
      <c r="Z27">
        <f>VLOOKUP(Y27,$C$14:$D$49,2,FALSE)</f>
        <v/>
      </c>
      <c r="AA27" s="43">
        <f>SUMIF(PrilimTable!$N$4:$N$82,X27,PrilimTable!$Q$4:$Q$82)</f>
        <v/>
      </c>
      <c r="AB27" s="44">
        <f>AA27/$E$49</f>
        <v/>
      </c>
      <c r="AC27" s="33">
        <f>SUMIF(PrilimTable!$O$4:$O$82,Y27,PrilimTable!$S$4:$S$82)</f>
        <v/>
      </c>
      <c r="AD27" s="42">
        <f>AC27/$G$49</f>
        <v/>
      </c>
      <c r="AE27" s="53">
        <f>AC27-AA27</f>
        <v/>
      </c>
      <c r="AF27" s="100">
        <f>AE27/AA27</f>
        <v/>
      </c>
      <c r="AG27" t="n">
        <v>1300</v>
      </c>
    </row>
    <row r="28">
      <c r="A28">
        <f>VLOOKUP($C28,PrilimTable!$O:$U,7,FALSE)</f>
        <v/>
      </c>
      <c r="B28" t="n">
        <v>29</v>
      </c>
      <c r="C28">
        <f>B28</f>
        <v/>
      </c>
      <c r="D28">
        <f>VLOOKUP($C28,PrilimTable!$O:$T,2,FALSE)</f>
        <v/>
      </c>
      <c r="E28" s="43">
        <f>SUMIF(PrilimTable!$N$4:$N$82,B28,PrilimTable!$Q$4:$Q$82)</f>
        <v/>
      </c>
      <c r="F28" s="74">
        <f>E28/$E$49</f>
        <v/>
      </c>
      <c r="G28" s="33">
        <f>SUMIF(PrilimTable!$O$4:$O$82,C28,PrilimTable!$S$4:$S$82)</f>
        <v/>
      </c>
      <c r="H28" s="76">
        <f>G28/$G$49</f>
        <v/>
      </c>
      <c r="I28" s="53">
        <f>G28-E28</f>
        <v/>
      </c>
      <c r="J28" s="100">
        <f>I28/E28</f>
        <v/>
      </c>
      <c r="L28" s="86" t="n"/>
      <c r="M28" s="94" t="n"/>
      <c r="X28" t="n">
        <v>29</v>
      </c>
      <c r="Y28" t="n">
        <v>29</v>
      </c>
      <c r="Z28">
        <f>VLOOKUP(Y28,$C$14:$D$49,2,FALSE)</f>
        <v/>
      </c>
      <c r="AA28" s="43">
        <f>SUMIF(PrilimTable!$N$4:$N$82,X28,PrilimTable!$Q$4:$Q$82)</f>
        <v/>
      </c>
      <c r="AB28" s="44">
        <f>AA28/$E$49</f>
        <v/>
      </c>
      <c r="AC28" s="33">
        <f>SUMIF(PrilimTable!$O$4:$O$82,Y28,PrilimTable!$S$4:$S$82)</f>
        <v/>
      </c>
      <c r="AD28" s="42">
        <f>AC28/$G$49</f>
        <v/>
      </c>
      <c r="AE28" s="53">
        <f>AC28-AA28</f>
        <v/>
      </c>
      <c r="AF28" s="100">
        <f>AE28/AA28</f>
        <v/>
      </c>
      <c r="AG28" t="n">
        <v>1400</v>
      </c>
    </row>
    <row r="29">
      <c r="A29">
        <f>VLOOKUP($C29,PrilimTable!$O:$U,7,FALSE)</f>
        <v/>
      </c>
      <c r="B29" t="n">
        <v>34</v>
      </c>
      <c r="C29">
        <f>B29</f>
        <v/>
      </c>
      <c r="D29">
        <f>VLOOKUP($C29,PrilimTable!$O:$T,2,FALSE)</f>
        <v/>
      </c>
      <c r="E29" s="43">
        <f>SUMIF(PrilimTable!$N$4:$N$82,B29,PrilimTable!$Q$4:$Q$82)</f>
        <v/>
      </c>
      <c r="F29" s="74">
        <f>E29/$E$49</f>
        <v/>
      </c>
      <c r="G29" s="33">
        <f>SUMIF(PrilimTable!$O$4:$O$82,C29,PrilimTable!$S$4:$S$82)</f>
        <v/>
      </c>
      <c r="H29" s="76">
        <f>G29/$G$49</f>
        <v/>
      </c>
      <c r="I29" s="53">
        <f>G29-E29</f>
        <v/>
      </c>
      <c r="J29" s="100">
        <f>I29/E29</f>
        <v/>
      </c>
      <c r="L29" s="86" t="n"/>
      <c r="M29" s="94" t="n"/>
      <c r="X29" t="n">
        <v>34</v>
      </c>
      <c r="Y29" t="n">
        <v>34</v>
      </c>
      <c r="Z29">
        <f>VLOOKUP(Y29,$C$14:$D$49,2,FALSE)</f>
        <v/>
      </c>
      <c r="AA29" s="43">
        <f>SUMIF(PrilimTable!$N$4:$N$82,X29,PrilimTable!$Q$4:$Q$82)</f>
        <v/>
      </c>
      <c r="AB29" s="44">
        <f>AA29/$E$49</f>
        <v/>
      </c>
      <c r="AC29" s="33">
        <f>SUMIF(PrilimTable!$O$4:$O$82,Y29,PrilimTable!$S$4:$S$82)</f>
        <v/>
      </c>
      <c r="AD29" s="42">
        <f>AC29/$G$49</f>
        <v/>
      </c>
      <c r="AE29" s="53">
        <f>AC29-AA29</f>
        <v/>
      </c>
      <c r="AF29" s="100">
        <f>AE29/AA29</f>
        <v/>
      </c>
      <c r="AG29" t="n">
        <v>1500</v>
      </c>
    </row>
    <row r="30">
      <c r="A30">
        <f>VLOOKUP($C30,PrilimTable!$O:$U,7,FALSE)</f>
        <v/>
      </c>
      <c r="B30" t="n">
        <v>41</v>
      </c>
      <c r="C30">
        <f>B30</f>
        <v/>
      </c>
      <c r="D30">
        <f>VLOOKUP($C30,PrilimTable!$O:$T,2,FALSE)</f>
        <v/>
      </c>
      <c r="E30" s="43">
        <f>SUMIF(PrilimTable!$N$4:$N$82,B30,PrilimTable!$Q$4:$Q$82)</f>
        <v/>
      </c>
      <c r="F30" s="74">
        <f>E30/$E$49</f>
        <v/>
      </c>
      <c r="G30" s="33">
        <f>SUMIF(PrilimTable!$O$4:$O$82,C30,PrilimTable!$S$4:$S$82)</f>
        <v/>
      </c>
      <c r="H30" s="76">
        <f>G30/$G$49</f>
        <v/>
      </c>
      <c r="I30" s="53">
        <f>G30-E30</f>
        <v/>
      </c>
      <c r="J30" s="100">
        <f>I30/E30</f>
        <v/>
      </c>
      <c r="L30" s="86" t="n"/>
      <c r="M30" s="94" t="n"/>
      <c r="X30" t="n">
        <v>41</v>
      </c>
      <c r="Y30" t="n">
        <v>41</v>
      </c>
      <c r="Z30">
        <f>VLOOKUP(Y30,$C$14:$D$49,2,FALSE)</f>
        <v/>
      </c>
      <c r="AA30" s="43">
        <f>SUMIF(PrilimTable!$N$4:$N$82,X30,PrilimTable!$Q$4:$Q$82)</f>
        <v/>
      </c>
      <c r="AB30" s="44">
        <f>AA30/$E$49</f>
        <v/>
      </c>
      <c r="AC30" s="33">
        <f>SUMIF(PrilimTable!$O$4:$O$82,Y30,PrilimTable!$S$4:$S$82)</f>
        <v/>
      </c>
      <c r="AD30" s="42">
        <f>AC30/$G$49</f>
        <v/>
      </c>
      <c r="AE30" s="53">
        <f>AC30-AA30</f>
        <v/>
      </c>
      <c r="AF30" s="100">
        <f>AE30/AA30</f>
        <v/>
      </c>
      <c r="AG30" t="n">
        <v>1600</v>
      </c>
    </row>
    <row r="31">
      <c r="A31">
        <f>VLOOKUP($C31,PrilimTable!$O:$U,7,FALSE)</f>
        <v/>
      </c>
      <c r="B31" t="n">
        <v>42</v>
      </c>
      <c r="C31">
        <f>B31</f>
        <v/>
      </c>
      <c r="D31">
        <f>VLOOKUP($C31,PrilimTable!$O:$T,2,FALSE)</f>
        <v/>
      </c>
      <c r="E31" s="43">
        <f>SUMIF(PrilimTable!$N$4:$N$82,B31,PrilimTable!$Q$4:$Q$82)</f>
        <v/>
      </c>
      <c r="F31" s="74">
        <f>E31/$E$49</f>
        <v/>
      </c>
      <c r="G31" s="33">
        <f>SUMIF(PrilimTable!$O$4:$O$82,C31,PrilimTable!$S$4:$S$82)</f>
        <v/>
      </c>
      <c r="H31" s="76">
        <f>G31/$G$49</f>
        <v/>
      </c>
      <c r="I31" s="53">
        <f>G31-E31</f>
        <v/>
      </c>
      <c r="J31" s="100">
        <f>I31/E31</f>
        <v/>
      </c>
      <c r="L31" s="86" t="n"/>
      <c r="M31" s="94" t="n"/>
      <c r="X31" t="n">
        <v>42</v>
      </c>
      <c r="Y31" t="n">
        <v>42</v>
      </c>
      <c r="Z31">
        <f>VLOOKUP(Y31,$C$14:$D$49,2,FALSE)</f>
        <v/>
      </c>
      <c r="AA31" s="43">
        <f>SUMIF(PrilimTable!$N$4:$N$82,X31,PrilimTable!$Q$4:$Q$82)</f>
        <v/>
      </c>
      <c r="AB31" s="44">
        <f>AA31/$E$49</f>
        <v/>
      </c>
      <c r="AC31" s="33">
        <f>SUMIF(PrilimTable!$O$4:$O$82,Y31,PrilimTable!$S$4:$S$82)</f>
        <v/>
      </c>
      <c r="AD31" s="42">
        <f>AC31/$G$49</f>
        <v/>
      </c>
      <c r="AE31" s="53">
        <f>AC31-AA31</f>
        <v/>
      </c>
      <c r="AF31" s="100">
        <f>AE31/AA31</f>
        <v/>
      </c>
      <c r="AG31" t="n">
        <v>1700</v>
      </c>
    </row>
    <row r="32">
      <c r="A32">
        <f>VLOOKUP($C32,PrilimTable!$O:$U,7,FALSE)</f>
        <v/>
      </c>
      <c r="B32" t="n">
        <v>50</v>
      </c>
      <c r="C32">
        <f>B32</f>
        <v/>
      </c>
      <c r="D32">
        <f>VLOOKUP($C32,PrilimTable!$O:$T,2,FALSE)</f>
        <v/>
      </c>
      <c r="E32" s="43">
        <f>SUMIF(PrilimTable!$N$4:$N$82,B32,PrilimTable!$Q$4:$Q$82)</f>
        <v/>
      </c>
      <c r="F32" s="74">
        <f>E32/$E$49</f>
        <v/>
      </c>
      <c r="G32" s="33">
        <f>SUMIF(PrilimTable!$O$4:$O$82,C32,PrilimTable!$S$4:$S$82)</f>
        <v/>
      </c>
      <c r="H32" s="76">
        <f>G32/$G$49</f>
        <v/>
      </c>
      <c r="I32" s="53">
        <f>G32-E32</f>
        <v/>
      </c>
      <c r="J32" s="100">
        <f>I32/E32</f>
        <v/>
      </c>
      <c r="L32" s="86" t="n"/>
      <c r="M32" s="94" t="n"/>
      <c r="X32" t="n">
        <v>50</v>
      </c>
      <c r="Y32" t="n">
        <v>50</v>
      </c>
      <c r="Z32">
        <f>VLOOKUP(Y32,$C$14:$D$49,2,FALSE)</f>
        <v/>
      </c>
      <c r="AA32" s="43">
        <f>SUMIF(PrilimTable!$N$4:$N$82,X32,PrilimTable!$Q$4:$Q$82)</f>
        <v/>
      </c>
      <c r="AB32" s="44">
        <f>AA32/$E$49</f>
        <v/>
      </c>
      <c r="AC32" s="33">
        <f>SUMIF(PrilimTable!$O$4:$O$82,Y32,PrilimTable!$S$4:$S$82)</f>
        <v/>
      </c>
      <c r="AD32" s="42">
        <f>AC32/$G$49</f>
        <v/>
      </c>
      <c r="AE32" s="53">
        <f>AC32-AA32</f>
        <v/>
      </c>
      <c r="AF32" s="100">
        <f>AE32/AA32</f>
        <v/>
      </c>
      <c r="AG32" t="n">
        <v>1800</v>
      </c>
    </row>
    <row r="33">
      <c r="A33">
        <f>VLOOKUP($C33,PrilimTable!$O:$U,7,FALSE)</f>
        <v/>
      </c>
      <c r="B33" t="n">
        <v>52</v>
      </c>
      <c r="C33">
        <f>B33</f>
        <v/>
      </c>
      <c r="D33">
        <f>VLOOKUP($C33,PrilimTable!$O:$T,2,FALSE)</f>
        <v/>
      </c>
      <c r="E33" s="43">
        <f>SUMIF(PrilimTable!$N$4:$N$82,B33,PrilimTable!$Q$4:$Q$82)</f>
        <v/>
      </c>
      <c r="F33" s="74">
        <f>E33/$E$49</f>
        <v/>
      </c>
      <c r="G33" s="33">
        <f>SUMIF(PrilimTable!$O$4:$O$82,C33,PrilimTable!$S$4:$S$82)</f>
        <v/>
      </c>
      <c r="H33" s="76">
        <f>G33/$G$49</f>
        <v/>
      </c>
      <c r="I33" s="53">
        <f>G33-E33</f>
        <v/>
      </c>
      <c r="J33" s="100">
        <f>I33/E33</f>
        <v/>
      </c>
      <c r="L33" s="86" t="n"/>
      <c r="M33" s="94" t="n"/>
      <c r="X33" t="n">
        <v>52</v>
      </c>
      <c r="Y33" t="n">
        <v>52</v>
      </c>
      <c r="Z33">
        <f>VLOOKUP(Y33,$C$14:$D$49,2,FALSE)</f>
        <v/>
      </c>
      <c r="AA33" s="43">
        <f>SUMIF(PrilimTable!$N$4:$N$82,X33,PrilimTable!$Q$4:$Q$82)</f>
        <v/>
      </c>
      <c r="AB33" s="44">
        <f>AA33/$E$49</f>
        <v/>
      </c>
      <c r="AC33" s="33">
        <f>SUMIF(PrilimTable!$O$4:$O$82,Y33,PrilimTable!$S$4:$S$82)</f>
        <v/>
      </c>
      <c r="AD33" s="42">
        <f>AC33/$G$49</f>
        <v/>
      </c>
      <c r="AE33" s="53">
        <f>AC33-AA33</f>
        <v/>
      </c>
      <c r="AF33" s="100">
        <f>AE33/AA33</f>
        <v/>
      </c>
      <c r="AG33" t="n">
        <v>1900</v>
      </c>
    </row>
    <row r="34">
      <c r="A34">
        <f>VLOOKUP($C34,PrilimTable!$O:$U,7,FALSE)</f>
        <v/>
      </c>
      <c r="B34" t="n">
        <v>55</v>
      </c>
      <c r="C34">
        <f>B34</f>
        <v/>
      </c>
      <c r="D34">
        <f>VLOOKUP($C34,PrilimTable!$O:$T,2,FALSE)</f>
        <v/>
      </c>
      <c r="E34" s="43">
        <f>SUMIF(PrilimTable!$N$4:$N$82,B34,PrilimTable!$Q$4:$Q$82)</f>
        <v/>
      </c>
      <c r="F34" s="74">
        <f>E34/$E$49</f>
        <v/>
      </c>
      <c r="G34" s="33">
        <f>SUMIF(PrilimTable!$O$4:$O$82,C34,PrilimTable!$S$4:$S$82)</f>
        <v/>
      </c>
      <c r="H34" s="76">
        <f>G34/$G$49</f>
        <v/>
      </c>
      <c r="I34" s="53">
        <f>G34-E34</f>
        <v/>
      </c>
      <c r="J34" s="100">
        <f>I34/E34</f>
        <v/>
      </c>
      <c r="L34" s="86" t="n"/>
      <c r="M34" s="94" t="n"/>
      <c r="X34" t="n">
        <v>55</v>
      </c>
      <c r="Y34" t="n">
        <v>55</v>
      </c>
      <c r="Z34">
        <f>VLOOKUP(Y34,$C$14:$D$49,2,FALSE)</f>
        <v/>
      </c>
      <c r="AA34" s="43">
        <f>SUMIF(PrilimTable!$N$4:$N$82,X34,PrilimTable!$Q$4:$Q$82)</f>
        <v/>
      </c>
      <c r="AB34" s="44">
        <f>AA34/$E$49</f>
        <v/>
      </c>
      <c r="AC34" s="33">
        <f>SUMIF(PrilimTable!$O$4:$O$82,Y34,PrilimTable!$S$4:$S$82)</f>
        <v/>
      </c>
      <c r="AD34" s="42">
        <f>AC34/$G$49</f>
        <v/>
      </c>
      <c r="AE34" s="53">
        <f>AC34-AA34</f>
        <v/>
      </c>
      <c r="AF34" s="100">
        <f>AE34/AA34</f>
        <v/>
      </c>
      <c r="AG34" t="n">
        <v>2000</v>
      </c>
    </row>
    <row r="35">
      <c r="A35">
        <f>VLOOKUP($C35,PrilimTable!$O:$U,7,FALSE)</f>
        <v/>
      </c>
      <c r="B35" t="n">
        <v>56</v>
      </c>
      <c r="C35">
        <f>B35</f>
        <v/>
      </c>
      <c r="D35">
        <f>VLOOKUP($C35,PrilimTable!$O:$T,2,FALSE)</f>
        <v/>
      </c>
      <c r="E35" s="43">
        <f>SUMIF(PrilimTable!$N$4:$N$82,B35,PrilimTable!$Q$4:$Q$82)</f>
        <v/>
      </c>
      <c r="F35" s="74">
        <f>E35/$E$49</f>
        <v/>
      </c>
      <c r="G35" s="33">
        <f>SUMIF(PrilimTable!$O$4:$O$82,C35,PrilimTable!$S$4:$S$82)</f>
        <v/>
      </c>
      <c r="H35" s="76">
        <f>G35/$G$49</f>
        <v/>
      </c>
      <c r="I35" s="53">
        <f>G35-E35</f>
        <v/>
      </c>
      <c r="J35" s="100">
        <f>I35/E35</f>
        <v/>
      </c>
      <c r="L35" s="86" t="n"/>
      <c r="M35" s="94" t="n"/>
      <c r="X35" t="n">
        <v>56</v>
      </c>
      <c r="Y35" t="n">
        <v>56</v>
      </c>
      <c r="Z35">
        <f>VLOOKUP(Y35,$C$14:$D$49,2,FALSE)</f>
        <v/>
      </c>
      <c r="AA35" s="43">
        <f>SUMIF(PrilimTable!$N$4:$N$82,X35,PrilimTable!$Q$4:$Q$82)</f>
        <v/>
      </c>
      <c r="AB35" s="44">
        <f>AA35/$E$49</f>
        <v/>
      </c>
      <c r="AC35" s="33">
        <f>SUMIF(PrilimTable!$O$4:$O$82,Y35,PrilimTable!$S$4:$S$82)</f>
        <v/>
      </c>
      <c r="AD35" s="42">
        <f>AC35/$G$49</f>
        <v/>
      </c>
      <c r="AE35" s="53">
        <f>AC35-AA35</f>
        <v/>
      </c>
      <c r="AF35" s="100">
        <f>AE35/AA35</f>
        <v/>
      </c>
      <c r="AG35" t="n">
        <v>2100</v>
      </c>
    </row>
    <row r="36">
      <c r="A36">
        <f>VLOOKUP($C36,PrilimTable!$O:$U,7,FALSE)</f>
        <v/>
      </c>
      <c r="B36" t="n">
        <v>64</v>
      </c>
      <c r="C36">
        <f>B36</f>
        <v/>
      </c>
      <c r="D36">
        <f>VLOOKUP($C36,PrilimTable!$O:$T,2,FALSE)</f>
        <v/>
      </c>
      <c r="E36" s="43">
        <f>SUMIF(PrilimTable!$N$4:$N$82,B36,PrilimTable!$Q$4:$Q$82)</f>
        <v/>
      </c>
      <c r="F36" s="74">
        <f>E36/$E$49</f>
        <v/>
      </c>
      <c r="G36" s="33">
        <f>SUMIF(PrilimTable!$O$4:$O$82,C36,PrilimTable!$S$4:$S$82)</f>
        <v/>
      </c>
      <c r="H36" s="76">
        <f>G36/$G$49</f>
        <v/>
      </c>
      <c r="I36" s="53">
        <f>G36-E36</f>
        <v/>
      </c>
      <c r="J36" s="100">
        <f>I36/E36</f>
        <v/>
      </c>
      <c r="L36" s="86" t="n"/>
      <c r="M36" s="94" t="n"/>
      <c r="X36" t="n">
        <v>64</v>
      </c>
      <c r="Y36" t="n">
        <v>64</v>
      </c>
      <c r="Z36">
        <f>VLOOKUP(Y36,$C$14:$D$49,2,FALSE)</f>
        <v/>
      </c>
      <c r="AA36" s="43">
        <f>SUMIF(PrilimTable!$N$4:$N$82,X36,PrilimTable!$Q$4:$Q$82)</f>
        <v/>
      </c>
      <c r="AB36" s="44">
        <f>AA36/$E$49</f>
        <v/>
      </c>
      <c r="AC36" s="33">
        <f>SUMIF(PrilimTable!$O$4:$O$82,Y36,PrilimTable!$S$4:$S$82)</f>
        <v/>
      </c>
      <c r="AD36" s="42">
        <f>AC36/$G$49</f>
        <v/>
      </c>
      <c r="AE36" s="53">
        <f>AC36-AA36</f>
        <v/>
      </c>
      <c r="AF36" s="100">
        <f>AE36/AA36</f>
        <v/>
      </c>
      <c r="AG36" t="n">
        <v>2200</v>
      </c>
    </row>
    <row r="37">
      <c r="A37">
        <f>VLOOKUP($C37,PrilimTable!$O:$U,7,FALSE)</f>
        <v/>
      </c>
      <c r="B37" t="n">
        <v>70</v>
      </c>
      <c r="C37">
        <f>B37</f>
        <v/>
      </c>
      <c r="D37">
        <f>VLOOKUP($C37,PrilimTable!$O:$T,2,FALSE)</f>
        <v/>
      </c>
      <c r="E37" s="43">
        <f>SUMIF(PrilimTable!$N$4:$N$82,B37,PrilimTable!$Q$4:$Q$82)</f>
        <v/>
      </c>
      <c r="F37" s="74">
        <f>E37/$E$49</f>
        <v/>
      </c>
      <c r="G37" s="33">
        <f>SUMIF(PrilimTable!$O$4:$O$82,C37,PrilimTable!$S$4:$S$82)</f>
        <v/>
      </c>
      <c r="H37" s="76">
        <f>G37/$G$49</f>
        <v/>
      </c>
      <c r="I37" s="53">
        <f>G37-E37</f>
        <v/>
      </c>
      <c r="J37" s="100">
        <f>I37/E37</f>
        <v/>
      </c>
      <c r="L37" s="86" t="n"/>
      <c r="M37" s="94" t="n"/>
      <c r="X37" t="n">
        <v>70</v>
      </c>
      <c r="Y37" t="n">
        <v>70</v>
      </c>
      <c r="Z37">
        <f>VLOOKUP(Y37,$C$14:$D$49,2,FALSE)</f>
        <v/>
      </c>
      <c r="AA37" s="43">
        <f>SUMIF(PrilimTable!$N$4:$N$82,X37,PrilimTable!$Q$4:$Q$82)</f>
        <v/>
      </c>
      <c r="AB37" s="44">
        <f>AA37/$E$49</f>
        <v/>
      </c>
      <c r="AC37" s="33">
        <f>SUMIF(PrilimTable!$O$4:$O$82,Y37,PrilimTable!$S$4:$S$82)</f>
        <v/>
      </c>
      <c r="AD37" s="42">
        <f>AC37/$G$49</f>
        <v/>
      </c>
      <c r="AE37" s="53">
        <f>AC37-AA37</f>
        <v/>
      </c>
      <c r="AF37" s="100">
        <f>AE37/AA37</f>
        <v/>
      </c>
      <c r="AG37" t="n">
        <v>2300</v>
      </c>
    </row>
    <row r="38">
      <c r="A38">
        <f>VLOOKUP($C38,PrilimTable!$O:$U,7,FALSE)</f>
        <v/>
      </c>
      <c r="B38" t="n">
        <v>75</v>
      </c>
      <c r="C38">
        <f>B38</f>
        <v/>
      </c>
      <c r="D38">
        <f>VLOOKUP($C38,PrilimTable!$O:$T,2,FALSE)</f>
        <v/>
      </c>
      <c r="E38" s="43">
        <f>SUMIF(PrilimTable!$N$4:$N$82,B38,PrilimTable!$Q$4:$Q$82)</f>
        <v/>
      </c>
      <c r="F38" s="74">
        <f>E38/$E$49</f>
        <v/>
      </c>
      <c r="G38" s="33">
        <f>SUMIF(PrilimTable!$O$4:$O$82,C38,PrilimTable!$S$4:$S$82)</f>
        <v/>
      </c>
      <c r="H38" s="76">
        <f>G38/$G$49</f>
        <v/>
      </c>
      <c r="I38" s="53">
        <f>G38-E38</f>
        <v/>
      </c>
      <c r="J38" s="100">
        <f>I38/E38</f>
        <v/>
      </c>
      <c r="L38" s="86" t="n"/>
      <c r="M38" s="94" t="n"/>
      <c r="X38" t="n">
        <v>75</v>
      </c>
      <c r="Y38" t="n">
        <v>75</v>
      </c>
      <c r="Z38">
        <f>VLOOKUP(Y38,$C$14:$D$49,2,FALSE)</f>
        <v/>
      </c>
      <c r="AA38" s="43">
        <f>SUMIF(PrilimTable!$N$4:$N$82,X38,PrilimTable!$Q$4:$Q$82)</f>
        <v/>
      </c>
      <c r="AB38" s="44">
        <f>AA38/$E$49</f>
        <v/>
      </c>
      <c r="AC38" s="33">
        <f>SUMIF(PrilimTable!$O$4:$O$82,Y38,PrilimTable!$S$4:$S$82)</f>
        <v/>
      </c>
      <c r="AD38" s="42">
        <f>AC38/$G$49</f>
        <v/>
      </c>
      <c r="AE38" s="53">
        <f>AC38-AA38</f>
        <v/>
      </c>
      <c r="AF38" s="100">
        <f>AE38/AA38</f>
        <v/>
      </c>
      <c r="AG38" t="n">
        <v>2400</v>
      </c>
    </row>
    <row r="39">
      <c r="A39">
        <f>VLOOKUP($C39,PrilimTable!$O:$U,7,FALSE)</f>
        <v/>
      </c>
      <c r="B39" t="n">
        <v>76</v>
      </c>
      <c r="C39">
        <f>B39</f>
        <v/>
      </c>
      <c r="D39">
        <f>VLOOKUP($C39,PrilimTable!$O:$T,2,FALSE)</f>
        <v/>
      </c>
      <c r="E39" s="43">
        <f>SUMIF(PrilimTable!$N$4:$N$82,B39,PrilimTable!$Q$4:$Q$82)</f>
        <v/>
      </c>
      <c r="F39" s="74">
        <f>E39/$E$49</f>
        <v/>
      </c>
      <c r="G39" s="33">
        <f>SUMIF(PrilimTable!$O$4:$O$82,C39,PrilimTable!$S$4:$S$82)</f>
        <v/>
      </c>
      <c r="H39" s="76">
        <f>G39/$G$49</f>
        <v/>
      </c>
      <c r="I39" s="53">
        <f>G39-E39</f>
        <v/>
      </c>
      <c r="J39" s="100">
        <f>I39/E39</f>
        <v/>
      </c>
      <c r="L39" s="86" t="n"/>
      <c r="M39" s="94" t="n"/>
      <c r="X39" t="n">
        <v>76</v>
      </c>
      <c r="Y39" t="n">
        <v>76</v>
      </c>
      <c r="Z39">
        <f>VLOOKUP(Y39,$C$14:$D$49,2,FALSE)</f>
        <v/>
      </c>
      <c r="AA39" s="43">
        <f>SUMIF(PrilimTable!$N$4:$N$82,X39,PrilimTable!$Q$4:$Q$82)</f>
        <v/>
      </c>
      <c r="AB39" s="44">
        <f>AA39/$E$49</f>
        <v/>
      </c>
      <c r="AC39" s="33">
        <f>SUMIF(PrilimTable!$O$4:$O$82,Y39,PrilimTable!$S$4:$S$82)</f>
        <v/>
      </c>
      <c r="AD39" s="42">
        <f>AC39/$G$49</f>
        <v/>
      </c>
      <c r="AE39" s="53">
        <f>AC39-AA39</f>
        <v/>
      </c>
      <c r="AF39" s="100">
        <f>AE39/AA39</f>
        <v/>
      </c>
      <c r="AG39" t="n">
        <v>2500</v>
      </c>
    </row>
    <row r="40">
      <c r="A40">
        <f>VLOOKUP($C40,PrilimTable!$O:$U,7,FALSE)</f>
        <v/>
      </c>
      <c r="B40" t="n">
        <v>77</v>
      </c>
      <c r="C40">
        <f>B40</f>
        <v/>
      </c>
      <c r="D40">
        <f>VLOOKUP($C40,PrilimTable!$O:$T,2,FALSE)</f>
        <v/>
      </c>
      <c r="E40" s="43">
        <f>SUMIF(PrilimTable!$N$4:$N$82,B40,PrilimTable!$Q$4:$Q$82)</f>
        <v/>
      </c>
      <c r="F40" s="74">
        <f>E40/$E$49</f>
        <v/>
      </c>
      <c r="G40" s="33">
        <f>SUMIF(PrilimTable!$O$4:$O$82,C40,PrilimTable!$S$4:$S$82)</f>
        <v/>
      </c>
      <c r="H40" s="76">
        <f>G40/$G$49</f>
        <v/>
      </c>
      <c r="I40" s="53">
        <f>G40-E40</f>
        <v/>
      </c>
      <c r="J40" s="100">
        <f>I40/E40</f>
        <v/>
      </c>
      <c r="L40" s="86" t="n"/>
      <c r="M40" s="94" t="n"/>
      <c r="X40" t="n">
        <v>77</v>
      </c>
      <c r="Y40" t="n">
        <v>77</v>
      </c>
      <c r="Z40">
        <f>VLOOKUP(Y40,$C$14:$D$49,2,FALSE)</f>
        <v/>
      </c>
      <c r="AA40" s="43">
        <f>SUMIF(PrilimTable!$N$4:$N$82,X40,PrilimTable!$Q$4:$Q$82)</f>
        <v/>
      </c>
      <c r="AB40" s="44">
        <f>AA40/$E$49</f>
        <v/>
      </c>
      <c r="AC40" s="33">
        <f>SUMIF(PrilimTable!$O$4:$O$82,Y40,PrilimTable!$S$4:$S$82)</f>
        <v/>
      </c>
      <c r="AD40" s="42">
        <f>AC40/$G$49</f>
        <v/>
      </c>
      <c r="AE40" s="53">
        <f>AC40-AA40</f>
        <v/>
      </c>
      <c r="AF40" s="100">
        <f>AE40/AA40</f>
        <v/>
      </c>
      <c r="AG40" t="n">
        <v>2600</v>
      </c>
    </row>
    <row r="41">
      <c r="A41">
        <f>VLOOKUP($C41,PrilimTable!$O:$U,7,FALSE)</f>
        <v/>
      </c>
      <c r="B41" t="n">
        <v>79</v>
      </c>
      <c r="C41">
        <f>B41</f>
        <v/>
      </c>
      <c r="D41">
        <f>VLOOKUP($C41,PrilimTable!$O:$T,2,FALSE)</f>
        <v/>
      </c>
      <c r="E41" s="43">
        <f>SUMIF(PrilimTable!$N$4:$N$82,B41,PrilimTable!$Q$4:$Q$82)</f>
        <v/>
      </c>
      <c r="F41" s="74">
        <f>E41/$E$49</f>
        <v/>
      </c>
      <c r="G41" s="33">
        <f>SUMIF(PrilimTable!$O$4:$O$82,C41,PrilimTable!$S$4:$S$82)</f>
        <v/>
      </c>
      <c r="H41" s="76">
        <f>G41/$G$49</f>
        <v/>
      </c>
      <c r="I41" s="53">
        <f>G41-E41</f>
        <v/>
      </c>
      <c r="J41" s="100">
        <f>I41/E41</f>
        <v/>
      </c>
      <c r="L41" s="86" t="n"/>
      <c r="M41" s="94" t="n"/>
      <c r="X41" t="n">
        <v>79</v>
      </c>
      <c r="Y41" t="n">
        <v>79</v>
      </c>
      <c r="Z41">
        <f>VLOOKUP(Y41,$C$14:$D$49,2,FALSE)</f>
        <v/>
      </c>
      <c r="AA41" s="43">
        <f>SUMIF(PrilimTable!$N$4:$N$82,X41,PrilimTable!$Q$4:$Q$82)</f>
        <v/>
      </c>
      <c r="AB41" s="44">
        <f>AA41/$E$49</f>
        <v/>
      </c>
      <c r="AC41" s="33">
        <f>SUMIF(PrilimTable!$O$4:$O$82,Y41,PrilimTable!$S$4:$S$82)</f>
        <v/>
      </c>
      <c r="AD41" s="42">
        <f>AC41/$G$49</f>
        <v/>
      </c>
      <c r="AE41" s="53">
        <f>AC41-AA41</f>
        <v/>
      </c>
      <c r="AF41" s="100">
        <f>AE41/AA41</f>
        <v/>
      </c>
      <c r="AG41" t="n">
        <v>2700</v>
      </c>
    </row>
    <row r="42">
      <c r="A42">
        <f>VLOOKUP($C42,PrilimTable!$O:$U,7,FALSE)</f>
        <v/>
      </c>
      <c r="B42" t="n">
        <v>84</v>
      </c>
      <c r="C42">
        <f>B42</f>
        <v/>
      </c>
      <c r="D42">
        <f>VLOOKUP($C42,PrilimTable!$O:$T,2,FALSE)</f>
        <v/>
      </c>
      <c r="E42" s="43">
        <f>SUMIF(PrilimTable!$N$4:$N$82,B42,PrilimTable!$Q$4:$Q$82)</f>
        <v/>
      </c>
      <c r="F42" s="74">
        <f>E42/$E$49</f>
        <v/>
      </c>
      <c r="G42" s="33">
        <f>SUMIF(PrilimTable!$O$4:$O$82,C42,PrilimTable!$S$4:$S$82)</f>
        <v/>
      </c>
      <c r="H42" s="76">
        <f>G42/$G$49</f>
        <v/>
      </c>
      <c r="I42" s="53">
        <f>G42-E42</f>
        <v/>
      </c>
      <c r="J42" s="100">
        <f>I42/E42</f>
        <v/>
      </c>
      <c r="L42" s="86" t="n"/>
      <c r="M42" s="94" t="n"/>
      <c r="X42" t="n">
        <v>84</v>
      </c>
      <c r="Y42" t="n">
        <v>84</v>
      </c>
      <c r="Z42">
        <f>VLOOKUP(Y42,$C$14:$D$49,2,FALSE)</f>
        <v/>
      </c>
      <c r="AA42" s="43">
        <f>SUMIF(PrilimTable!$N$4:$N$82,X42,PrilimTable!$Q$4:$Q$82)</f>
        <v/>
      </c>
      <c r="AB42" s="44">
        <f>AA42/$E$49</f>
        <v/>
      </c>
      <c r="AC42" s="33">
        <f>SUMIF(PrilimTable!$O$4:$O$82,Y42,PrilimTable!$S$4:$S$82)</f>
        <v/>
      </c>
      <c r="AD42" s="42">
        <f>AC42/$G$49</f>
        <v/>
      </c>
      <c r="AE42" s="53">
        <f>AC42-AA42</f>
        <v/>
      </c>
      <c r="AF42" s="100">
        <f>AE42/AA42</f>
        <v/>
      </c>
      <c r="AG42" t="n">
        <v>2800</v>
      </c>
    </row>
    <row r="43">
      <c r="A43">
        <f>VLOOKUP($C43,PrilimTable!$O:$U,7,FALSE)</f>
        <v/>
      </c>
      <c r="B43" t="n">
        <v>86</v>
      </c>
      <c r="C43">
        <f>B43</f>
        <v/>
      </c>
      <c r="D43">
        <f>VLOOKUP($C43,PrilimTable!$O:$T,2,FALSE)</f>
        <v/>
      </c>
      <c r="E43" s="43">
        <f>SUMIF(PrilimTable!$N$4:$N$82,B43,PrilimTable!$Q$4:$Q$82)</f>
        <v/>
      </c>
      <c r="F43" s="74">
        <f>E43/$E$49</f>
        <v/>
      </c>
      <c r="G43" s="33">
        <f>SUMIF(PrilimTable!$O$4:$O$82,C43,PrilimTable!$S$4:$S$82)</f>
        <v/>
      </c>
      <c r="H43" s="76">
        <f>G43/$G$49</f>
        <v/>
      </c>
      <c r="I43" s="53">
        <f>G43-E43</f>
        <v/>
      </c>
      <c r="J43" s="100">
        <f>I43/E43</f>
        <v/>
      </c>
      <c r="L43" s="86" t="n"/>
      <c r="M43" s="94" t="n"/>
      <c r="X43" t="n">
        <v>86</v>
      </c>
      <c r="Y43" t="n">
        <v>86</v>
      </c>
      <c r="Z43">
        <f>VLOOKUP(Y43,$C$14:$D$49,2,FALSE)</f>
        <v/>
      </c>
      <c r="AA43" s="43">
        <f>SUMIF(PrilimTable!$N$4:$N$82,X43,PrilimTable!$Q$4:$Q$82)</f>
        <v/>
      </c>
      <c r="AB43" s="44">
        <f>AA43/$E$49</f>
        <v/>
      </c>
      <c r="AC43" s="33">
        <f>SUMIF(PrilimTable!$O$4:$O$82,Y43,PrilimTable!$S$4:$S$82)</f>
        <v/>
      </c>
      <c r="AD43" s="42">
        <f>AC43/$G$49</f>
        <v/>
      </c>
      <c r="AE43" s="53">
        <f>AC43-AA43</f>
        <v/>
      </c>
      <c r="AF43" s="100">
        <f>AE43/AA43</f>
        <v/>
      </c>
      <c r="AG43" t="n">
        <v>2900</v>
      </c>
    </row>
    <row r="44">
      <c r="A44">
        <f>VLOOKUP($C44,PrilimTable!$O:$U,7,FALSE)</f>
        <v/>
      </c>
      <c r="B44" t="n">
        <v>87</v>
      </c>
      <c r="C44">
        <f>B44</f>
        <v/>
      </c>
      <c r="D44">
        <f>VLOOKUP($C44,PrilimTable!$O:$T,2,FALSE)</f>
        <v/>
      </c>
      <c r="E44" s="43">
        <f>SUMIF(PrilimTable!$N$4:$N$82,B44,PrilimTable!$Q$4:$Q$82)</f>
        <v/>
      </c>
      <c r="F44" s="74">
        <f>E44/$E$49</f>
        <v/>
      </c>
      <c r="G44" s="33">
        <f>SUMIF(PrilimTable!$O$4:$O$82,C44,PrilimTable!$S$4:$S$82)</f>
        <v/>
      </c>
      <c r="H44" s="76">
        <f>G44/$G$49</f>
        <v/>
      </c>
      <c r="I44" s="53">
        <f>G44-E44</f>
        <v/>
      </c>
      <c r="J44" s="100">
        <f>I44/E44</f>
        <v/>
      </c>
      <c r="L44" s="86" t="n"/>
      <c r="M44" s="94" t="n"/>
      <c r="X44" t="n">
        <v>87</v>
      </c>
      <c r="Y44" t="n">
        <v>87</v>
      </c>
      <c r="Z44">
        <f>VLOOKUP(Y44,$C$14:$D$49,2,FALSE)</f>
        <v/>
      </c>
      <c r="AA44" s="43">
        <f>SUMIF(PrilimTable!$N$4:$N$82,X44,PrilimTable!$Q$4:$Q$82)</f>
        <v/>
      </c>
      <c r="AB44" s="44">
        <f>AA44/$E$49</f>
        <v/>
      </c>
      <c r="AC44" s="33">
        <f>SUMIF(PrilimTable!$O$4:$O$82,Y44,PrilimTable!$S$4:$S$82)</f>
        <v/>
      </c>
      <c r="AD44" s="42">
        <f>AC44/$G$49</f>
        <v/>
      </c>
      <c r="AE44" s="53">
        <f>AC44-AA44</f>
        <v/>
      </c>
      <c r="AF44" s="100">
        <f>AE44/AA44</f>
        <v/>
      </c>
      <c r="AG44" t="n">
        <v>3000</v>
      </c>
    </row>
    <row r="45">
      <c r="A45">
        <f>VLOOKUP($C45,PrilimTable!$O:$U,7,FALSE)</f>
        <v/>
      </c>
      <c r="B45" t="n">
        <v>89</v>
      </c>
      <c r="C45">
        <f>B45</f>
        <v/>
      </c>
      <c r="D45">
        <f>VLOOKUP($C45,PrilimTable!$O:$T,2,FALSE)</f>
        <v/>
      </c>
      <c r="E45" s="43">
        <f>SUMIF(PrilimTable!$N$4:$N$82,B45,PrilimTable!$Q$4:$Q$82)</f>
        <v/>
      </c>
      <c r="F45" s="74">
        <f>E45/$E$49</f>
        <v/>
      </c>
      <c r="G45" s="33">
        <f>SUMIF(PrilimTable!$O$4:$O$82,C45,PrilimTable!$S$4:$S$82)</f>
        <v/>
      </c>
      <c r="H45" s="76">
        <f>G45/$G$49</f>
        <v/>
      </c>
      <c r="I45" s="53">
        <f>G45-E45</f>
        <v/>
      </c>
      <c r="J45" s="100">
        <f>I45/E45</f>
        <v/>
      </c>
      <c r="L45" s="86" t="n"/>
      <c r="M45" s="94" t="n"/>
      <c r="X45" t="n">
        <v>89</v>
      </c>
      <c r="Y45" t="n">
        <v>89</v>
      </c>
      <c r="Z45">
        <f>VLOOKUP(Y45,$C$14:$D$49,2,FALSE)</f>
        <v/>
      </c>
      <c r="AA45" s="43">
        <f>SUMIF(PrilimTable!$N$4:$N$82,X45,PrilimTable!$Q$4:$Q$82)</f>
        <v/>
      </c>
      <c r="AB45" s="44">
        <f>AA45/$E$49</f>
        <v/>
      </c>
      <c r="AC45" s="33">
        <f>SUMIF(PrilimTable!$O$4:$O$82,Y45,PrilimTable!$S$4:$S$82)</f>
        <v/>
      </c>
      <c r="AD45" s="42">
        <f>AC45/$G$49</f>
        <v/>
      </c>
      <c r="AE45" s="53">
        <f>AC45-AA45</f>
        <v/>
      </c>
      <c r="AF45" s="100">
        <f>AE45/AA45</f>
        <v/>
      </c>
      <c r="AG45" t="n">
        <v>3100</v>
      </c>
    </row>
    <row r="46">
      <c r="A46">
        <f>VLOOKUP($C46,PrilimTable!$O:$U,7,FALSE)</f>
        <v/>
      </c>
      <c r="B46" t="n">
        <v>90</v>
      </c>
      <c r="C46">
        <f>B46</f>
        <v/>
      </c>
      <c r="D46">
        <f>VLOOKUP($C46,PrilimTable!$O:$T,2,FALSE)</f>
        <v/>
      </c>
      <c r="E46" s="43">
        <f>SUMIF(PrilimTable!$N$4:$N$82,B46,PrilimTable!$Q$4:$Q$82)</f>
        <v/>
      </c>
      <c r="F46" s="74">
        <f>E46/$E$49</f>
        <v/>
      </c>
      <c r="G46" s="33">
        <f>SUMIF(PrilimTable!$O$4:$O$82,C46,PrilimTable!$S$4:$S$82)</f>
        <v/>
      </c>
      <c r="H46" s="76">
        <f>G46/$G$49</f>
        <v/>
      </c>
      <c r="I46" s="53">
        <f>G46-E46</f>
        <v/>
      </c>
      <c r="J46" s="100">
        <f>I46/E46</f>
        <v/>
      </c>
      <c r="L46" s="86" t="n"/>
      <c r="M46" s="94" t="n"/>
      <c r="X46" t="n">
        <v>90</v>
      </c>
      <c r="Y46" t="n">
        <v>90</v>
      </c>
      <c r="Z46">
        <f>VLOOKUP(Y46,$C$14:$D$49,2,FALSE)</f>
        <v/>
      </c>
      <c r="AA46" s="43">
        <f>SUMIF(PrilimTable!$N$4:$N$82,X46,PrilimTable!$Q$4:$Q$82)</f>
        <v/>
      </c>
      <c r="AB46" s="44">
        <f>AA46/$E$49</f>
        <v/>
      </c>
      <c r="AC46" s="33">
        <f>SUMIF(PrilimTable!$O$4:$O$82,Y46,PrilimTable!$S$4:$S$82)</f>
        <v/>
      </c>
      <c r="AD46" s="42">
        <f>AC46/$G$49</f>
        <v/>
      </c>
      <c r="AE46" s="53">
        <f>AC46-AA46</f>
        <v/>
      </c>
      <c r="AF46" s="100">
        <f>AE46/AA46</f>
        <v/>
      </c>
      <c r="AG46" t="n">
        <v>3200</v>
      </c>
    </row>
    <row r="47">
      <c r="A47">
        <f>VLOOKUP($C47,PrilimTable!$O:$U,7,FALSE)</f>
        <v/>
      </c>
      <c r="B47" t="n">
        <v>93</v>
      </c>
      <c r="C47">
        <f>B47</f>
        <v/>
      </c>
      <c r="D47">
        <f>VLOOKUP($C47,PrilimTable!$O:$T,2,FALSE)</f>
        <v/>
      </c>
      <c r="E47" s="43">
        <f>SUMIF(PrilimTable!$N$4:$N$82,B47,PrilimTable!$Q$4:$Q$82)</f>
        <v/>
      </c>
      <c r="F47" s="74">
        <f>E47/$E$49</f>
        <v/>
      </c>
      <c r="G47" s="33">
        <f>SUMIF(PrilimTable!$O$4:$O$82,C47,PrilimTable!$S$4:$S$82)</f>
        <v/>
      </c>
      <c r="H47" s="76">
        <f>G47/$G$49</f>
        <v/>
      </c>
      <c r="I47" s="53">
        <f>G47-E47</f>
        <v/>
      </c>
      <c r="J47" s="100">
        <f>I47/E47</f>
        <v/>
      </c>
      <c r="L47" s="86" t="n"/>
      <c r="M47" s="94" t="n"/>
      <c r="X47" t="n">
        <v>93</v>
      </c>
      <c r="Y47" t="n">
        <v>93</v>
      </c>
      <c r="Z47">
        <f>VLOOKUP(Y47,$C$14:$D$49,2,FALSE)</f>
        <v/>
      </c>
      <c r="AA47" s="43">
        <f>SUMIF(PrilimTable!$N$4:$N$82,X47,PrilimTable!$Q$4:$Q$82)</f>
        <v/>
      </c>
      <c r="AB47" s="44">
        <f>AA47/$E$49</f>
        <v/>
      </c>
      <c r="AC47" s="33">
        <f>SUMIF(PrilimTable!$O$4:$O$82,Y47,PrilimTable!$S$4:$S$82)</f>
        <v/>
      </c>
      <c r="AD47" s="42">
        <f>AC47/$G$49</f>
        <v/>
      </c>
      <c r="AE47" s="53">
        <f>AC47-AA47</f>
        <v/>
      </c>
      <c r="AF47" s="100">
        <f>AE47/AA47</f>
        <v/>
      </c>
      <c r="AG47" t="n">
        <v>3300</v>
      </c>
    </row>
    <row r="48">
      <c r="A48">
        <f>VLOOKUP($C48,PrilimTable!$O:$U,7,FALSE)</f>
        <v/>
      </c>
      <c r="B48" t="n">
        <v>95</v>
      </c>
      <c r="C48">
        <f>B48</f>
        <v/>
      </c>
      <c r="D48">
        <f>VLOOKUP($C48,PrilimTable!$O:$T,2,FALSE)</f>
        <v/>
      </c>
      <c r="E48" s="43">
        <f>SUMIF(PrilimTable!$N$4:$N$82,B48,PrilimTable!$Q$4:$Q$82)</f>
        <v/>
      </c>
      <c r="F48" s="74">
        <f>E48/$E$49</f>
        <v/>
      </c>
      <c r="G48" s="33">
        <f>SUMIF(PrilimTable!$O$4:$O$82,C48,PrilimTable!$S$4:$S$82)</f>
        <v/>
      </c>
      <c r="H48" s="76">
        <f>G48/$G$49</f>
        <v/>
      </c>
      <c r="I48" s="53">
        <f>G48-E48</f>
        <v/>
      </c>
      <c r="J48" s="100">
        <f>I48/E48</f>
        <v/>
      </c>
      <c r="L48" s="86" t="n"/>
      <c r="M48" s="94" t="n"/>
      <c r="X48" t="n">
        <v>95</v>
      </c>
      <c r="Y48" t="n">
        <v>95</v>
      </c>
      <c r="Z48">
        <f>VLOOKUP(Y48,$C$14:$D$49,2,FALSE)</f>
        <v/>
      </c>
      <c r="AA48" s="43">
        <f>SUMIF(PrilimTable!$N$4:$N$82,X48,PrilimTable!$Q$4:$Q$82)</f>
        <v/>
      </c>
      <c r="AB48" s="44">
        <f>AA48/$E$49</f>
        <v/>
      </c>
      <c r="AC48" s="33">
        <f>SUMIF(PrilimTable!$O$4:$O$82,Y48,PrilimTable!$S$4:$S$82)</f>
        <v/>
      </c>
      <c r="AD48" s="42">
        <f>AC48/$G$49</f>
        <v/>
      </c>
      <c r="AE48" s="53">
        <f>AC48-AA48</f>
        <v/>
      </c>
      <c r="AF48" s="100">
        <f>AE48/AA48</f>
        <v/>
      </c>
      <c r="AG48" t="n">
        <v>3400</v>
      </c>
    </row>
    <row r="49">
      <c r="D49" s="79" t="inlineStr">
        <is>
          <t>TOTAL</t>
        </is>
      </c>
      <c r="E49" s="48">
        <f>SUM(E15:E48)</f>
        <v/>
      </c>
      <c r="F49" s="75">
        <f>SUM(F15:F48)</f>
        <v/>
      </c>
      <c r="G49" s="40">
        <f>SUM(G15:G48)</f>
        <v/>
      </c>
      <c r="H49" s="77">
        <f>SUM(H15:H48)</f>
        <v/>
      </c>
      <c r="I49" s="54">
        <f>G49-E49</f>
        <v/>
      </c>
      <c r="J49" s="97">
        <f>I49/E49</f>
        <v/>
      </c>
      <c r="Z49" s="46" t="n"/>
      <c r="AA49" s="48">
        <f>SUM(AA15:AA48)</f>
        <v/>
      </c>
      <c r="AB49" s="47" t="n">
        <v>0.9980000000000004</v>
      </c>
      <c r="AC49" s="40">
        <f>SUM(AC15:AC48)</f>
        <v/>
      </c>
      <c r="AD49" s="32" t="n">
        <v>1</v>
      </c>
      <c r="AE49" s="54">
        <f>AC49-AA49</f>
        <v/>
      </c>
      <c r="AF49" s="97">
        <f>AE49/AA49</f>
        <v/>
      </c>
    </row>
    <row r="50"/>
    <row r="51"/>
    <row r="52">
      <c r="I52" s="52" t="n"/>
    </row>
    <row r="53">
      <c r="I53" s="69" t="n"/>
    </row>
    <row r="54">
      <c r="E54" s="94" t="n"/>
      <c r="F54" s="94" t="n"/>
      <c r="H54" s="82" t="n"/>
      <c r="I54" s="52" t="n"/>
    </row>
    <row r="55">
      <c r="E55" s="94" t="n"/>
      <c r="F55" s="94" t="n"/>
      <c r="H55" s="82" t="n"/>
      <c r="I55" s="52" t="n"/>
    </row>
    <row r="56">
      <c r="E56" s="95" t="n"/>
      <c r="F56" s="95" t="n"/>
      <c r="H56" s="82" t="n"/>
      <c r="I56" s="52" t="n"/>
    </row>
    <row r="57">
      <c r="I57" s="52" t="n"/>
    </row>
    <row r="58">
      <c r="E58" s="81" t="n"/>
      <c r="F58" s="81" t="n"/>
      <c r="G58" s="81" t="n"/>
      <c r="I58" s="52" t="n"/>
    </row>
    <row r="59">
      <c r="E59" s="94" t="n"/>
      <c r="F59" s="94" t="n"/>
      <c r="G59" s="95" t="n"/>
      <c r="I59" s="52" t="n"/>
    </row>
    <row r="60">
      <c r="F60" s="94" t="n"/>
      <c r="G60" s="95" t="n"/>
      <c r="I60" s="52" t="n"/>
    </row>
    <row r="61">
      <c r="F61" s="94" t="n"/>
      <c r="G61" s="95" t="n"/>
      <c r="I61" s="52" t="n"/>
    </row>
    <row r="62">
      <c r="F62" s="94" t="n"/>
      <c r="G62" s="95" t="n"/>
      <c r="I62" s="52" t="n"/>
    </row>
    <row r="63">
      <c r="D63" s="82" t="n"/>
      <c r="E63" s="95" t="n"/>
      <c r="F63" s="95" t="n"/>
      <c r="G63" s="95" t="n"/>
      <c r="I63" s="52" t="n"/>
    </row>
    <row r="64">
      <c r="I64" s="52" t="n"/>
    </row>
    <row r="65"/>
    <row r="66"/>
    <row r="67"/>
  </sheetData>
  <mergeCells count="9">
    <mergeCell ref="G2:H2"/>
    <mergeCell ref="E2:F2"/>
    <mergeCell ref="I2:J2"/>
    <mergeCell ref="I13:J13"/>
    <mergeCell ref="AE13:AF13"/>
    <mergeCell ref="AA13:AB13"/>
    <mergeCell ref="AC13:AD13"/>
    <mergeCell ref="E13:F13"/>
    <mergeCell ref="G13:H1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63"/>
  <sheetViews>
    <sheetView zoomScaleNormal="100" workbookViewId="0">
      <selection activeCell="C4" sqref="C4"/>
    </sheetView>
  </sheetViews>
  <sheetFormatPr baseColWidth="8" defaultRowHeight="15"/>
  <cols>
    <col width="28.42578125" bestFit="1" customWidth="1" style="128" min="1" max="1"/>
    <col width="22.42578125" customWidth="1" style="128" min="2" max="2"/>
    <col width="16.7109375" customWidth="1" style="128" min="3" max="3"/>
    <col width="17.140625" customWidth="1" style="128" min="4" max="4"/>
    <col width="16" customWidth="1" style="128" min="5" max="5"/>
    <col width="18.5703125" customWidth="1" style="128" min="6" max="6"/>
    <col width="14" customWidth="1" style="128" min="7" max="7"/>
    <col width="17.28515625" customWidth="1" style="128" min="8" max="8"/>
    <col width="27.42578125" customWidth="1" style="128" min="9" max="9"/>
    <col width="13.140625" customWidth="1" style="128" min="10" max="11"/>
    <col width="13" customWidth="1" style="128" min="12" max="12"/>
    <col width="11.5703125" customWidth="1" style="128" min="14" max="14"/>
    <col width="12.5703125" customWidth="1" style="128" min="15" max="15"/>
    <col width="34.140625" customWidth="1" style="128" min="16" max="16"/>
    <col width="11.140625" customWidth="1" style="128" min="17" max="17"/>
    <col width="12.5703125" customWidth="1" style="128" min="18" max="18"/>
    <col width="14.5703125" customWidth="1" style="128" min="19" max="19"/>
    <col width="14.140625" customWidth="1" style="128" min="20" max="20"/>
    <col width="18.5703125" customWidth="1" style="128" min="21" max="21"/>
    <col width="16.85546875" customWidth="1" style="128" min="22" max="22"/>
    <col width="15.7109375" customWidth="1" style="128" min="23" max="23"/>
    <col width="18.42578125" bestFit="1" customWidth="1" style="128" min="24" max="24"/>
    <col width="17" bestFit="1" customWidth="1" style="128" min="25" max="25"/>
    <col width="17.28515625" customWidth="1" style="128" min="26" max="26"/>
    <col width="15.42578125" customWidth="1" style="128" min="27" max="27"/>
  </cols>
  <sheetData>
    <row r="2">
      <c r="I2" s="82" t="n"/>
      <c r="J2" s="148" t="n"/>
      <c r="N2" s="7" t="n"/>
      <c r="O2" s="7" t="n"/>
      <c r="P2" s="7" t="n"/>
      <c r="Q2" s="141" t="inlineStr">
        <is>
          <t>OBS</t>
        </is>
      </c>
      <c r="R2" s="46" t="n"/>
      <c r="S2" s="146" t="inlineStr">
        <is>
          <t>ABM_12132015</t>
        </is>
      </c>
      <c r="T2" s="46" t="n"/>
    </row>
    <row r="3">
      <c r="B3" t="inlineStr">
        <is>
          <t>ROUTE_STATION_NUM</t>
        </is>
      </c>
      <c r="C3" t="inlineStr">
        <is>
          <t>Boardings</t>
        </is>
      </c>
      <c r="G3" s="82" t="n"/>
      <c r="J3" s="81" t="n"/>
      <c r="K3" s="81" t="n"/>
      <c r="M3" t="inlineStr">
        <is>
          <t>Mode</t>
        </is>
      </c>
      <c r="N3" s="82" t="inlineStr">
        <is>
          <t>Rte Id (OBS)</t>
        </is>
      </c>
      <c r="O3" s="82" t="inlineStr">
        <is>
          <t>Rte Id (ABM)</t>
        </is>
      </c>
      <c r="P3" s="82" t="inlineStr">
        <is>
          <t>Rte Name</t>
        </is>
      </c>
      <c r="Q3" s="27" t="inlineStr">
        <is>
          <t>Boardings</t>
        </is>
      </c>
      <c r="R3" s="27" t="inlineStr">
        <is>
          <t>Percentage</t>
        </is>
      </c>
      <c r="S3" s="28" t="inlineStr">
        <is>
          <t>Boardings</t>
        </is>
      </c>
      <c r="T3" s="28" t="inlineStr">
        <is>
          <t>Percentage</t>
        </is>
      </c>
      <c r="U3" t="inlineStr">
        <is>
          <t>Mode</t>
        </is>
      </c>
    </row>
    <row r="4">
      <c r="B4" t="n">
        <v>3</v>
      </c>
      <c r="C4" s="50">
        <f>VLOOKUP($B4,Aggregated_Transit_Final_V2!$B:$H,7,FALSE)</f>
        <v/>
      </c>
      <c r="D4" s="57" t="n"/>
      <c r="J4" s="50" t="n"/>
      <c r="K4" s="57" t="n"/>
      <c r="M4">
        <f>VLOOKUP($O4,ABM_RteName!$A:$D,4,FALSE)</f>
        <v/>
      </c>
      <c r="N4" t="n">
        <v>3</v>
      </c>
      <c r="O4" t="n">
        <v>3</v>
      </c>
      <c r="P4">
        <f>VLOOKUP($O4,ABM_RteName!$A:$C,3,FALSE)</f>
        <v/>
      </c>
      <c r="Q4" s="9">
        <f>VLOOKUP(N4,$B:$C,2,FALSE)</f>
        <v/>
      </c>
      <c r="R4" s="44">
        <f>Q4/$Q$38</f>
        <v/>
      </c>
      <c r="S4" s="11">
        <f>SUMIF(BoardingByRoute_ABM!$B:$B,O4,BoardingByRoute_ABM!$N:$N)</f>
        <v/>
      </c>
      <c r="T4" s="42">
        <f>S4/S$38</f>
        <v/>
      </c>
      <c r="U4">
        <f>VLOOKUP($O4,ABM_RteName!$A:$D,4,FALSE)</f>
        <v/>
      </c>
    </row>
    <row r="5">
      <c r="B5" t="n">
        <v>4</v>
      </c>
      <c r="C5" s="50">
        <f>VLOOKUP($B5,Aggregated_Transit_Final_V2!$B:$H,7,FALSE)</f>
        <v/>
      </c>
      <c r="D5" s="57" t="n"/>
      <c r="J5" s="50" t="n"/>
      <c r="K5" s="57" t="n"/>
      <c r="M5">
        <f>VLOOKUP($O5,ABM_RteName!$A:$D,4,FALSE)</f>
        <v/>
      </c>
      <c r="N5" t="n">
        <v>4</v>
      </c>
      <c r="O5" t="n">
        <v>4</v>
      </c>
      <c r="P5">
        <f>VLOOKUP($O5,ABM_RteName!$A:$C,3,FALSE)</f>
        <v/>
      </c>
      <c r="Q5" s="9">
        <f>VLOOKUP(N5,$B:$C,2,FALSE)</f>
        <v/>
      </c>
      <c r="R5" s="44">
        <f>Q5/$Q$38</f>
        <v/>
      </c>
      <c r="S5" s="11">
        <f>SUMIF(BoardingByRoute_ABM!$B:$B,O5,BoardingByRoute_ABM!$N:$N)</f>
        <v/>
      </c>
      <c r="T5" s="42">
        <f>S5/S$38</f>
        <v/>
      </c>
      <c r="U5">
        <f>VLOOKUP($O5,ABM_RteName!$A:$D,4,FALSE)</f>
        <v/>
      </c>
    </row>
    <row r="6">
      <c r="B6" t="n">
        <v>6</v>
      </c>
      <c r="C6" s="50">
        <f>VLOOKUP($B6,Aggregated_Transit_Final_V2!$B:$H,7,FALSE)</f>
        <v/>
      </c>
      <c r="D6" s="57" t="n"/>
      <c r="J6" s="50" t="n"/>
      <c r="K6" s="57" t="n"/>
      <c r="M6">
        <f>VLOOKUP($O6,ABM_RteName!$A:$D,4,FALSE)</f>
        <v/>
      </c>
      <c r="N6" t="n">
        <v>6</v>
      </c>
      <c r="O6" t="n">
        <v>6</v>
      </c>
      <c r="P6">
        <f>VLOOKUP($O6,ABM_RteName!$A:$C,3,FALSE)</f>
        <v/>
      </c>
      <c r="Q6" s="9">
        <f>VLOOKUP(N6,$B:$C,2,FALSE)</f>
        <v/>
      </c>
      <c r="R6" s="44">
        <f>Q6/$Q$38</f>
        <v/>
      </c>
      <c r="S6" s="11">
        <f>SUMIF(BoardingByRoute_ABM!$B:$B,O6,BoardingByRoute_ABM!$N:$N)</f>
        <v/>
      </c>
      <c r="T6" s="42">
        <f>S6/S$38</f>
        <v/>
      </c>
      <c r="U6">
        <f>VLOOKUP($O6,ABM_RteName!$A:$D,4,FALSE)</f>
        <v/>
      </c>
    </row>
    <row r="7">
      <c r="B7" t="n">
        <v>7</v>
      </c>
      <c r="C7" s="50">
        <f>VLOOKUP($B7,Aggregated_Transit_Final_V2!$B:$H,7,FALSE)</f>
        <v/>
      </c>
      <c r="D7" s="57" t="n"/>
      <c r="J7" s="50" t="n"/>
      <c r="K7" s="57" t="n"/>
      <c r="M7">
        <f>VLOOKUP($O7,ABM_RteName!$A:$D,4,FALSE)</f>
        <v/>
      </c>
      <c r="N7" t="n">
        <v>7</v>
      </c>
      <c r="O7" t="n">
        <v>7</v>
      </c>
      <c r="P7">
        <f>VLOOKUP($O7,ABM_RteName!$A:$C,3,FALSE)</f>
        <v/>
      </c>
      <c r="Q7" s="9">
        <f>VLOOKUP(N7,$B:$C,2,FALSE)</f>
        <v/>
      </c>
      <c r="R7" s="44">
        <f>Q7/$Q$38</f>
        <v/>
      </c>
      <c r="S7" s="11">
        <f>SUMIF(BoardingByRoute_ABM!$B:$B,O7,BoardingByRoute_ABM!$N:$N)</f>
        <v/>
      </c>
      <c r="T7" s="42">
        <f>S7/S$38</f>
        <v/>
      </c>
      <c r="U7">
        <f>VLOOKUP($O7,ABM_RteName!$A:$D,4,FALSE)</f>
        <v/>
      </c>
    </row>
    <row r="8">
      <c r="B8" t="n">
        <v>8</v>
      </c>
      <c r="C8" s="50">
        <f>VLOOKUP($B8,Aggregated_Transit_Final_V2!$B:$H,7,FALSE)</f>
        <v/>
      </c>
      <c r="D8" s="57" t="n"/>
      <c r="J8" s="50" t="n"/>
      <c r="K8" s="57" t="n"/>
      <c r="M8">
        <f>VLOOKUP($O8,ABM_RteName!$A:$D,4,FALSE)</f>
        <v/>
      </c>
      <c r="N8" t="n">
        <v>8</v>
      </c>
      <c r="O8" t="n">
        <v>8</v>
      </c>
      <c r="P8">
        <f>VLOOKUP($O8,ABM_RteName!$A:$C,3,FALSE)</f>
        <v/>
      </c>
      <c r="Q8" s="9">
        <f>VLOOKUP(N8,$B:$C,2,FALSE)</f>
        <v/>
      </c>
      <c r="R8" s="44">
        <f>Q8/$Q$38</f>
        <v/>
      </c>
      <c r="S8" s="11">
        <f>SUMIF(BoardingByRoute_ABM!$B:$B,O8,BoardingByRoute_ABM!$N:$N)</f>
        <v/>
      </c>
      <c r="T8" s="42">
        <f>S8/S$38</f>
        <v/>
      </c>
      <c r="U8">
        <f>VLOOKUP($O8,ABM_RteName!$A:$D,4,FALSE)</f>
        <v/>
      </c>
    </row>
    <row r="9">
      <c r="B9" t="n">
        <v>9</v>
      </c>
      <c r="C9" s="50">
        <f>VLOOKUP($B9,Aggregated_Transit_Final_V2!$B:$H,7,FALSE)</f>
        <v/>
      </c>
      <c r="D9" s="57" t="n"/>
      <c r="J9" s="50" t="n"/>
      <c r="K9" s="57" t="n"/>
      <c r="M9">
        <f>VLOOKUP($O9,ABM_RteName!$A:$D,4,FALSE)</f>
        <v/>
      </c>
      <c r="N9" t="n">
        <v>9</v>
      </c>
      <c r="O9" t="n">
        <v>9</v>
      </c>
      <c r="P9">
        <f>VLOOKUP($O9,ABM_RteName!$A:$C,3,FALSE)</f>
        <v/>
      </c>
      <c r="Q9" s="9">
        <f>VLOOKUP(N9,$B:$C,2,FALSE)</f>
        <v/>
      </c>
      <c r="R9" s="44">
        <f>Q9/$Q$38</f>
        <v/>
      </c>
      <c r="S9" s="11">
        <f>SUMIF(BoardingByRoute_ABM!$B:$B,O9,BoardingByRoute_ABM!$N:$N)</f>
        <v/>
      </c>
      <c r="T9" s="42">
        <f>S9/S$38</f>
        <v/>
      </c>
      <c r="U9">
        <f>VLOOKUP($O9,ABM_RteName!$A:$D,4,FALSE)</f>
        <v/>
      </c>
    </row>
    <row r="10">
      <c r="B10" t="n">
        <v>14</v>
      </c>
      <c r="C10" s="50">
        <f>VLOOKUP($B10,Aggregated_Transit_Final_V2!$B:$H,7,FALSE)</f>
        <v/>
      </c>
      <c r="D10" s="57" t="n"/>
      <c r="J10" s="50" t="n"/>
      <c r="K10" s="57" t="n"/>
      <c r="M10">
        <f>VLOOKUP($O10,ABM_RteName!$A:$D,4,FALSE)</f>
        <v/>
      </c>
      <c r="N10" t="n">
        <v>14</v>
      </c>
      <c r="O10" t="n">
        <v>14</v>
      </c>
      <c r="P10">
        <f>VLOOKUP($O10,ABM_RteName!$A:$C,3,FALSE)</f>
        <v/>
      </c>
      <c r="Q10" s="9">
        <f>VLOOKUP(N10,$B:$C,2,FALSE)</f>
        <v/>
      </c>
      <c r="R10" s="44">
        <f>Q10/$Q$38</f>
        <v/>
      </c>
      <c r="S10" s="11">
        <f>SUMIF(BoardingByRoute_ABM!$B:$B,O10,BoardingByRoute_ABM!$N:$N)</f>
        <v/>
      </c>
      <c r="T10" s="42">
        <f>S10/S$38</f>
        <v/>
      </c>
      <c r="U10">
        <f>VLOOKUP($O10,ABM_RteName!$A:$D,4,FALSE)</f>
        <v/>
      </c>
    </row>
    <row r="11">
      <c r="B11" t="n">
        <v>17</v>
      </c>
      <c r="C11" s="50">
        <f>VLOOKUP($B11,Aggregated_Transit_Final_V2!$B:$H,7,FALSE)</f>
        <v/>
      </c>
      <c r="D11" s="57" t="n"/>
      <c r="J11" s="50" t="n"/>
      <c r="K11" s="57" t="n"/>
      <c r="M11">
        <f>VLOOKUP($O11,ABM_RteName!$A:$D,4,FALSE)</f>
        <v/>
      </c>
      <c r="N11" t="n">
        <v>17</v>
      </c>
      <c r="O11" t="n">
        <v>17</v>
      </c>
      <c r="P11">
        <f>VLOOKUP($O11,ABM_RteName!$A:$C,3,FALSE)</f>
        <v/>
      </c>
      <c r="Q11" s="9">
        <f>VLOOKUP(N11,$B:$C,2,FALSE)</f>
        <v/>
      </c>
      <c r="R11" s="44">
        <f>Q11/$Q$38</f>
        <v/>
      </c>
      <c r="S11" s="11">
        <f>SUMIF(BoardingByRoute_ABM!$B:$B,O11,BoardingByRoute_ABM!$N:$N)</f>
        <v/>
      </c>
      <c r="T11" s="42">
        <f>S11/S$38</f>
        <v/>
      </c>
      <c r="U11">
        <f>VLOOKUP($O11,ABM_RteName!$A:$D,4,FALSE)</f>
        <v/>
      </c>
    </row>
    <row r="12">
      <c r="B12" t="n">
        <v>18</v>
      </c>
      <c r="C12" s="50">
        <f>VLOOKUP($B12,Aggregated_Transit_Final_V2!$B:$H,7,FALSE)</f>
        <v/>
      </c>
      <c r="D12" s="57" t="n"/>
      <c r="J12" s="50" t="n"/>
      <c r="K12" s="57" t="n"/>
      <c r="M12">
        <f>VLOOKUP($O12,ABM_RteName!$A:$D,4,FALSE)</f>
        <v/>
      </c>
      <c r="N12" t="n">
        <v>18</v>
      </c>
      <c r="O12" t="n">
        <v>18</v>
      </c>
      <c r="P12">
        <f>VLOOKUP($O12,ABM_RteName!$A:$C,3,FALSE)</f>
        <v/>
      </c>
      <c r="Q12" s="9">
        <f>VLOOKUP(N12,$B:$C,2,FALSE)</f>
        <v/>
      </c>
      <c r="R12" s="44">
        <f>Q12/$Q$38</f>
        <v/>
      </c>
      <c r="S12" s="11">
        <f>SUMIF(BoardingByRoute_ABM!$B:$B,O12,BoardingByRoute_ABM!$N:$N)</f>
        <v/>
      </c>
      <c r="T12" s="42">
        <f>S12/S$38</f>
        <v/>
      </c>
      <c r="U12">
        <f>VLOOKUP($O12,ABM_RteName!$A:$D,4,FALSE)</f>
        <v/>
      </c>
    </row>
    <row r="13">
      <c r="B13" t="n">
        <v>19</v>
      </c>
      <c r="C13" s="50">
        <f>VLOOKUP($B13,Aggregated_Transit_Final_V2!$B:$H,7,FALSE)</f>
        <v/>
      </c>
      <c r="D13" s="57" t="n"/>
      <c r="J13" s="50" t="n"/>
      <c r="K13" s="57" t="n"/>
      <c r="M13">
        <f>VLOOKUP($O13,ABM_RteName!$A:$D,4,FALSE)</f>
        <v/>
      </c>
      <c r="N13" t="n">
        <v>19</v>
      </c>
      <c r="O13" t="n">
        <v>19</v>
      </c>
      <c r="P13">
        <f>VLOOKUP($O13,ABM_RteName!$A:$C,3,FALSE)</f>
        <v/>
      </c>
      <c r="Q13" s="9">
        <f>VLOOKUP(N13,$B:$C,2,FALSE)</f>
        <v/>
      </c>
      <c r="R13" s="44">
        <f>Q13/$Q$38</f>
        <v/>
      </c>
      <c r="S13" s="11">
        <f>SUMIF(BoardingByRoute_ABM!$B:$B,O13,BoardingByRoute_ABM!$N:$N)</f>
        <v/>
      </c>
      <c r="T13" s="42">
        <f>S13/S$38</f>
        <v/>
      </c>
      <c r="U13">
        <f>VLOOKUP($O13,ABM_RteName!$A:$D,4,FALSE)</f>
        <v/>
      </c>
    </row>
    <row r="14">
      <c r="B14" t="n">
        <v>22</v>
      </c>
      <c r="C14" s="50">
        <f>VLOOKUP($B14,Aggregated_Transit_Final_V2!$B:$H,7,FALSE)</f>
        <v/>
      </c>
      <c r="D14" s="57" t="n"/>
      <c r="J14" s="50" t="n"/>
      <c r="K14" s="57" t="n"/>
      <c r="M14">
        <f>VLOOKUP($O14,ABM_RteName!$A:$D,4,FALSE)</f>
        <v/>
      </c>
      <c r="N14" t="n">
        <v>22</v>
      </c>
      <c r="O14" t="n">
        <v>22</v>
      </c>
      <c r="P14">
        <f>VLOOKUP($O14,ABM_RteName!$A:$C,3,FALSE)</f>
        <v/>
      </c>
      <c r="Q14" s="9">
        <f>VLOOKUP(N14,$B:$C,2,FALSE)</f>
        <v/>
      </c>
      <c r="R14" s="44">
        <f>Q14/$Q$38</f>
        <v/>
      </c>
      <c r="S14" s="11">
        <f>SUMIF(BoardingByRoute_ABM!$B:$B,O14,BoardingByRoute_ABM!$N:$N)</f>
        <v/>
      </c>
      <c r="T14" s="42">
        <f>S14/S$38</f>
        <v/>
      </c>
      <c r="U14">
        <f>VLOOKUP($O14,ABM_RteName!$A:$D,4,FALSE)</f>
        <v/>
      </c>
    </row>
    <row r="15">
      <c r="B15" t="n">
        <v>23</v>
      </c>
      <c r="C15" s="50">
        <f>VLOOKUP($B15,Aggregated_Transit_Final_V2!$B:$H,7,FALSE)</f>
        <v/>
      </c>
      <c r="D15" s="57" t="n"/>
      <c r="J15" s="50" t="n"/>
      <c r="K15" s="57" t="n"/>
      <c r="M15">
        <f>VLOOKUP($O15,ABM_RteName!$A:$D,4,FALSE)</f>
        <v/>
      </c>
      <c r="N15" t="n">
        <v>23</v>
      </c>
      <c r="O15" t="n">
        <v>23</v>
      </c>
      <c r="P15">
        <f>VLOOKUP($O15,ABM_RteName!$A:$C,3,FALSE)</f>
        <v/>
      </c>
      <c r="Q15" s="9">
        <f>VLOOKUP(N15,$B:$C,2,FALSE)</f>
        <v/>
      </c>
      <c r="R15" s="44">
        <f>Q15/$Q$38</f>
        <v/>
      </c>
      <c r="S15" s="11">
        <f>SUMIF(BoardingByRoute_ABM!$B:$B,O15,BoardingByRoute_ABM!$N:$N)</f>
        <v/>
      </c>
      <c r="T15" s="42">
        <f>S15/S$38</f>
        <v/>
      </c>
      <c r="U15">
        <f>VLOOKUP($O15,ABM_RteName!$A:$D,4,FALSE)</f>
        <v/>
      </c>
    </row>
    <row r="16">
      <c r="B16" t="n">
        <v>28</v>
      </c>
      <c r="C16" s="50">
        <f>VLOOKUP($B16,Aggregated_Transit_Final_V2!$B:$H,7,FALSE)</f>
        <v/>
      </c>
      <c r="D16" s="57" t="n"/>
      <c r="J16" s="50" t="n"/>
      <c r="K16" s="57" t="n"/>
      <c r="M16">
        <f>VLOOKUP($O16,ABM_RteName!$A:$D,4,FALSE)</f>
        <v/>
      </c>
      <c r="N16" t="n">
        <v>28</v>
      </c>
      <c r="O16" t="n">
        <v>28</v>
      </c>
      <c r="P16">
        <f>VLOOKUP($O16,ABM_RteName!$A:$C,3,FALSE)</f>
        <v/>
      </c>
      <c r="Q16" s="9">
        <f>VLOOKUP(N16,$B:$C,2,FALSE)</f>
        <v/>
      </c>
      <c r="R16" s="44">
        <f>Q16/$Q$38</f>
        <v/>
      </c>
      <c r="S16" s="11">
        <f>SUMIF(BoardingByRoute_ABM!$B:$B,O16,BoardingByRoute_ABM!$N:$N)</f>
        <v/>
      </c>
      <c r="T16" s="42">
        <f>S16/S$38</f>
        <v/>
      </c>
      <c r="U16">
        <f>VLOOKUP($O16,ABM_RteName!$A:$D,4,FALSE)</f>
        <v/>
      </c>
    </row>
    <row r="17">
      <c r="B17" t="n">
        <v>29</v>
      </c>
      <c r="C17" s="50">
        <f>VLOOKUP($B17,Aggregated_Transit_Final_V2!$B:$H,7,FALSE)</f>
        <v/>
      </c>
      <c r="D17" s="57" t="n"/>
      <c r="J17" s="50" t="n"/>
      <c r="K17" s="57" t="n"/>
      <c r="M17">
        <f>VLOOKUP($O17,ABM_RteName!$A:$D,4,FALSE)</f>
        <v/>
      </c>
      <c r="N17" t="n">
        <v>29</v>
      </c>
      <c r="O17" t="n">
        <v>29</v>
      </c>
      <c r="P17">
        <f>VLOOKUP($O17,ABM_RteName!$A:$C,3,FALSE)</f>
        <v/>
      </c>
      <c r="Q17" s="9">
        <f>VLOOKUP(N17,$B:$C,2,FALSE)</f>
        <v/>
      </c>
      <c r="R17" s="44">
        <f>Q17/$Q$38</f>
        <v/>
      </c>
      <c r="S17" s="11">
        <f>SUMIF(BoardingByRoute_ABM!$B:$B,O17,BoardingByRoute_ABM!$N:$N)</f>
        <v/>
      </c>
      <c r="T17" s="42">
        <f>S17/S$38</f>
        <v/>
      </c>
      <c r="U17">
        <f>VLOOKUP($O17,ABM_RteName!$A:$D,4,FALSE)</f>
        <v/>
      </c>
    </row>
    <row r="18">
      <c r="B18" t="n">
        <v>34</v>
      </c>
      <c r="C18" s="50">
        <f>VLOOKUP($B18,Aggregated_Transit_Final_V2!$B:$H,7,FALSE)</f>
        <v/>
      </c>
      <c r="D18" s="57" t="n"/>
      <c r="J18" s="50" t="n"/>
      <c r="K18" s="57" t="n"/>
      <c r="M18">
        <f>VLOOKUP($O18,ABM_RteName!$A:$D,4,FALSE)</f>
        <v/>
      </c>
      <c r="N18" t="n">
        <v>34</v>
      </c>
      <c r="O18" t="n">
        <v>34</v>
      </c>
      <c r="P18">
        <f>VLOOKUP($O18,ABM_RteName!$A:$C,3,FALSE)</f>
        <v/>
      </c>
      <c r="Q18" s="9">
        <f>VLOOKUP(N18,$B:$C,2,FALSE)</f>
        <v/>
      </c>
      <c r="R18" s="44">
        <f>Q18/$Q$38</f>
        <v/>
      </c>
      <c r="S18" s="11">
        <f>SUMIF(BoardingByRoute_ABM!$B:$B,O18,BoardingByRoute_ABM!$N:$N)</f>
        <v/>
      </c>
      <c r="T18" s="42">
        <f>S18/S$38</f>
        <v/>
      </c>
      <c r="U18">
        <f>VLOOKUP($O18,ABM_RteName!$A:$D,4,FALSE)</f>
        <v/>
      </c>
    </row>
    <row r="19">
      <c r="B19" t="n">
        <v>41</v>
      </c>
      <c r="C19" s="50">
        <f>VLOOKUP($B19,Aggregated_Transit_Final_V2!$B:$H,7,FALSE)</f>
        <v/>
      </c>
      <c r="D19" s="57" t="n"/>
      <c r="J19" s="50" t="n"/>
      <c r="K19" s="57" t="n"/>
      <c r="M19">
        <f>VLOOKUP($O19,ABM_RteName!$A:$D,4,FALSE)</f>
        <v/>
      </c>
      <c r="N19" t="n">
        <v>41</v>
      </c>
      <c r="O19" t="n">
        <v>41</v>
      </c>
      <c r="P19">
        <f>VLOOKUP($O19,ABM_RteName!$A:$C,3,FALSE)</f>
        <v/>
      </c>
      <c r="Q19" s="9">
        <f>VLOOKUP(N19,$B:$C,2,FALSE)</f>
        <v/>
      </c>
      <c r="R19" s="44">
        <f>Q19/$Q$38</f>
        <v/>
      </c>
      <c r="S19" s="11">
        <f>SUMIF(BoardingByRoute_ABM!$B:$B,O19,BoardingByRoute_ABM!$N:$N)</f>
        <v/>
      </c>
      <c r="T19" s="42">
        <f>S19/S$38</f>
        <v/>
      </c>
      <c r="U19">
        <f>VLOOKUP($O19,ABM_RteName!$A:$D,4,FALSE)</f>
        <v/>
      </c>
    </row>
    <row r="20">
      <c r="B20" t="n">
        <v>42</v>
      </c>
      <c r="C20" s="50">
        <f>VLOOKUP($B20,Aggregated_Transit_Final_V2!$B:$H,7,FALSE)</f>
        <v/>
      </c>
      <c r="D20" s="57" t="n"/>
      <c r="J20" s="50" t="n"/>
      <c r="K20" s="57" t="n"/>
      <c r="M20">
        <f>VLOOKUP($O20,ABM_RteName!$A:$D,4,FALSE)</f>
        <v/>
      </c>
      <c r="N20" t="n">
        <v>42</v>
      </c>
      <c r="O20" t="n">
        <v>42</v>
      </c>
      <c r="P20">
        <f>VLOOKUP($O20,ABM_RteName!$A:$C,3,FALSE)</f>
        <v/>
      </c>
      <c r="Q20" s="9">
        <f>VLOOKUP(N20,$B:$C,2,FALSE)</f>
        <v/>
      </c>
      <c r="R20" s="44">
        <f>Q20/$Q$38</f>
        <v/>
      </c>
      <c r="S20" s="11">
        <f>SUMIF(BoardingByRoute_ABM!$B:$B,O20,BoardingByRoute_ABM!$N:$N)</f>
        <v/>
      </c>
      <c r="T20" s="42">
        <f>S20/S$38</f>
        <v/>
      </c>
      <c r="U20">
        <f>VLOOKUP($O20,ABM_RteName!$A:$D,4,FALSE)</f>
        <v/>
      </c>
    </row>
    <row r="21">
      <c r="B21" t="n">
        <v>50</v>
      </c>
      <c r="C21" s="50">
        <f>VLOOKUP($B21,Aggregated_Transit_Final_V2!$B:$H,7,FALSE)</f>
        <v/>
      </c>
      <c r="D21" s="57" t="n"/>
      <c r="J21" s="50" t="n"/>
      <c r="K21" s="57" t="n"/>
      <c r="M21">
        <f>VLOOKUP($O21,ABM_RteName!$A:$D,4,FALSE)</f>
        <v/>
      </c>
      <c r="N21" t="n">
        <v>50</v>
      </c>
      <c r="O21" t="n">
        <v>50</v>
      </c>
      <c r="P21">
        <f>VLOOKUP($O21,ABM_RteName!$A:$C,3,FALSE)</f>
        <v/>
      </c>
      <c r="Q21" s="9">
        <f>VLOOKUP(N21,$B:$C,2,FALSE)</f>
        <v/>
      </c>
      <c r="R21" s="44">
        <f>Q21/$Q$38</f>
        <v/>
      </c>
      <c r="S21" s="11">
        <f>SUMIF(BoardingByRoute_ABM!$B:$B,O21,BoardingByRoute_ABM!$N:$N)</f>
        <v/>
      </c>
      <c r="T21" s="42">
        <f>S21/S$38</f>
        <v/>
      </c>
      <c r="U21">
        <f>VLOOKUP($O21,ABM_RteName!$A:$D,4,FALSE)</f>
        <v/>
      </c>
    </row>
    <row r="22">
      <c r="B22" t="n">
        <v>52</v>
      </c>
      <c r="C22" s="50">
        <f>VLOOKUP($B22,Aggregated_Transit_Final_V2!$B:$H,7,FALSE)</f>
        <v/>
      </c>
      <c r="D22" s="57" t="n"/>
      <c r="J22" s="50" t="n"/>
      <c r="K22" s="57" t="n"/>
      <c r="M22">
        <f>VLOOKUP($O22,ABM_RteName!$A:$D,4,FALSE)</f>
        <v/>
      </c>
      <c r="N22" t="n">
        <v>52</v>
      </c>
      <c r="O22" t="n">
        <v>52</v>
      </c>
      <c r="P22">
        <f>VLOOKUP($O22,ABM_RteName!$A:$C,3,FALSE)</f>
        <v/>
      </c>
      <c r="Q22" s="9">
        <f>VLOOKUP(N22,$B:$C,2,FALSE)</f>
        <v/>
      </c>
      <c r="R22" s="44">
        <f>Q22/$Q$38</f>
        <v/>
      </c>
      <c r="S22" s="11">
        <f>SUMIF(BoardingByRoute_ABM!$B:$B,O22,BoardingByRoute_ABM!$N:$N)</f>
        <v/>
      </c>
      <c r="T22" s="42">
        <f>S22/S$38</f>
        <v/>
      </c>
      <c r="U22">
        <f>VLOOKUP($O22,ABM_RteName!$A:$D,4,FALSE)</f>
        <v/>
      </c>
    </row>
    <row r="23">
      <c r="B23" t="n">
        <v>55</v>
      </c>
      <c r="C23" s="50">
        <f>VLOOKUP($B23,Aggregated_Transit_Final_V2!$B:$H,7,FALSE)</f>
        <v/>
      </c>
      <c r="D23" s="57" t="n"/>
      <c r="J23" s="50" t="n"/>
      <c r="K23" s="57" t="n"/>
      <c r="M23">
        <f>VLOOKUP($O23,ABM_RteName!$A:$D,4,FALSE)</f>
        <v/>
      </c>
      <c r="N23" t="n">
        <v>55</v>
      </c>
      <c r="O23" t="n">
        <v>55</v>
      </c>
      <c r="P23">
        <f>VLOOKUP($O23,ABM_RteName!$A:$C,3,FALSE)</f>
        <v/>
      </c>
      <c r="Q23" s="9">
        <f>VLOOKUP(N23,$B:$C,2,FALSE)</f>
        <v/>
      </c>
      <c r="R23" s="44">
        <f>Q23/$Q$38</f>
        <v/>
      </c>
      <c r="S23" s="11">
        <f>SUMIF(BoardingByRoute_ABM!$B:$B,O23,BoardingByRoute_ABM!$N:$N)</f>
        <v/>
      </c>
      <c r="T23" s="42">
        <f>S23/S$38</f>
        <v/>
      </c>
      <c r="U23">
        <f>VLOOKUP($O23,ABM_RteName!$A:$D,4,FALSE)</f>
        <v/>
      </c>
    </row>
    <row r="24">
      <c r="B24" t="n">
        <v>56</v>
      </c>
      <c r="C24" s="50">
        <f>VLOOKUP($B24,Aggregated_Transit_Final_V2!$B:$H,7,FALSE)</f>
        <v/>
      </c>
      <c r="D24" s="57" t="n"/>
      <c r="J24" s="50" t="n"/>
      <c r="K24" s="57" t="n"/>
      <c r="M24">
        <f>VLOOKUP($O24,ABM_RteName!$A:$D,4,FALSE)</f>
        <v/>
      </c>
      <c r="N24" t="n">
        <v>56</v>
      </c>
      <c r="O24" t="n">
        <v>56</v>
      </c>
      <c r="P24">
        <f>VLOOKUP($O24,ABM_RteName!$A:$C,3,FALSE)</f>
        <v/>
      </c>
      <c r="Q24" s="9">
        <f>VLOOKUP(N24,$B:$C,2,FALSE)</f>
        <v/>
      </c>
      <c r="R24" s="44">
        <f>Q24/$Q$38</f>
        <v/>
      </c>
      <c r="S24" s="11">
        <f>SUMIF(BoardingByRoute_ABM!$B:$B,O24,BoardingByRoute_ABM!$N:$N)</f>
        <v/>
      </c>
      <c r="T24" s="42">
        <f>S24/S$38</f>
        <v/>
      </c>
      <c r="U24">
        <f>VLOOKUP($O24,ABM_RteName!$A:$D,4,FALSE)</f>
        <v/>
      </c>
    </row>
    <row r="25">
      <c r="B25" t="n">
        <v>64</v>
      </c>
      <c r="C25" s="50">
        <f>VLOOKUP($B25,Aggregated_Transit_Final_V2!$B:$H,7,FALSE)</f>
        <v/>
      </c>
      <c r="D25" s="57" t="n"/>
      <c r="J25" s="50" t="n"/>
      <c r="K25" s="57" t="n"/>
      <c r="M25">
        <f>VLOOKUP($O25,ABM_RteName!$A:$D,4,FALSE)</f>
        <v/>
      </c>
      <c r="N25" t="n">
        <v>64</v>
      </c>
      <c r="O25" t="n">
        <v>64</v>
      </c>
      <c r="P25">
        <f>VLOOKUP($O25,ABM_RteName!$A:$C,3,FALSE)</f>
        <v/>
      </c>
      <c r="Q25" s="9">
        <f>VLOOKUP(N25,$B:$C,2,FALSE)</f>
        <v/>
      </c>
      <c r="R25" s="44">
        <f>Q25/$Q$38</f>
        <v/>
      </c>
      <c r="S25" s="11">
        <f>SUMIF(BoardingByRoute_ABM!$B:$B,O25,BoardingByRoute_ABM!$N:$N)</f>
        <v/>
      </c>
      <c r="T25" s="42">
        <f>S25/S$38</f>
        <v/>
      </c>
      <c r="U25">
        <f>VLOOKUP($O25,ABM_RteName!$A:$D,4,FALSE)</f>
        <v/>
      </c>
    </row>
    <row r="26">
      <c r="B26" t="n">
        <v>70</v>
      </c>
      <c r="C26" s="50">
        <f>VLOOKUP($B26,Aggregated_Transit_Final_V2!$B:$H,7,FALSE)</f>
        <v/>
      </c>
      <c r="D26" s="57" t="n"/>
      <c r="J26" s="50" t="n"/>
      <c r="K26" s="57" t="n"/>
      <c r="M26">
        <f>VLOOKUP($O26,ABM_RteName!$A:$D,4,FALSE)</f>
        <v/>
      </c>
      <c r="N26" t="n">
        <v>70</v>
      </c>
      <c r="O26" t="n">
        <v>70</v>
      </c>
      <c r="P26">
        <f>VLOOKUP($O26,ABM_RteName!$A:$C,3,FALSE)</f>
        <v/>
      </c>
      <c r="Q26" s="9">
        <f>VLOOKUP(N26,$B:$C,2,FALSE)</f>
        <v/>
      </c>
      <c r="R26" s="44">
        <f>Q26/$Q$38</f>
        <v/>
      </c>
      <c r="S26" s="11">
        <f>SUMIF(BoardingByRoute_ABM!$B:$B,O26,BoardingByRoute_ABM!$N:$N)</f>
        <v/>
      </c>
      <c r="T26" s="42">
        <f>S26/S$38</f>
        <v/>
      </c>
      <c r="U26">
        <f>VLOOKUP($O26,ABM_RteName!$A:$D,4,FALSE)</f>
        <v/>
      </c>
    </row>
    <row r="27">
      <c r="B27" t="n">
        <v>75</v>
      </c>
      <c r="C27" s="50">
        <f>VLOOKUP($B27,Aggregated_Transit_Final_V2!$B:$H,7,FALSE)</f>
        <v/>
      </c>
      <c r="D27" s="57" t="n"/>
      <c r="J27" s="50" t="n"/>
      <c r="K27" s="57" t="n"/>
      <c r="M27">
        <f>VLOOKUP($O27,ABM_RteName!$A:$D,4,FALSE)</f>
        <v/>
      </c>
      <c r="N27" t="n">
        <v>75</v>
      </c>
      <c r="O27" t="n">
        <v>75</v>
      </c>
      <c r="P27">
        <f>VLOOKUP($O27,ABM_RteName!$A:$C,3,FALSE)</f>
        <v/>
      </c>
      <c r="Q27" s="9">
        <f>VLOOKUP(N27,$B:$C,2,FALSE)</f>
        <v/>
      </c>
      <c r="R27" s="44">
        <f>Q27/$Q$38</f>
        <v/>
      </c>
      <c r="S27" s="11">
        <f>SUMIF(BoardingByRoute_ABM!$B:$B,O27,BoardingByRoute_ABM!$N:$N)</f>
        <v/>
      </c>
      <c r="T27" s="42">
        <f>S27/S$38</f>
        <v/>
      </c>
      <c r="U27">
        <f>VLOOKUP($O27,ABM_RteName!$A:$D,4,FALSE)</f>
        <v/>
      </c>
    </row>
    <row r="28">
      <c r="B28" t="n">
        <v>76</v>
      </c>
      <c r="C28" s="50">
        <f>VLOOKUP($B28,Aggregated_Transit_Final_V2!$B:$H,7,FALSE)</f>
        <v/>
      </c>
      <c r="D28" s="57" t="n"/>
      <c r="J28" s="50" t="n"/>
      <c r="K28" s="57" t="n"/>
      <c r="M28">
        <f>VLOOKUP($O28,ABM_RteName!$A:$D,4,FALSE)</f>
        <v/>
      </c>
      <c r="N28" t="n">
        <v>76</v>
      </c>
      <c r="O28" t="n">
        <v>76</v>
      </c>
      <c r="P28">
        <f>VLOOKUP($O28,ABM_RteName!$A:$C,3,FALSE)</f>
        <v/>
      </c>
      <c r="Q28" s="9">
        <f>VLOOKUP(N28,$B:$C,2,FALSE)</f>
        <v/>
      </c>
      <c r="R28" s="44">
        <f>Q28/$Q$38</f>
        <v/>
      </c>
      <c r="S28" s="11">
        <f>SUMIF(BoardingByRoute_ABM!$B:$B,O28,BoardingByRoute_ABM!$N:$N)</f>
        <v/>
      </c>
      <c r="T28" s="42">
        <f>S28/S$38</f>
        <v/>
      </c>
      <c r="U28">
        <f>VLOOKUP($O28,ABM_RteName!$A:$D,4,FALSE)</f>
        <v/>
      </c>
    </row>
    <row r="29">
      <c r="B29" t="n">
        <v>77</v>
      </c>
      <c r="C29" s="50">
        <f>VLOOKUP($B29,Aggregated_Transit_Final_V2!$B:$H,7,FALSE)</f>
        <v/>
      </c>
      <c r="D29" s="57" t="n"/>
      <c r="J29" s="50" t="n"/>
      <c r="K29" s="57" t="n"/>
      <c r="M29">
        <f>VLOOKUP($O29,ABM_RteName!$A:$D,4,FALSE)</f>
        <v/>
      </c>
      <c r="N29" t="n">
        <v>77</v>
      </c>
      <c r="O29" t="n">
        <v>77</v>
      </c>
      <c r="P29">
        <f>VLOOKUP($O29,ABM_RteName!$A:$C,3,FALSE)</f>
        <v/>
      </c>
      <c r="Q29" s="9">
        <f>VLOOKUP(N29,$B:$C,2,FALSE)</f>
        <v/>
      </c>
      <c r="R29" s="44">
        <f>Q29/$Q$38</f>
        <v/>
      </c>
      <c r="S29" s="11">
        <f>SUMIF(BoardingByRoute_ABM!$B:$B,O29,BoardingByRoute_ABM!$N:$N)</f>
        <v/>
      </c>
      <c r="T29" s="42">
        <f>S29/S$38</f>
        <v/>
      </c>
      <c r="U29">
        <f>VLOOKUP($O29,ABM_RteName!$A:$D,4,FALSE)</f>
        <v/>
      </c>
    </row>
    <row r="30">
      <c r="B30" t="n">
        <v>79</v>
      </c>
      <c r="C30" s="50">
        <f>VLOOKUP($B30,Aggregated_Transit_Final_V2!$B:$H,7,FALSE)</f>
        <v/>
      </c>
      <c r="D30" s="57" t="n"/>
      <c r="J30" s="50" t="n"/>
      <c r="K30" s="57" t="n"/>
      <c r="M30">
        <f>VLOOKUP($O30,ABM_RteName!$A:$D,4,FALSE)</f>
        <v/>
      </c>
      <c r="N30" t="n">
        <v>79</v>
      </c>
      <c r="O30" t="n">
        <v>79</v>
      </c>
      <c r="P30">
        <f>VLOOKUP($O30,ABM_RteName!$A:$C,3,FALSE)</f>
        <v/>
      </c>
      <c r="Q30" s="9">
        <f>VLOOKUP(N30,$B:$C,2,FALSE)</f>
        <v/>
      </c>
      <c r="R30" s="44">
        <f>Q30/$Q$38</f>
        <v/>
      </c>
      <c r="S30" s="11">
        <f>SUMIF(BoardingByRoute_ABM!$B:$B,O30,BoardingByRoute_ABM!$N:$N)</f>
        <v/>
      </c>
      <c r="T30" s="42">
        <f>S30/S$38</f>
        <v/>
      </c>
      <c r="U30">
        <f>VLOOKUP($O30,ABM_RteName!$A:$D,4,FALSE)</f>
        <v/>
      </c>
    </row>
    <row r="31">
      <c r="B31" t="n">
        <v>84</v>
      </c>
      <c r="C31" s="50">
        <f>VLOOKUP($B31,Aggregated_Transit_Final_V2!$B:$H,7,FALSE)</f>
        <v/>
      </c>
      <c r="D31" s="57" t="n"/>
      <c r="J31" s="50" t="n"/>
      <c r="K31" s="57" t="n"/>
      <c r="M31">
        <f>VLOOKUP($O31,ABM_RteName!$A:$D,4,FALSE)</f>
        <v/>
      </c>
      <c r="N31" t="n">
        <v>84</v>
      </c>
      <c r="O31" t="n">
        <v>84</v>
      </c>
      <c r="P31">
        <f>VLOOKUP($O31,ABM_RteName!$A:$C,3,FALSE)</f>
        <v/>
      </c>
      <c r="Q31" s="9">
        <f>VLOOKUP(N31,$B:$C,2,FALSE)</f>
        <v/>
      </c>
      <c r="R31" s="44">
        <f>Q31/$Q$38</f>
        <v/>
      </c>
      <c r="S31" s="11">
        <f>SUMIF(BoardingByRoute_ABM!$B:$B,O31,BoardingByRoute_ABM!$N:$N)</f>
        <v/>
      </c>
      <c r="T31" s="42">
        <f>S31/S$38</f>
        <v/>
      </c>
      <c r="U31">
        <f>VLOOKUP($O31,ABM_RteName!$A:$D,4,FALSE)</f>
        <v/>
      </c>
    </row>
    <row r="32">
      <c r="B32" t="n">
        <v>86</v>
      </c>
      <c r="C32" s="50">
        <f>VLOOKUP($B32,Aggregated_Transit_Final_V2!$B:$H,7,FALSE)</f>
        <v/>
      </c>
      <c r="D32" s="57" t="n"/>
      <c r="J32" s="50" t="n"/>
      <c r="K32" s="57" t="n"/>
      <c r="M32">
        <f>VLOOKUP($O32,ABM_RteName!$A:$D,4,FALSE)</f>
        <v/>
      </c>
      <c r="N32" t="n">
        <v>86</v>
      </c>
      <c r="O32" t="n">
        <v>86</v>
      </c>
      <c r="P32">
        <f>VLOOKUP($O32,ABM_RteName!$A:$C,3,FALSE)</f>
        <v/>
      </c>
      <c r="Q32" s="9">
        <f>VLOOKUP(N32,$B:$C,2,FALSE)</f>
        <v/>
      </c>
      <c r="R32" s="44">
        <f>Q32/$Q$38</f>
        <v/>
      </c>
      <c r="S32" s="11">
        <f>SUMIF(BoardingByRoute_ABM!$B:$B,O32,BoardingByRoute_ABM!$N:$N)</f>
        <v/>
      </c>
      <c r="T32" s="42">
        <f>S32/S$38</f>
        <v/>
      </c>
      <c r="U32">
        <f>VLOOKUP($O32,ABM_RteName!$A:$D,4,FALSE)</f>
        <v/>
      </c>
    </row>
    <row r="33">
      <c r="B33" t="n">
        <v>87</v>
      </c>
      <c r="C33" s="50">
        <f>VLOOKUP($B33,Aggregated_Transit_Final_V2!$B:$H,7,FALSE)</f>
        <v/>
      </c>
      <c r="D33" s="57" t="n"/>
      <c r="J33" s="50" t="n"/>
      <c r="K33" s="57" t="n"/>
      <c r="M33">
        <f>VLOOKUP($O33,ABM_RteName!$A:$D,4,FALSE)</f>
        <v/>
      </c>
      <c r="N33" t="n">
        <v>87</v>
      </c>
      <c r="O33" t="n">
        <v>87</v>
      </c>
      <c r="P33">
        <f>VLOOKUP($O33,ABM_RteName!$A:$C,3,FALSE)</f>
        <v/>
      </c>
      <c r="Q33" s="9">
        <f>VLOOKUP(N33,$B:$C,2,FALSE)</f>
        <v/>
      </c>
      <c r="R33" s="44">
        <f>Q33/$Q$38</f>
        <v/>
      </c>
      <c r="S33" s="11">
        <f>SUMIF(BoardingByRoute_ABM!$B:$B,O33,BoardingByRoute_ABM!$N:$N)</f>
        <v/>
      </c>
      <c r="T33" s="42">
        <f>S33/S$38</f>
        <v/>
      </c>
      <c r="U33">
        <f>VLOOKUP($O33,ABM_RteName!$A:$D,4,FALSE)</f>
        <v/>
      </c>
    </row>
    <row r="34">
      <c r="B34" t="n">
        <v>89</v>
      </c>
      <c r="C34" s="50">
        <f>VLOOKUP($B34,Aggregated_Transit_Final_V2!$B:$H,7,FALSE)</f>
        <v/>
      </c>
      <c r="D34" s="57" t="n"/>
      <c r="J34" s="50" t="n"/>
      <c r="K34" s="57" t="n"/>
      <c r="M34">
        <f>VLOOKUP($O34,ABM_RteName!$A:$D,4,FALSE)</f>
        <v/>
      </c>
      <c r="N34" t="n">
        <v>89</v>
      </c>
      <c r="O34" t="n">
        <v>89</v>
      </c>
      <c r="P34">
        <f>VLOOKUP($O34,ABM_RteName!$A:$C,3,FALSE)</f>
        <v/>
      </c>
      <c r="Q34" s="9">
        <f>VLOOKUP(N34,$B:$C,2,FALSE)</f>
        <v/>
      </c>
      <c r="R34" s="44">
        <f>Q34/$Q$38</f>
        <v/>
      </c>
      <c r="S34" s="11">
        <f>SUMIF(BoardingByRoute_ABM!$B:$B,O34,BoardingByRoute_ABM!$N:$N)</f>
        <v/>
      </c>
      <c r="T34" s="42">
        <f>S34/S$38</f>
        <v/>
      </c>
      <c r="U34">
        <f>VLOOKUP($O34,ABM_RteName!$A:$D,4,FALSE)</f>
        <v/>
      </c>
    </row>
    <row r="35">
      <c r="B35" t="n">
        <v>90</v>
      </c>
      <c r="C35" s="50">
        <f>VLOOKUP($B35,Aggregated_Transit_Final_V2!$B:$H,7,FALSE)</f>
        <v/>
      </c>
      <c r="D35" s="57" t="n"/>
      <c r="J35" s="50" t="n"/>
      <c r="K35" s="57" t="n"/>
      <c r="M35">
        <f>VLOOKUP($O35,ABM_RteName!$A:$D,4,FALSE)</f>
        <v/>
      </c>
      <c r="N35" t="n">
        <v>90</v>
      </c>
      <c r="O35" t="n">
        <v>90</v>
      </c>
      <c r="P35">
        <f>VLOOKUP($O35,ABM_RteName!$A:$C,3,FALSE)</f>
        <v/>
      </c>
      <c r="Q35" s="9">
        <f>VLOOKUP(N35,$B:$C,2,FALSE)</f>
        <v/>
      </c>
      <c r="R35" s="44">
        <f>Q35/$Q$38</f>
        <v/>
      </c>
      <c r="S35" s="11">
        <f>SUMIF(BoardingByRoute_ABM!$B:$B,O35,BoardingByRoute_ABM!$N:$N)</f>
        <v/>
      </c>
      <c r="T35" s="42">
        <f>S35/S$38</f>
        <v/>
      </c>
      <c r="U35">
        <f>VLOOKUP($O35,ABM_RteName!$A:$D,4,FALSE)</f>
        <v/>
      </c>
    </row>
    <row r="36">
      <c r="B36" t="n">
        <v>93</v>
      </c>
      <c r="C36" s="50">
        <f>VLOOKUP($B36,Aggregated_Transit_Final_V2!$B:$H,7,FALSE)</f>
        <v/>
      </c>
      <c r="D36" s="57" t="n"/>
      <c r="J36" s="50" t="n"/>
      <c r="K36" s="57" t="n"/>
      <c r="M36">
        <f>VLOOKUP($O36,ABM_RteName!$A:$D,4,FALSE)</f>
        <v/>
      </c>
      <c r="N36" t="n">
        <v>93</v>
      </c>
      <c r="O36" t="n">
        <v>93</v>
      </c>
      <c r="P36">
        <f>VLOOKUP($O36,ABM_RteName!$A:$C,3,FALSE)</f>
        <v/>
      </c>
      <c r="Q36" s="9">
        <f>VLOOKUP(N36,$B:$C,2,FALSE)</f>
        <v/>
      </c>
      <c r="R36" s="44">
        <f>Q36/$Q$38</f>
        <v/>
      </c>
      <c r="S36" s="11">
        <f>SUMIF(BoardingByRoute_ABM!$B:$B,O36,BoardingByRoute_ABM!$N:$N)</f>
        <v/>
      </c>
      <c r="T36" s="42">
        <f>S36/S$38</f>
        <v/>
      </c>
      <c r="U36">
        <f>VLOOKUP($O36,ABM_RteName!$A:$D,4,FALSE)</f>
        <v/>
      </c>
    </row>
    <row r="37">
      <c r="B37" t="n">
        <v>95</v>
      </c>
      <c r="C37" s="50">
        <f>VLOOKUP($B37,Aggregated_Transit_Final_V2!$B:$H,7,FALSE)</f>
        <v/>
      </c>
      <c r="D37" s="57" t="n"/>
      <c r="J37" s="50" t="n"/>
      <c r="K37" s="57" t="n"/>
      <c r="M37">
        <f>VLOOKUP($O37,ABM_RteName!$A:$D,4,FALSE)</f>
        <v/>
      </c>
      <c r="N37" t="n">
        <v>95</v>
      </c>
      <c r="O37" t="n">
        <v>95</v>
      </c>
      <c r="P37">
        <f>VLOOKUP($O37,ABM_RteName!$A:$C,3,FALSE)</f>
        <v/>
      </c>
      <c r="Q37" s="9">
        <f>VLOOKUP(N37,$B:$C,2,FALSE)</f>
        <v/>
      </c>
      <c r="R37" s="44">
        <f>Q37/$Q$38</f>
        <v/>
      </c>
      <c r="S37" s="11">
        <f>SUMIF(BoardingByRoute_ABM!$B:$B,O37,BoardingByRoute_ABM!$N:$N)</f>
        <v/>
      </c>
      <c r="T37" s="42">
        <f>S37/S$38</f>
        <v/>
      </c>
      <c r="U37">
        <f>VLOOKUP($O37,ABM_RteName!$A:$D,4,FALSE)</f>
        <v/>
      </c>
    </row>
    <row r="38">
      <c r="C38" s="50" t="n"/>
      <c r="D38" s="57" t="n"/>
      <c r="K38" s="57" t="n"/>
      <c r="N38" s="79" t="inlineStr">
        <is>
          <t>TOTAL</t>
        </is>
      </c>
      <c r="O38" s="70" t="n"/>
      <c r="P38" s="70" t="n"/>
      <c r="Q38" s="91">
        <f>SUM(Q4:Q37)</f>
        <v/>
      </c>
      <c r="R38" s="92">
        <f>SUM(R4:R37)</f>
        <v/>
      </c>
      <c r="S38" s="21">
        <f>SUM(S4:S37)</f>
        <v/>
      </c>
      <c r="T38" s="93">
        <f>SUM(T4:T37)</f>
        <v/>
      </c>
      <c r="U38" s="88" t="n"/>
    </row>
    <row r="39">
      <c r="K39" s="57" t="n"/>
      <c r="N39" s="87" t="n"/>
      <c r="O39" s="87" t="n"/>
      <c r="P39" s="88" t="n"/>
      <c r="Q39" s="89" t="n"/>
      <c r="R39" s="90" t="n"/>
      <c r="S39" s="89" t="n"/>
      <c r="T39" s="90" t="n"/>
      <c r="U39" s="88" t="n"/>
    </row>
    <row r="40">
      <c r="K40" s="57" t="n"/>
      <c r="N40" s="88" t="n"/>
      <c r="O40" s="88" t="n"/>
      <c r="P40" s="88" t="n"/>
      <c r="Q40" s="88" t="n"/>
      <c r="R40" s="88" t="n"/>
      <c r="S40" s="88" t="n"/>
      <c r="T40" s="88" t="n"/>
      <c r="U40" s="88" t="n"/>
    </row>
    <row r="41">
      <c r="C41" s="50" t="n"/>
      <c r="D41" s="57" t="n"/>
      <c r="K41" s="57" t="n"/>
      <c r="N41" s="88" t="n"/>
      <c r="O41" s="88" t="n"/>
      <c r="P41" s="88" t="n"/>
      <c r="Q41" s="88" t="n"/>
      <c r="R41" s="88" t="n"/>
      <c r="S41" s="88" t="n"/>
      <c r="T41" s="88" t="n"/>
      <c r="U41" s="88" t="n"/>
    </row>
    <row r="42">
      <c r="C42" s="50" t="n"/>
      <c r="D42" s="57" t="n"/>
      <c r="K42" s="57" t="n"/>
    </row>
    <row r="43">
      <c r="C43" s="50" t="n"/>
      <c r="D43" s="57" t="n"/>
      <c r="K43" s="57" t="n"/>
      <c r="N43" s="120" t="n"/>
    </row>
    <row r="44">
      <c r="D44" s="57" t="n"/>
      <c r="K44" s="57" t="n"/>
      <c r="P44" s="120" t="inlineStr">
        <is>
          <t>Following stations are replaced with '301'</t>
        </is>
      </c>
    </row>
    <row r="45">
      <c r="K45" s="57" t="n"/>
      <c r="P45" s="120" t="inlineStr">
        <is>
          <t>DON</t>
        </is>
      </c>
      <c r="Q45" t="n">
        <v>301</v>
      </c>
    </row>
    <row r="46">
      <c r="K46" s="57" t="n"/>
      <c r="P46" s="120" t="inlineStr">
        <is>
          <t>HER</t>
        </is>
      </c>
      <c r="Q46" t="n">
        <v>301</v>
      </c>
    </row>
    <row r="47">
      <c r="K47" s="57" t="n"/>
      <c r="P47" s="120" t="inlineStr">
        <is>
          <t>JUL</t>
        </is>
      </c>
      <c r="Q47" t="n">
        <v>301</v>
      </c>
    </row>
    <row r="48">
      <c r="D48" s="83" t="n"/>
      <c r="K48" s="57" t="n"/>
      <c r="P48" s="120" t="inlineStr">
        <is>
          <t>LEB</t>
        </is>
      </c>
      <c r="Q48" t="n">
        <v>301</v>
      </c>
    </row>
    <row r="49">
      <c r="K49" s="57" t="n"/>
      <c r="P49" s="120" t="inlineStr">
        <is>
          <t>MAR</t>
        </is>
      </c>
      <c r="Q49" t="n">
        <v>301</v>
      </c>
    </row>
    <row r="50">
      <c r="K50" s="57" t="n"/>
      <c r="P50" t="inlineStr">
        <is>
          <t>RIV</t>
        </is>
      </c>
      <c r="Q50" t="n">
        <v>301</v>
      </c>
    </row>
    <row r="51">
      <c r="P51" s="120" t="inlineStr">
        <is>
          <t>18X</t>
        </is>
      </c>
      <c r="Q51" t="n">
        <v>18</v>
      </c>
    </row>
    <row r="53">
      <c r="J53" s="50" t="n"/>
      <c r="L53" s="20" t="n"/>
    </row>
    <row r="54">
      <c r="A54" t="inlineStr">
        <is>
          <t>Boardings by transit sub-mode</t>
        </is>
      </c>
    </row>
    <row r="55">
      <c r="B55" s="19" t="n"/>
      <c r="C55" s="141" t="inlineStr">
        <is>
          <t>OBS</t>
        </is>
      </c>
      <c r="D55" s="46" t="n"/>
      <c r="E55" s="146" t="inlineStr">
        <is>
          <t>ABM</t>
        </is>
      </c>
      <c r="F55" s="46" t="n"/>
      <c r="G55" s="146" t="inlineStr">
        <is>
          <t>Sub-mode Constant (DaySim)</t>
        </is>
      </c>
      <c r="H55" s="46" t="n"/>
      <c r="I55" s="148" t="n"/>
    </row>
    <row r="56">
      <c r="B56" s="6" t="inlineStr">
        <is>
          <t>Transit sub-mode</t>
        </is>
      </c>
      <c r="C56" s="24" t="inlineStr">
        <is>
          <t>Count</t>
        </is>
      </c>
      <c r="D56" s="24" t="inlineStr">
        <is>
          <t>Percentage</t>
        </is>
      </c>
      <c r="E56" s="26" t="inlineStr">
        <is>
          <t>Count</t>
        </is>
      </c>
      <c r="F56" s="26" t="inlineStr">
        <is>
          <t>Percentage</t>
        </is>
      </c>
      <c r="G56" s="26" t="inlineStr">
        <is>
          <t>Utils</t>
        </is>
      </c>
      <c r="H56" s="26" t="inlineStr">
        <is>
          <t>Mins</t>
        </is>
      </c>
      <c r="I56" s="81" t="n"/>
      <c r="J56" s="81" t="n"/>
    </row>
    <row r="57">
      <c r="B57" t="inlineStr">
        <is>
          <t>Local Bus</t>
        </is>
      </c>
      <c r="C57" s="9">
        <f>25297-BoardingByRoute_All!E48</f>
        <v/>
      </c>
      <c r="D57" s="56">
        <f>C57/$C$61</f>
        <v/>
      </c>
      <c r="E57" s="11">
        <f>IF(ISNUMBER(TrnStat.asc!J26),TrnStat.asc!J26,CONCATENATE(LEFT(TrnStat.asc!J26,2),RIGHT(TrnStat.asc!J26,3)))</f>
        <v/>
      </c>
      <c r="F57" s="55">
        <f>E57/E$61</f>
        <v/>
      </c>
      <c r="G57" s="39" t="n">
        <v>-0.1</v>
      </c>
      <c r="H57" s="41">
        <f>G57/0.03</f>
        <v/>
      </c>
      <c r="I57" s="50" t="n"/>
    </row>
    <row r="58">
      <c r="B58" t="inlineStr">
        <is>
          <t>Express Bus</t>
        </is>
      </c>
      <c r="C58" s="9" t="n">
        <v>2122</v>
      </c>
      <c r="D58" s="56">
        <f>C58/$C$61</f>
        <v/>
      </c>
      <c r="E58" s="11">
        <f>IF(ISNUMBER(TrnStat.asc!K27),TrnStat.asc!K27,CONCATENATE(LEFT(TrnStat.asc!K27,2),RIGHT(TrnStat.asc!K27,3)))+IF(ISNUMBER(TrnStat.asc!K28),TrnStat.asc!K28,CONCATENATE(LEFT(TrnStat.asc!K28,2),RIGHT(TrnStat.asc!K28,3)))</f>
        <v/>
      </c>
      <c r="F58" s="55">
        <f>E58/E$61</f>
        <v/>
      </c>
      <c r="G58" s="39" t="n">
        <v>0.45</v>
      </c>
      <c r="H58" s="41">
        <f>G58/0.03</f>
        <v/>
      </c>
    </row>
    <row r="59">
      <c r="B59" t="inlineStr">
        <is>
          <t>BRT</t>
        </is>
      </c>
      <c r="C59" s="9" t="n">
        <v>2660</v>
      </c>
      <c r="D59" s="56">
        <f>C59/$C$61</f>
        <v/>
      </c>
      <c r="E59" s="11">
        <f>IF(ISNUMBER(TrnStat.asc!K29),TrnStat.asc!K29,CONCATENATE(LEFT(TrnStat.asc!K29,2),RIGHT(TrnStat.asc!K29,3)))</f>
        <v/>
      </c>
      <c r="F59" s="55">
        <f>E59/E$61</f>
        <v/>
      </c>
      <c r="G59" s="39" t="n">
        <v>-0.1</v>
      </c>
      <c r="H59" s="41">
        <f>G59/0.03</f>
        <v/>
      </c>
    </row>
    <row r="60">
      <c r="B60" s="13" t="inlineStr">
        <is>
          <t>Commuter Rail</t>
        </is>
      </c>
      <c r="C60" s="14">
        <f>1243+BoardingByRoute_All!E48</f>
        <v/>
      </c>
      <c r="D60" s="56">
        <f>C60/$C$61</f>
        <v/>
      </c>
      <c r="E60" s="11">
        <f>IF(ISNUMBER(TrnStat.asc!J30),TrnStat.asc!J30,CONCATENATE(LEFT(TrnStat.asc!J30,2),RIGHT(TrnStat.asc!J30,3)))+IF(ISNUMBER(TrnStat.asc!J31),TrnStat.asc!J31,CONCATENATE(LEFT(TrnStat.asc!J31,2),RIGHT(TrnStat.asc!J31,3)))</f>
        <v/>
      </c>
      <c r="F60" s="15">
        <f>E60/E$61</f>
        <v/>
      </c>
      <c r="G60" s="39" t="n">
        <v>1.3</v>
      </c>
      <c r="H60" s="41">
        <f>G60/0.03</f>
        <v/>
      </c>
    </row>
    <row r="61">
      <c r="B61" s="6" t="inlineStr">
        <is>
          <t>Total</t>
        </is>
      </c>
      <c r="C61" s="16" t="n">
        <v>31322</v>
      </c>
      <c r="D61" s="80">
        <f>C61/$C$61</f>
        <v/>
      </c>
      <c r="E61" s="17">
        <f>SUM(E57:E60)</f>
        <v/>
      </c>
      <c r="F61" s="18" t="n">
        <v>1</v>
      </c>
      <c r="G61" s="40" t="n"/>
      <c r="H61" s="22" t="n"/>
      <c r="I61" s="38" t="n"/>
    </row>
    <row r="62"/>
    <row r="63">
      <c r="B63" t="inlineStr">
        <is>
          <t>Transfer Rate</t>
        </is>
      </c>
      <c r="C63" s="56" t="n">
        <v>0.596</v>
      </c>
      <c r="E63" s="55">
        <f>-(TrnStat.asc!D46)</f>
        <v/>
      </c>
    </row>
  </sheetData>
  <mergeCells count="7">
    <mergeCell ref="S2:T2"/>
    <mergeCell ref="G55:H55"/>
    <mergeCell ref="C55:D55"/>
    <mergeCell ref="E55:F55"/>
    <mergeCell ref="J2:K2"/>
    <mergeCell ref="Q2:R2"/>
    <mergeCell ref="I55:J5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20" sqref="A20"/>
    </sheetView>
  </sheetViews>
  <sheetFormatPr baseColWidth="8" defaultRowHeight="15"/>
  <cols>
    <col width="14.7109375" bestFit="1" customWidth="1" style="128" min="1" max="1"/>
    <col width="15" bestFit="1" customWidth="1" style="128" min="2" max="2"/>
    <col width="9.7109375" bestFit="1" customWidth="1" style="128" min="3" max="3"/>
    <col width="3.85546875" bestFit="1" customWidth="1" style="128" min="4" max="4"/>
    <col width="9.7109375" bestFit="1" customWidth="1" style="128" min="5" max="5"/>
    <col width="12.140625" bestFit="1" customWidth="1" style="128" min="6" max="6"/>
    <col width="9.5703125" bestFit="1" customWidth="1" style="128" min="7" max="8"/>
    <col width="9.140625" customWidth="1" style="128" min="9" max="16384"/>
  </cols>
  <sheetData>
    <row r="1">
      <c r="A1" t="inlineStr">
        <is>
          <t>RouteNumChar</t>
        </is>
      </c>
      <c r="B1" t="inlineStr">
        <is>
          <t>RouteNumNum</t>
        </is>
      </c>
      <c r="C1" t="inlineStr">
        <is>
          <t>RouteObs</t>
        </is>
      </c>
      <c r="D1" t="inlineStr">
        <is>
          <t>ON</t>
        </is>
      </c>
      <c r="E1" t="inlineStr">
        <is>
          <t>ObsName</t>
        </is>
      </c>
      <c r="F1" t="inlineStr">
        <is>
          <t>ObsOn</t>
        </is>
      </c>
      <c r="G1" t="inlineStr">
        <is>
          <t>ObsOff</t>
        </is>
      </c>
      <c r="H1" t="inlineStr">
        <is>
          <t>boarding</t>
        </is>
      </c>
    </row>
    <row r="2">
      <c r="A2" t="n">
        <v>3</v>
      </c>
      <c r="B2" t="n">
        <v>3</v>
      </c>
      <c r="F2" s="86" t="n"/>
      <c r="G2" s="86" t="n"/>
      <c r="H2" s="86">
        <f>IFERROR(VLOOKUP(B2,Obs_Ridership!$A:$G,7,FALSE),"")</f>
        <v/>
      </c>
    </row>
    <row r="3">
      <c r="A3" t="n">
        <v>4</v>
      </c>
      <c r="B3" t="n">
        <v>4</v>
      </c>
      <c r="F3" s="86" t="n"/>
      <c r="G3" s="86" t="n"/>
      <c r="H3" s="86">
        <f>IFERROR(VLOOKUP(B3,Obs_Ridership!$A:$G,7,FALSE),"")</f>
        <v/>
      </c>
    </row>
    <row r="4">
      <c r="A4" t="n">
        <v>6</v>
      </c>
      <c r="B4" t="n">
        <v>6</v>
      </c>
      <c r="F4" s="86" t="n"/>
      <c r="G4" s="86" t="n"/>
      <c r="H4" s="86">
        <f>IFERROR(VLOOKUP(B4,Obs_Ridership!$A:$G,7,FALSE),"")</f>
        <v/>
      </c>
    </row>
    <row r="5">
      <c r="A5" t="n">
        <v>7</v>
      </c>
      <c r="B5" t="n">
        <v>7</v>
      </c>
      <c r="F5" s="86" t="n"/>
      <c r="G5" s="86" t="n"/>
      <c r="H5" s="86">
        <f>IFERROR(VLOOKUP(B5,Obs_Ridership!$A:$G,7,FALSE),"")</f>
        <v/>
      </c>
    </row>
    <row r="6">
      <c r="A6" t="n">
        <v>8</v>
      </c>
      <c r="B6" t="n">
        <v>8</v>
      </c>
      <c r="F6" s="86" t="n"/>
      <c r="G6" s="86" t="n"/>
      <c r="H6" s="86">
        <f>IFERROR(VLOOKUP(B6,Obs_Ridership!$A:$G,7,FALSE),"")</f>
        <v/>
      </c>
    </row>
    <row r="7">
      <c r="A7" t="n">
        <v>9</v>
      </c>
      <c r="B7" t="n">
        <v>9</v>
      </c>
      <c r="F7" s="86" t="n"/>
      <c r="G7" s="86" t="n"/>
      <c r="H7" s="86">
        <f>IFERROR(VLOOKUP(B7,Obs_Ridership!$A:$G,7,FALSE),"")</f>
        <v/>
      </c>
    </row>
    <row r="8">
      <c r="A8" t="n">
        <v>14</v>
      </c>
      <c r="B8" t="n">
        <v>14</v>
      </c>
      <c r="F8" s="86" t="n"/>
      <c r="G8" s="86" t="n"/>
      <c r="H8" s="86">
        <f>IFERROR(VLOOKUP(B8,Obs_Ridership!$A:$G,7,FALSE),"")</f>
        <v/>
      </c>
    </row>
    <row r="9">
      <c r="A9" t="n">
        <v>17</v>
      </c>
      <c r="B9" t="n">
        <v>17</v>
      </c>
      <c r="F9" s="86" t="n"/>
      <c r="G9" s="86" t="n"/>
      <c r="H9" s="86">
        <f>IFERROR(VLOOKUP(B9,Obs_Ridership!$A:$G,7,FALSE),"")</f>
        <v/>
      </c>
    </row>
    <row r="10">
      <c r="A10" t="n">
        <v>18</v>
      </c>
      <c r="B10" t="n">
        <v>18</v>
      </c>
      <c r="F10" s="86" t="n"/>
      <c r="G10" s="86" t="n"/>
      <c r="H10" s="86">
        <f>IFERROR(VLOOKUP(B10,Obs_Ridership!$A:$G,7,FALSE),"")</f>
        <v/>
      </c>
    </row>
    <row r="11">
      <c r="A11" t="n">
        <v>19</v>
      </c>
      <c r="B11" t="n">
        <v>19</v>
      </c>
      <c r="F11" s="86" t="n"/>
      <c r="G11" s="86" t="n"/>
      <c r="H11" s="86">
        <f>IFERROR(VLOOKUP(B11,Obs_Ridership!$A:$G,7,FALSE),"")</f>
        <v/>
      </c>
    </row>
    <row r="12">
      <c r="A12" t="n">
        <v>22</v>
      </c>
      <c r="B12" t="n">
        <v>22</v>
      </c>
      <c r="F12" s="86" t="n"/>
      <c r="G12" s="86" t="n"/>
      <c r="H12" s="86">
        <f>IFERROR(VLOOKUP(B12,Obs_Ridership!$A:$G,7,FALSE),"")</f>
        <v/>
      </c>
    </row>
    <row r="13">
      <c r="A13" t="n">
        <v>23</v>
      </c>
      <c r="B13" t="n">
        <v>23</v>
      </c>
      <c r="F13" s="86" t="n"/>
      <c r="G13" s="86" t="n"/>
      <c r="H13" s="86">
        <f>IFERROR(VLOOKUP(B13,Obs_Ridership!$A:$G,7,FALSE),"")</f>
        <v/>
      </c>
    </row>
    <row r="14">
      <c r="A14" t="n">
        <v>28</v>
      </c>
      <c r="B14" t="n">
        <v>28</v>
      </c>
      <c r="F14" s="86" t="n"/>
      <c r="G14" s="86" t="n"/>
      <c r="H14" s="86">
        <f>IFERROR(VLOOKUP(B14,Obs_Ridership!$A:$G,7,FALSE),"")</f>
        <v/>
      </c>
    </row>
    <row r="15">
      <c r="A15" t="n">
        <v>29</v>
      </c>
      <c r="B15" t="n">
        <v>29</v>
      </c>
      <c r="F15" s="86" t="n"/>
      <c r="G15" s="86" t="n"/>
      <c r="H15" s="86">
        <f>IFERROR(VLOOKUP(B15,Obs_Ridership!$A:$G,7,FALSE),"")</f>
        <v/>
      </c>
    </row>
    <row r="16">
      <c r="A16" t="n">
        <v>34</v>
      </c>
      <c r="B16" t="n">
        <v>34</v>
      </c>
      <c r="F16" s="86" t="n"/>
      <c r="G16" s="86" t="n"/>
      <c r="H16" s="86">
        <f>IFERROR(VLOOKUP(B16,Obs_Ridership!$A:$G,7,FALSE),"")</f>
        <v/>
      </c>
    </row>
    <row r="17">
      <c r="A17" t="n">
        <v>41</v>
      </c>
      <c r="B17" t="n">
        <v>41</v>
      </c>
      <c r="F17" s="86" t="n"/>
      <c r="G17" s="86" t="n"/>
      <c r="H17" s="86">
        <f>IFERROR(VLOOKUP(B17,Obs_Ridership!$A:$G,7,FALSE),"")</f>
        <v/>
      </c>
    </row>
    <row r="18">
      <c r="A18" t="n">
        <v>42</v>
      </c>
      <c r="B18" t="n">
        <v>42</v>
      </c>
      <c r="F18" s="86" t="n"/>
      <c r="G18" s="86" t="n"/>
      <c r="H18" s="86">
        <f>IFERROR(VLOOKUP(B18,Obs_Ridership!$A:$G,7,FALSE),"")</f>
        <v/>
      </c>
    </row>
    <row r="19">
      <c r="A19" t="n">
        <v>50</v>
      </c>
      <c r="B19" t="n">
        <v>50</v>
      </c>
      <c r="F19" s="86" t="n"/>
      <c r="G19" s="86" t="n"/>
      <c r="H19" s="86">
        <f>IFERROR(VLOOKUP(B19,Obs_Ridership!$A:$G,7,FALSE),"")</f>
        <v/>
      </c>
    </row>
    <row r="20">
      <c r="A20" t="n">
        <v>52</v>
      </c>
      <c r="B20" t="n">
        <v>52</v>
      </c>
      <c r="F20" s="86" t="n"/>
      <c r="G20" s="86" t="n"/>
      <c r="H20" s="86">
        <f>IFERROR(VLOOKUP(B20,Obs_Ridership!$A:$G,7,FALSE),"")</f>
        <v/>
      </c>
    </row>
    <row r="21">
      <c r="A21" t="n">
        <v>55</v>
      </c>
      <c r="B21" t="n">
        <v>55</v>
      </c>
      <c r="F21" s="86" t="n"/>
      <c r="G21" s="86" t="n"/>
      <c r="H21" s="86">
        <f>IFERROR(VLOOKUP(B21,Obs_Ridership!$A:$G,7,FALSE),"")</f>
        <v/>
      </c>
    </row>
    <row r="22">
      <c r="A22" t="n">
        <v>56</v>
      </c>
      <c r="B22" t="n">
        <v>56</v>
      </c>
      <c r="F22" s="86" t="n"/>
      <c r="G22" s="86" t="n"/>
      <c r="H22" s="86">
        <f>IFERROR(VLOOKUP(B22,Obs_Ridership!$A:$G,7,FALSE),"")</f>
        <v/>
      </c>
    </row>
    <row r="23">
      <c r="A23" t="n">
        <v>64</v>
      </c>
      <c r="B23" t="n">
        <v>64</v>
      </c>
      <c r="F23" s="86" t="n"/>
      <c r="G23" s="86" t="n"/>
      <c r="H23" s="86">
        <f>IFERROR(VLOOKUP(B23,Obs_Ridership!$A:$G,7,FALSE),"")</f>
        <v/>
      </c>
    </row>
    <row r="24">
      <c r="A24" t="n">
        <v>70</v>
      </c>
      <c r="B24" t="n">
        <v>70</v>
      </c>
      <c r="F24" s="86" t="n"/>
      <c r="G24" s="86" t="n"/>
      <c r="H24" s="86">
        <f>IFERROR(VLOOKUP(B24,Obs_Ridership!$A:$G,7,FALSE),"")</f>
        <v/>
      </c>
    </row>
    <row r="25">
      <c r="A25" t="n">
        <v>75</v>
      </c>
      <c r="B25" t="n">
        <v>75</v>
      </c>
      <c r="F25" s="86" t="n"/>
      <c r="G25" s="86" t="n"/>
      <c r="H25" s="86">
        <f>IFERROR(VLOOKUP(B25,Obs_Ridership!$A:$G,7,FALSE),"")</f>
        <v/>
      </c>
    </row>
    <row r="26">
      <c r="A26" t="n">
        <v>76</v>
      </c>
      <c r="B26" t="n">
        <v>76</v>
      </c>
      <c r="F26" s="86" t="n"/>
      <c r="G26" s="86" t="n"/>
      <c r="H26" s="86">
        <f>IFERROR(VLOOKUP(B26,Obs_Ridership!$A:$G,7,FALSE),"")</f>
        <v/>
      </c>
    </row>
    <row r="27">
      <c r="A27" t="n">
        <v>77</v>
      </c>
      <c r="B27" t="n">
        <v>77</v>
      </c>
      <c r="F27" s="86" t="n"/>
      <c r="G27" s="86" t="n"/>
      <c r="H27" s="86">
        <f>IFERROR(VLOOKUP(B27,Obs_Ridership!$A:$G,7,FALSE),"")</f>
        <v/>
      </c>
    </row>
    <row r="28">
      <c r="A28" t="n">
        <v>79</v>
      </c>
      <c r="B28" t="n">
        <v>79</v>
      </c>
      <c r="F28" s="86" t="n"/>
      <c r="G28" s="86" t="n"/>
      <c r="H28" s="86">
        <f>IFERROR(VLOOKUP(B28,Obs_Ridership!$A:$G,7,FALSE),"")</f>
        <v/>
      </c>
    </row>
    <row r="29">
      <c r="A29" t="n">
        <v>84</v>
      </c>
      <c r="B29" t="n">
        <v>84</v>
      </c>
      <c r="F29" s="86" t="n"/>
      <c r="G29" s="86" t="n"/>
      <c r="H29" s="86">
        <f>IFERROR(VLOOKUP(B29,Obs_Ridership!$A:$G,7,FALSE),"")</f>
        <v/>
      </c>
    </row>
    <row r="30">
      <c r="A30" t="n">
        <v>86</v>
      </c>
      <c r="B30" t="n">
        <v>86</v>
      </c>
      <c r="F30" s="86" t="n"/>
      <c r="G30" s="86" t="n"/>
      <c r="H30" s="86">
        <f>IFERROR(VLOOKUP(B30,Obs_Ridership!$A:$G,7,FALSE),"")</f>
        <v/>
      </c>
      <c r="I30" t="inlineStr">
        <is>
          <t>"RouteNumNum" isn't correct, used "RouteNumChar"</t>
        </is>
      </c>
    </row>
    <row r="31">
      <c r="A31" t="n">
        <v>87</v>
      </c>
      <c r="B31" t="n">
        <v>87</v>
      </c>
      <c r="H31" s="86">
        <f>IFERROR(VLOOKUP(B31,Obs_Ridership!$A:$G,7,FALSE),"")</f>
        <v/>
      </c>
    </row>
    <row r="32">
      <c r="A32" t="n">
        <v>89</v>
      </c>
      <c r="B32" t="n">
        <v>89</v>
      </c>
      <c r="H32" s="86">
        <f>IFERROR(VLOOKUP(B32,Obs_Ridership!$A:$G,7,FALSE),"")</f>
        <v/>
      </c>
    </row>
    <row r="33">
      <c r="A33" t="n">
        <v>90</v>
      </c>
      <c r="B33" t="n">
        <v>90</v>
      </c>
      <c r="H33" s="86">
        <f>IFERROR(VLOOKUP(B33,Obs_Ridership!$A:$G,7,FALSE),"")</f>
        <v/>
      </c>
    </row>
    <row r="34">
      <c r="A34" t="n">
        <v>93</v>
      </c>
      <c r="B34" t="n">
        <v>93</v>
      </c>
      <c r="H34" s="86">
        <f>IFERROR(VLOOKUP(B34,Obs_Ridership!$A:$G,7,FALSE),"")</f>
        <v/>
      </c>
    </row>
    <row r="35">
      <c r="A35" t="n">
        <v>95</v>
      </c>
      <c r="B35" t="n">
        <v>95</v>
      </c>
      <c r="H35" s="86">
        <f>IFERROR(VLOOKUP(B35,Obs_Ridership!$A:$G,7,FALSE),"")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DU257"/>
  <sheetViews>
    <sheetView workbookViewId="0">
      <selection activeCell="L23" sqref="L23"/>
    </sheetView>
  </sheetViews>
  <sheetFormatPr baseColWidth="8" defaultRowHeight="15"/>
  <sheetData>
    <row r="1">
      <c r="A1" t="inlineStr">
        <is>
          <t xml:space="preserve">
</t>
        </is>
      </c>
    </row>
    <row r="2">
      <c r="A2" t="inlineStr"/>
      <c r="B2" t="inlineStr">
        <is>
          <t>Created</t>
        </is>
      </c>
      <c r="C2" t="inlineStr">
        <is>
          <t>On:</t>
        </is>
      </c>
      <c r="D2" t="inlineStr">
        <is>
          <t>Sat,</t>
        </is>
      </c>
      <c r="E2" t="inlineStr">
        <is>
          <t>May</t>
        </is>
      </c>
      <c r="F2" t="n">
        <v>11</v>
      </c>
      <c r="G2" t="n">
        <v>2024</v>
      </c>
      <c r="H2" t="inlineStr">
        <is>
          <t xml:space="preserve">(20:40:06)
</t>
        </is>
      </c>
    </row>
    <row r="3">
      <c r="A3" t="inlineStr"/>
      <c r="B3" t="inlineStr">
        <is>
          <t>Nashville</t>
        </is>
      </c>
      <c r="C3" t="inlineStr">
        <is>
          <t>Transit</t>
        </is>
      </c>
      <c r="D3" t="inlineStr">
        <is>
          <t>Assignment</t>
        </is>
      </c>
      <c r="E3" t="inlineStr">
        <is>
          <t xml:space="preserve">Summary
</t>
        </is>
      </c>
    </row>
    <row r="4">
      <c r="A4" t="inlineStr">
        <is>
          <t xml:space="preserve">
</t>
        </is>
      </c>
    </row>
    <row r="5">
      <c r="A5" t="inlineStr"/>
      <c r="B5" t="inlineStr">
        <is>
          <t>Alternative:</t>
        </is>
      </c>
      <c r="C5" t="inlineStr">
        <is>
          <t xml:space="preserve">
</t>
        </is>
      </c>
    </row>
    <row r="6">
      <c r="A6" t="inlineStr">
        <is>
          <t xml:space="preserve">
</t>
        </is>
      </c>
    </row>
    <row r="7">
      <c r="A7" t="inlineStr">
        <is>
          <t xml:space="preserve">
</t>
        </is>
      </c>
    </row>
    <row r="8">
      <c r="A8" t="inlineStr">
        <is>
          <t xml:space="preserve">
</t>
        </is>
      </c>
    </row>
    <row r="9">
      <c r="A9" t="inlineStr">
        <is>
          <t>TRIPS</t>
        </is>
      </c>
      <c r="B9" t="inlineStr">
        <is>
          <t>BY</t>
        </is>
      </c>
      <c r="C9" t="inlineStr">
        <is>
          <t>TOD</t>
        </is>
      </c>
      <c r="D9" t="inlineStr">
        <is>
          <t>AND</t>
        </is>
      </c>
      <c r="E9" t="inlineStr">
        <is>
          <t>MODE</t>
        </is>
      </c>
      <c r="F9" t="inlineStr">
        <is>
          <t>(MODE</t>
        </is>
      </c>
      <c r="G9" t="inlineStr">
        <is>
          <t>CHOICE</t>
        </is>
      </c>
      <c r="H9" t="inlineStr">
        <is>
          <t>MODEL</t>
        </is>
      </c>
      <c r="I9" t="inlineStr">
        <is>
          <t xml:space="preserve">RESULTS)
</t>
        </is>
      </c>
    </row>
    <row r="10">
      <c r="A10" t="inlineStr">
        <is>
          <t xml:space="preserve">|
</t>
        </is>
      </c>
    </row>
    <row r="11">
      <c r="A11" t="inlineStr"/>
      <c r="B11" t="inlineStr">
        <is>
          <t>Per</t>
        </is>
      </c>
      <c r="C11" t="inlineStr">
        <is>
          <t>DriveAlo</t>
        </is>
      </c>
      <c r="D11" t="inlineStr">
        <is>
          <t>ShrRide</t>
        </is>
      </c>
      <c r="E11" t="n">
        <v>2</v>
      </c>
      <c r="F11" t="inlineStr">
        <is>
          <t>ShrRide</t>
        </is>
      </c>
      <c r="G11" t="inlineStr">
        <is>
          <t>3+</t>
        </is>
      </c>
      <c r="H11" t="inlineStr">
        <is>
          <t>WalkLocal</t>
        </is>
      </c>
      <c r="I11" t="inlineStr">
        <is>
          <t>WalkBrt</t>
        </is>
      </c>
      <c r="J11" t="inlineStr">
        <is>
          <t>WalkExpBus</t>
        </is>
      </c>
      <c r="K11" t="inlineStr">
        <is>
          <t>WalkUrbRail</t>
        </is>
      </c>
      <c r="L11" t="inlineStr">
        <is>
          <t>WalkComRail</t>
        </is>
      </c>
      <c r="M11" t="inlineStr">
        <is>
          <t>PnRLocal</t>
        </is>
      </c>
      <c r="N11" t="inlineStr">
        <is>
          <t>PnRBrt</t>
        </is>
      </c>
      <c r="O11" t="inlineStr">
        <is>
          <t>PnRExpBus</t>
        </is>
      </c>
      <c r="P11" t="inlineStr">
        <is>
          <t>PnRUrbRail</t>
        </is>
      </c>
      <c r="Q11" t="inlineStr">
        <is>
          <t>PnRComRail</t>
        </is>
      </c>
      <c r="R11" t="inlineStr">
        <is>
          <t>KnRLocal</t>
        </is>
      </c>
      <c r="S11" t="inlineStr">
        <is>
          <t>KnRBrt</t>
        </is>
      </c>
      <c r="T11" t="inlineStr">
        <is>
          <t>KnRExpBus</t>
        </is>
      </c>
      <c r="U11" t="inlineStr">
        <is>
          <t>KnRUrbRail</t>
        </is>
      </c>
      <c r="V11" t="inlineStr">
        <is>
          <t>KnrComRail</t>
        </is>
      </c>
      <c r="W11" t="inlineStr">
        <is>
          <t>|</t>
        </is>
      </c>
      <c r="X11" t="inlineStr">
        <is>
          <t>Total</t>
        </is>
      </c>
      <c r="Y11" t="inlineStr">
        <is>
          <t xml:space="preserve">Trips
</t>
        </is>
      </c>
    </row>
    <row r="12">
      <c r="A12" t="inlineStr">
        <is>
          <t xml:space="preserve">|
</t>
        </is>
      </c>
    </row>
    <row r="13">
      <c r="A13" t="inlineStr"/>
      <c r="B13" t="inlineStr">
        <is>
          <t>AM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s="50" t="n">
        <v>4433</v>
      </c>
      <c r="G13" t="n">
        <v>181</v>
      </c>
      <c r="H13" s="50" t="n">
        <v>13</v>
      </c>
      <c r="I13" t="n">
        <v>0</v>
      </c>
      <c r="J13" t="n">
        <v>604</v>
      </c>
      <c r="K13" s="50" t="n">
        <v>750</v>
      </c>
      <c r="L13" t="n">
        <v>0</v>
      </c>
      <c r="M13" s="50" t="n">
        <v>1</v>
      </c>
      <c r="N13" t="n">
        <v>0</v>
      </c>
      <c r="O13" t="n">
        <v>576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|</t>
        </is>
      </c>
      <c r="V13" t="inlineStr">
        <is>
          <t xml:space="preserve">--
</t>
        </is>
      </c>
    </row>
    <row r="14">
      <c r="A14" t="inlineStr"/>
      <c r="B14" t="inlineStr">
        <is>
          <t>MD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s="50" t="n">
        <v>10864</v>
      </c>
      <c r="G14" s="50" t="n">
        <v>252</v>
      </c>
      <c r="H14" t="n">
        <v>30</v>
      </c>
      <c r="I14" t="n">
        <v>0</v>
      </c>
      <c r="J14" t="n">
        <v>0</v>
      </c>
      <c r="K14" s="50" t="n">
        <v>444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|</t>
        </is>
      </c>
      <c r="V14" t="inlineStr">
        <is>
          <t xml:space="preserve">--
</t>
        </is>
      </c>
    </row>
    <row r="15">
      <c r="A15" t="inlineStr"/>
      <c r="B15" t="inlineStr">
        <is>
          <t>PM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s="50" t="n">
        <v>6643</v>
      </c>
      <c r="G15" s="50" t="n">
        <v>236</v>
      </c>
      <c r="H15" s="50" t="n">
        <v>21</v>
      </c>
      <c r="I15" t="n">
        <v>0</v>
      </c>
      <c r="J15" s="50" t="n">
        <v>1757</v>
      </c>
      <c r="K15" s="50" t="n">
        <v>835</v>
      </c>
      <c r="L15" t="n">
        <v>0</v>
      </c>
      <c r="M15" s="50" t="n">
        <v>1</v>
      </c>
      <c r="N15" t="n">
        <v>0</v>
      </c>
      <c r="O15" t="n">
        <v>432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|</t>
        </is>
      </c>
      <c r="V15" t="inlineStr">
        <is>
          <t xml:space="preserve">--
</t>
        </is>
      </c>
    </row>
    <row r="16">
      <c r="A16" t="inlineStr"/>
      <c r="B16" t="inlineStr">
        <is>
          <t>OP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s="50" t="n">
        <v>2511</v>
      </c>
      <c r="G16" t="n">
        <v>52</v>
      </c>
      <c r="H16" t="n">
        <v>1</v>
      </c>
      <c r="I16" t="n">
        <v>0</v>
      </c>
      <c r="J16" t="n">
        <v>0</v>
      </c>
      <c r="K16" t="n">
        <v>127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|</t>
        </is>
      </c>
      <c r="V16" t="inlineStr">
        <is>
          <t xml:space="preserve">--
</t>
        </is>
      </c>
    </row>
    <row r="17">
      <c r="A17" t="inlineStr">
        <is>
          <t xml:space="preserve">|
</t>
        </is>
      </c>
    </row>
    <row r="18">
      <c r="A18" t="inlineStr">
        <is>
          <t>TOTAL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s="50" t="n">
        <v>24451</v>
      </c>
      <c r="F18" s="50" t="n">
        <v>721</v>
      </c>
      <c r="G18" s="50" t="n">
        <v>65</v>
      </c>
      <c r="H18" t="n">
        <v>0</v>
      </c>
      <c r="I18" s="50" t="n">
        <v>2361</v>
      </c>
      <c r="J18" s="50" t="n">
        <v>2156</v>
      </c>
      <c r="K18" s="50" t="n">
        <v>0</v>
      </c>
      <c r="L18" s="50" t="n">
        <v>4</v>
      </c>
      <c r="M18" t="n">
        <v>0</v>
      </c>
      <c r="N18" t="n">
        <v>1008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|</t>
        </is>
      </c>
      <c r="U18" t="inlineStr">
        <is>
          <t xml:space="preserve">--
</t>
        </is>
      </c>
    </row>
    <row r="19">
      <c r="A19" t="inlineStr">
        <is>
          <t xml:space="preserve">
</t>
        </is>
      </c>
    </row>
    <row r="20">
      <c r="A20" t="inlineStr">
        <is>
          <t xml:space="preserve">
</t>
        </is>
      </c>
    </row>
    <row r="21">
      <c r="A21" t="inlineStr">
        <is>
          <t xml:space="preserve">
</t>
        </is>
      </c>
    </row>
    <row r="22">
      <c r="A22" t="inlineStr">
        <is>
          <t>TRANSIT</t>
        </is>
      </c>
      <c r="B22" t="inlineStr">
        <is>
          <t>BOARDINGS</t>
        </is>
      </c>
      <c r="C22" t="inlineStr">
        <is>
          <t>BY</t>
        </is>
      </c>
      <c r="D22" t="inlineStr">
        <is>
          <t>MODE</t>
        </is>
      </c>
      <c r="E22" t="inlineStr">
        <is>
          <t>(TRANSIT</t>
        </is>
      </c>
      <c r="F22" t="inlineStr">
        <is>
          <t>ASSIGNMENT</t>
        </is>
      </c>
      <c r="G22" t="inlineStr">
        <is>
          <t xml:space="preserve">RESULTS)
</t>
        </is>
      </c>
    </row>
    <row r="23">
      <c r="A23" t="inlineStr">
        <is>
          <t xml:space="preserve">|
</t>
        </is>
      </c>
    </row>
    <row r="24">
      <c r="A24" t="inlineStr"/>
      <c r="B24" t="inlineStr">
        <is>
          <t>Mode</t>
        </is>
      </c>
      <c r="C24" t="inlineStr">
        <is>
          <t>Mode</t>
        </is>
      </c>
      <c r="D24" t="inlineStr">
        <is>
          <t>Name</t>
        </is>
      </c>
      <c r="E24" t="inlineStr">
        <is>
          <t>Dwell</t>
        </is>
      </c>
      <c r="F24" t="inlineStr">
        <is>
          <t>Factor</t>
        </is>
      </c>
      <c r="G24" t="inlineStr">
        <is>
          <t>AM</t>
        </is>
      </c>
      <c r="H24" t="inlineStr">
        <is>
          <t>MD</t>
        </is>
      </c>
      <c r="I24" t="inlineStr">
        <is>
          <t>PM</t>
        </is>
      </c>
      <c r="J24" t="inlineStr">
        <is>
          <t>OP</t>
        </is>
      </c>
      <c r="K24" t="inlineStr">
        <is>
          <t>|</t>
        </is>
      </c>
      <c r="L24" t="inlineStr">
        <is>
          <t xml:space="preserve">Total
</t>
        </is>
      </c>
    </row>
    <row r="25">
      <c r="A25" t="inlineStr">
        <is>
          <t xml:space="preserve">|
</t>
        </is>
      </c>
    </row>
    <row r="26">
      <c r="A26" t="inlineStr"/>
      <c r="B26" t="n">
        <v>1</v>
      </c>
      <c r="C26" t="inlineStr">
        <is>
          <t>Local</t>
        </is>
      </c>
      <c r="D26" t="n">
        <v>2</v>
      </c>
      <c r="E26" s="50" t="n">
        <v>9743</v>
      </c>
      <c r="F26" s="50" t="n">
        <v>17852</v>
      </c>
      <c r="G26" s="50" t="n">
        <v>14053</v>
      </c>
      <c r="H26" s="50" t="n">
        <v>3872</v>
      </c>
      <c r="I26" t="inlineStr">
        <is>
          <t>|</t>
        </is>
      </c>
      <c r="J26" s="50" t="n">
        <v>45527</v>
      </c>
    </row>
    <row r="27">
      <c r="A27" t="inlineStr"/>
      <c r="B27" t="n">
        <v>6</v>
      </c>
      <c r="C27" t="inlineStr">
        <is>
          <t>Express</t>
        </is>
      </c>
      <c r="D27" t="inlineStr">
        <is>
          <t>Bus</t>
        </is>
      </c>
      <c r="E27" t="n">
        <v>1</v>
      </c>
      <c r="F27" s="50" t="n">
        <v>13</v>
      </c>
      <c r="G27" t="n">
        <v>31</v>
      </c>
      <c r="H27" s="50" t="n">
        <v>20</v>
      </c>
      <c r="I27" t="n">
        <v>1</v>
      </c>
      <c r="J27" t="inlineStr">
        <is>
          <t>|</t>
        </is>
      </c>
      <c r="K27" s="50" t="n">
        <v>65</v>
      </c>
    </row>
    <row r="28">
      <c r="A28" t="inlineStr"/>
      <c r="B28" t="n">
        <v>7</v>
      </c>
      <c r="C28" t="inlineStr">
        <is>
          <t>Commuter</t>
        </is>
      </c>
      <c r="D28" t="inlineStr">
        <is>
          <t>Bus</t>
        </is>
      </c>
      <c r="E28" t="n">
        <v>1</v>
      </c>
      <c r="F28" t="n">
        <v>1</v>
      </c>
      <c r="G28" t="n">
        <v>0</v>
      </c>
      <c r="H28" t="n">
        <v>2</v>
      </c>
      <c r="I28" t="n">
        <v>0</v>
      </c>
      <c r="J28" t="inlineStr">
        <is>
          <t>|</t>
        </is>
      </c>
      <c r="K28" t="n">
        <v>3</v>
      </c>
    </row>
    <row r="29">
      <c r="A29" t="inlineStr"/>
      <c r="B29" t="n">
        <v>8</v>
      </c>
      <c r="C29" t="inlineStr">
        <is>
          <t>Existing</t>
        </is>
      </c>
      <c r="D29" t="inlineStr">
        <is>
          <t>BRT</t>
        </is>
      </c>
      <c r="E29" t="n">
        <v>1.5</v>
      </c>
      <c r="F29" s="50" t="n">
        <v>176</v>
      </c>
      <c r="G29" s="50" t="n">
        <v>230</v>
      </c>
      <c r="H29" s="50" t="n">
        <v>235</v>
      </c>
      <c r="I29" t="n">
        <v>50</v>
      </c>
      <c r="J29" t="inlineStr">
        <is>
          <t>|</t>
        </is>
      </c>
      <c r="K29" s="50" t="n">
        <v>689</v>
      </c>
    </row>
    <row r="30">
      <c r="A30" t="inlineStr"/>
      <c r="B30" t="n">
        <v>11</v>
      </c>
      <c r="C30" t="inlineStr">
        <is>
          <t>Shuttle</t>
        </is>
      </c>
      <c r="D30" t="n">
        <v>2</v>
      </c>
      <c r="E30" t="n">
        <v>548</v>
      </c>
      <c r="F30" t="n">
        <v>0</v>
      </c>
      <c r="G30" t="n">
        <v>1704</v>
      </c>
      <c r="H30" t="n">
        <v>0</v>
      </c>
      <c r="I30" t="inlineStr">
        <is>
          <t>|</t>
        </is>
      </c>
      <c r="J30" t="n">
        <v>2253</v>
      </c>
    </row>
    <row r="31">
      <c r="A31" t="inlineStr"/>
      <c r="B31" t="n">
        <v>12</v>
      </c>
      <c r="C31" t="inlineStr">
        <is>
          <t>ComRail</t>
        </is>
      </c>
      <c r="D31" t="n">
        <v>0.5</v>
      </c>
      <c r="E31" t="n">
        <v>139</v>
      </c>
      <c r="F31" t="n">
        <v>0</v>
      </c>
      <c r="G31" t="n">
        <v>112</v>
      </c>
      <c r="H31" t="n">
        <v>0</v>
      </c>
      <c r="I31" t="inlineStr">
        <is>
          <t>|</t>
        </is>
      </c>
      <c r="J31" s="50" t="n">
        <v>253</v>
      </c>
    </row>
    <row r="32">
      <c r="A32" t="inlineStr">
        <is>
          <t xml:space="preserve">|
</t>
        </is>
      </c>
    </row>
    <row r="33">
      <c r="A33" t="inlineStr"/>
      <c r="B33" t="inlineStr">
        <is>
          <t>TOTAL</t>
        </is>
      </c>
      <c r="C33" s="50" t="n">
        <v>10619</v>
      </c>
      <c r="D33" s="50" t="n">
        <v>18113</v>
      </c>
      <c r="E33" s="50" t="n">
        <v>16125</v>
      </c>
      <c r="F33" s="50" t="n">
        <v>3922</v>
      </c>
      <c r="G33" t="inlineStr">
        <is>
          <t>|</t>
        </is>
      </c>
      <c r="H33" s="50" t="n">
        <v>48790</v>
      </c>
    </row>
    <row r="34">
      <c r="A34" t="inlineStr">
        <is>
          <t xml:space="preserve">
</t>
        </is>
      </c>
    </row>
    <row r="35">
      <c r="A35" t="inlineStr">
        <is>
          <t xml:space="preserve">
</t>
        </is>
      </c>
    </row>
    <row r="36">
      <c r="A36" t="inlineStr">
        <is>
          <t xml:space="preserve">
</t>
        </is>
      </c>
    </row>
    <row r="37">
      <c r="A37" t="inlineStr">
        <is>
          <t>TRANSFER</t>
        </is>
      </c>
      <c r="B37" t="inlineStr">
        <is>
          <t>RATES</t>
        </is>
      </c>
      <c r="C37" t="inlineStr">
        <is>
          <t>BY</t>
        </is>
      </c>
      <c r="D37" t="inlineStr">
        <is>
          <t xml:space="preserve">TOD
</t>
        </is>
      </c>
    </row>
    <row r="38">
      <c r="A38" t="inlineStr">
        <is>
          <t xml:space="preserve">
</t>
        </is>
      </c>
    </row>
    <row r="39">
      <c r="A39" t="inlineStr"/>
      <c r="B39" t="inlineStr">
        <is>
          <t>Period</t>
        </is>
      </c>
      <c r="C39" t="inlineStr">
        <is>
          <t>Transfers</t>
        </is>
      </c>
      <c r="D39" t="inlineStr">
        <is>
          <t xml:space="preserve">(Rate)
</t>
        </is>
      </c>
    </row>
    <row r="40">
      <c r="A40" t="inlineStr">
        <is>
          <t xml:space="preserve">
</t>
        </is>
      </c>
    </row>
    <row r="41">
      <c r="A41" t="inlineStr"/>
      <c r="B41" t="inlineStr">
        <is>
          <t>AM</t>
        </is>
      </c>
      <c r="C41" s="50" t="n">
        <v>4061</v>
      </c>
      <c r="D41" s="57" t="inlineStr">
        <is>
          <t>(61.93%)</t>
        </is>
      </c>
      <c r="E41" t="inlineStr">
        <is>
          <t xml:space="preserve">
</t>
        </is>
      </c>
    </row>
    <row r="42">
      <c r="A42" t="inlineStr"/>
      <c r="B42" t="inlineStr">
        <is>
          <t>MD</t>
        </is>
      </c>
      <c r="C42" s="50" t="n">
        <v>6522</v>
      </c>
      <c r="D42" s="57" t="inlineStr">
        <is>
          <t>(56.27%)</t>
        </is>
      </c>
      <c r="E42" t="inlineStr">
        <is>
          <t xml:space="preserve">
</t>
        </is>
      </c>
    </row>
    <row r="43">
      <c r="A43" t="inlineStr"/>
      <c r="B43" t="inlineStr">
        <is>
          <t>PM</t>
        </is>
      </c>
      <c r="C43" s="50" t="n">
        <v>6200</v>
      </c>
      <c r="D43" s="57" t="inlineStr">
        <is>
          <t>(62.47%)</t>
        </is>
      </c>
      <c r="E43" t="inlineStr">
        <is>
          <t xml:space="preserve">
</t>
        </is>
      </c>
    </row>
    <row r="44">
      <c r="A44" t="inlineStr"/>
      <c r="B44" t="inlineStr">
        <is>
          <t>OP</t>
        </is>
      </c>
      <c r="C44" t="n">
        <v>1230</v>
      </c>
      <c r="D44" s="57" t="inlineStr">
        <is>
          <t>(45.70%)</t>
        </is>
      </c>
      <c r="E44" t="inlineStr">
        <is>
          <t xml:space="preserve">
</t>
        </is>
      </c>
    </row>
    <row r="45">
      <c r="A45" t="inlineStr">
        <is>
          <t xml:space="preserve">
</t>
        </is>
      </c>
    </row>
    <row r="46">
      <c r="A46" t="inlineStr"/>
      <c r="B46" t="inlineStr">
        <is>
          <t>TOTAL</t>
        </is>
      </c>
      <c r="C46" s="50" t="n">
        <v>18024</v>
      </c>
      <c r="D46" s="57" t="inlineStr">
        <is>
          <t>(58.58%)</t>
        </is>
      </c>
      <c r="E46" t="inlineStr">
        <is>
          <t xml:space="preserve">
</t>
        </is>
      </c>
    </row>
    <row r="47">
      <c r="A47" t="inlineStr">
        <is>
          <t xml:space="preserve">
</t>
        </is>
      </c>
    </row>
    <row r="48">
      <c r="A48" t="inlineStr">
        <is>
          <t xml:space="preserve">
</t>
        </is>
      </c>
    </row>
    <row r="49">
      <c r="A49" t="inlineStr">
        <is>
          <t xml:space="preserve">
</t>
        </is>
      </c>
    </row>
    <row r="50">
      <c r="A50" t="inlineStr">
        <is>
          <t>TRANSIT</t>
        </is>
      </c>
      <c r="B50" t="inlineStr">
        <is>
          <t>BOARDINGS</t>
        </is>
      </c>
      <c r="C50" t="inlineStr">
        <is>
          <t>BY</t>
        </is>
      </c>
      <c r="D50" t="inlineStr">
        <is>
          <t>ROUTE</t>
        </is>
      </c>
      <c r="E50" t="inlineStr">
        <is>
          <t>(TRANSIT</t>
        </is>
      </c>
      <c r="F50" t="inlineStr">
        <is>
          <t>ASSIGNMENT</t>
        </is>
      </c>
      <c r="G50" t="inlineStr">
        <is>
          <t xml:space="preserve">RESULTS)
</t>
        </is>
      </c>
    </row>
    <row r="51">
      <c r="A51" t="inlineStr">
        <is>
          <t xml:space="preserve">|
</t>
        </is>
      </c>
    </row>
    <row r="52">
      <c r="A52" t="inlineStr"/>
      <c r="B52" t="inlineStr">
        <is>
          <t>Route</t>
        </is>
      </c>
      <c r="C52" t="inlineStr">
        <is>
          <t>Mode</t>
        </is>
      </c>
      <c r="D52" t="inlineStr">
        <is>
          <t>Route</t>
        </is>
      </c>
      <c r="E52" t="inlineStr">
        <is>
          <t>Name</t>
        </is>
      </c>
      <c r="F52" t="inlineStr">
        <is>
          <t>AM</t>
        </is>
      </c>
      <c r="G52" t="inlineStr">
        <is>
          <t>MD</t>
        </is>
      </c>
      <c r="H52" t="inlineStr">
        <is>
          <t>PM</t>
        </is>
      </c>
      <c r="I52" t="inlineStr">
        <is>
          <t>OP</t>
        </is>
      </c>
      <c r="J52" t="inlineStr">
        <is>
          <t>|</t>
        </is>
      </c>
      <c r="K52" t="inlineStr">
        <is>
          <t xml:space="preserve">Total
</t>
        </is>
      </c>
    </row>
    <row r="53">
      <c r="A53" t="inlineStr">
        <is>
          <t xml:space="preserve">|
</t>
        </is>
      </c>
    </row>
    <row r="54">
      <c r="A54" t="inlineStr"/>
      <c r="B54" t="n">
        <v>3</v>
      </c>
      <c r="C54" t="n">
        <v>1</v>
      </c>
      <c r="D54" t="inlineStr">
        <is>
          <t>Rte</t>
        </is>
      </c>
      <c r="E54" t="n">
        <v>3</v>
      </c>
      <c r="F54" t="n">
        <v>932</v>
      </c>
      <c r="G54" t="n">
        <v>1550</v>
      </c>
      <c r="H54" t="n">
        <v>1345</v>
      </c>
      <c r="I54" t="n">
        <v>347</v>
      </c>
      <c r="J54" t="inlineStr">
        <is>
          <t>|</t>
        </is>
      </c>
      <c r="K54" t="n">
        <v>4175</v>
      </c>
    </row>
    <row r="55">
      <c r="A55" t="inlineStr"/>
      <c r="B55" t="n">
        <v>4</v>
      </c>
      <c r="C55" t="n">
        <v>1</v>
      </c>
      <c r="D55" t="inlineStr">
        <is>
          <t>Rte</t>
        </is>
      </c>
      <c r="E55" t="n">
        <v>4</v>
      </c>
      <c r="F55" t="n">
        <v>208</v>
      </c>
      <c r="G55" t="n">
        <v>384</v>
      </c>
      <c r="H55" t="n">
        <v>269</v>
      </c>
      <c r="I55" t="n">
        <v>52</v>
      </c>
      <c r="J55" t="inlineStr">
        <is>
          <t>|</t>
        </is>
      </c>
      <c r="K55" t="n">
        <v>913</v>
      </c>
    </row>
    <row r="56">
      <c r="A56" t="inlineStr"/>
      <c r="B56" t="n">
        <v>6</v>
      </c>
      <c r="C56" t="n">
        <v>1</v>
      </c>
      <c r="D56" t="inlineStr">
        <is>
          <t>Rte</t>
        </is>
      </c>
      <c r="E56" t="n">
        <v>6</v>
      </c>
      <c r="F56" s="50" t="n">
        <v>179</v>
      </c>
      <c r="G56" s="50" t="n">
        <v>71</v>
      </c>
      <c r="H56" s="50" t="n">
        <v>247</v>
      </c>
      <c r="I56" t="n">
        <v>22</v>
      </c>
      <c r="J56" t="inlineStr">
        <is>
          <t>|</t>
        </is>
      </c>
      <c r="K56" s="50" t="n">
        <v>519</v>
      </c>
    </row>
    <row r="57">
      <c r="A57" t="inlineStr"/>
      <c r="B57" t="n">
        <v>7</v>
      </c>
      <c r="C57" t="n">
        <v>1</v>
      </c>
      <c r="D57" t="inlineStr">
        <is>
          <t>Rte</t>
        </is>
      </c>
      <c r="E57" t="n">
        <v>7</v>
      </c>
      <c r="F57" t="n">
        <v>1875</v>
      </c>
      <c r="G57" t="n">
        <v>5732</v>
      </c>
      <c r="H57" t="n">
        <v>2718</v>
      </c>
      <c r="I57" t="n">
        <v>1181</v>
      </c>
      <c r="J57" t="inlineStr">
        <is>
          <t>|</t>
        </is>
      </c>
      <c r="K57" s="50" t="n">
        <v>11508</v>
      </c>
    </row>
    <row r="58">
      <c r="A58" t="inlineStr"/>
      <c r="B58" t="n">
        <v>8</v>
      </c>
      <c r="C58" t="n">
        <v>1</v>
      </c>
      <c r="D58" t="inlineStr">
        <is>
          <t>Rte</t>
        </is>
      </c>
      <c r="E58" t="n">
        <v>8</v>
      </c>
      <c r="F58" s="50" t="n">
        <v>440</v>
      </c>
      <c r="G58" t="n">
        <v>331</v>
      </c>
      <c r="H58" s="50" t="n">
        <v>240</v>
      </c>
      <c r="I58" t="n">
        <v>49</v>
      </c>
      <c r="J58" t="inlineStr">
        <is>
          <t>|</t>
        </is>
      </c>
      <c r="K58" s="50" t="n">
        <v>1059</v>
      </c>
    </row>
    <row r="59">
      <c r="A59" t="inlineStr"/>
      <c r="B59" t="n">
        <v>9</v>
      </c>
      <c r="C59" t="n">
        <v>1</v>
      </c>
      <c r="D59" t="inlineStr">
        <is>
          <t>Rte</t>
        </is>
      </c>
      <c r="E59" t="n">
        <v>9</v>
      </c>
      <c r="F59" t="n">
        <v>97</v>
      </c>
      <c r="G59" s="50" t="n">
        <v>163</v>
      </c>
      <c r="H59" t="n">
        <v>128</v>
      </c>
      <c r="I59" t="n">
        <v>0</v>
      </c>
      <c r="J59" t="inlineStr">
        <is>
          <t>|</t>
        </is>
      </c>
      <c r="K59" s="50" t="n">
        <v>389</v>
      </c>
    </row>
    <row r="60">
      <c r="A60" t="inlineStr"/>
      <c r="B60" t="n">
        <v>14</v>
      </c>
      <c r="C60" t="n">
        <v>1</v>
      </c>
      <c r="D60" t="inlineStr">
        <is>
          <t>Rte</t>
        </is>
      </c>
      <c r="E60" t="n">
        <v>14</v>
      </c>
      <c r="F60" t="n">
        <v>58</v>
      </c>
      <c r="G60" t="n">
        <v>38</v>
      </c>
      <c r="H60" t="n">
        <v>116</v>
      </c>
      <c r="I60" t="n">
        <v>30</v>
      </c>
      <c r="J60" t="inlineStr">
        <is>
          <t>|</t>
        </is>
      </c>
      <c r="K60" s="50" t="n">
        <v>242</v>
      </c>
    </row>
    <row r="61">
      <c r="A61" t="inlineStr"/>
      <c r="B61" t="n">
        <v>17</v>
      </c>
      <c r="C61" t="n">
        <v>1</v>
      </c>
      <c r="D61" t="inlineStr">
        <is>
          <t>Rte</t>
        </is>
      </c>
      <c r="E61" t="n">
        <v>17</v>
      </c>
      <c r="F61" t="n">
        <v>312</v>
      </c>
      <c r="G61" t="n">
        <v>640</v>
      </c>
      <c r="H61" t="n">
        <v>460</v>
      </c>
      <c r="I61" t="n">
        <v>92</v>
      </c>
      <c r="J61" t="inlineStr">
        <is>
          <t>|</t>
        </is>
      </c>
      <c r="K61" t="n">
        <v>1504</v>
      </c>
    </row>
    <row r="62">
      <c r="A62" t="inlineStr"/>
      <c r="B62" t="n">
        <v>18</v>
      </c>
      <c r="C62" t="n">
        <v>6</v>
      </c>
      <c r="D62" t="inlineStr">
        <is>
          <t>Rte</t>
        </is>
      </c>
      <c r="E62" t="n">
        <v>18</v>
      </c>
      <c r="F62" t="n">
        <v>120</v>
      </c>
      <c r="G62" t="n">
        <v>171</v>
      </c>
      <c r="H62" t="n">
        <v>32</v>
      </c>
      <c r="I62" t="n">
        <v>78</v>
      </c>
      <c r="J62" t="inlineStr">
        <is>
          <t>|</t>
        </is>
      </c>
      <c r="K62" s="50" t="n">
        <v>401</v>
      </c>
    </row>
    <row r="63">
      <c r="A63" t="inlineStr"/>
      <c r="B63" t="n">
        <v>19</v>
      </c>
      <c r="C63" t="n">
        <v>1</v>
      </c>
      <c r="D63" t="inlineStr">
        <is>
          <t>Rte</t>
        </is>
      </c>
      <c r="E63" t="n">
        <v>19</v>
      </c>
      <c r="F63" t="n">
        <v>266</v>
      </c>
      <c r="G63" t="n">
        <v>391</v>
      </c>
      <c r="H63" t="n">
        <v>583</v>
      </c>
      <c r="I63" t="n">
        <v>64</v>
      </c>
      <c r="J63" t="inlineStr">
        <is>
          <t>|</t>
        </is>
      </c>
      <c r="K63" s="50" t="n">
        <v>1303</v>
      </c>
    </row>
    <row r="64">
      <c r="A64" t="inlineStr"/>
      <c r="B64" t="n">
        <v>22</v>
      </c>
      <c r="C64" t="n">
        <v>1</v>
      </c>
      <c r="D64" t="inlineStr">
        <is>
          <t>Rte</t>
        </is>
      </c>
      <c r="E64" t="n">
        <v>22</v>
      </c>
      <c r="F64" t="n">
        <v>619</v>
      </c>
      <c r="G64" t="n">
        <v>1382</v>
      </c>
      <c r="H64" t="n">
        <v>1115</v>
      </c>
      <c r="I64" t="n">
        <v>308</v>
      </c>
      <c r="J64" t="inlineStr">
        <is>
          <t>|</t>
        </is>
      </c>
      <c r="K64" t="n">
        <v>3425</v>
      </c>
    </row>
    <row r="65">
      <c r="A65" t="inlineStr"/>
      <c r="B65" t="n">
        <v>23</v>
      </c>
      <c r="C65" t="n">
        <v>1</v>
      </c>
      <c r="D65" t="inlineStr">
        <is>
          <t>Rte</t>
        </is>
      </c>
      <c r="E65" t="n">
        <v>23</v>
      </c>
      <c r="F65" s="50" t="n">
        <v>346</v>
      </c>
      <c r="G65" s="50" t="n">
        <v>614</v>
      </c>
      <c r="H65" s="50" t="n">
        <v>408</v>
      </c>
      <c r="I65" t="n">
        <v>115</v>
      </c>
      <c r="J65" t="inlineStr">
        <is>
          <t>|</t>
        </is>
      </c>
      <c r="K65" s="50" t="n">
        <v>1483</v>
      </c>
    </row>
    <row r="66">
      <c r="A66" t="inlineStr"/>
      <c r="B66" t="n">
        <v>28</v>
      </c>
      <c r="C66" t="n">
        <v>1</v>
      </c>
      <c r="D66" t="inlineStr">
        <is>
          <t>Rte</t>
        </is>
      </c>
      <c r="E66" t="n">
        <v>28</v>
      </c>
      <c r="F66" t="n">
        <v>24</v>
      </c>
      <c r="G66" t="n">
        <v>1</v>
      </c>
      <c r="H66" t="n">
        <v>22</v>
      </c>
      <c r="I66" t="n">
        <v>1</v>
      </c>
      <c r="J66" t="inlineStr">
        <is>
          <t>|</t>
        </is>
      </c>
      <c r="K66" s="50" t="n">
        <v>48</v>
      </c>
    </row>
    <row r="67">
      <c r="A67" t="inlineStr"/>
      <c r="B67" t="n">
        <v>29</v>
      </c>
      <c r="C67" t="n">
        <v>1</v>
      </c>
      <c r="D67" t="inlineStr">
        <is>
          <t>Rte</t>
        </is>
      </c>
      <c r="E67" t="n">
        <v>29</v>
      </c>
      <c r="F67" t="n">
        <v>172</v>
      </c>
      <c r="G67" t="n">
        <v>322</v>
      </c>
      <c r="H67" t="n">
        <v>285</v>
      </c>
      <c r="I67" t="n">
        <v>25</v>
      </c>
      <c r="J67" t="inlineStr">
        <is>
          <t>|</t>
        </is>
      </c>
      <c r="K67" t="n">
        <v>804</v>
      </c>
    </row>
    <row r="68">
      <c r="A68" t="inlineStr"/>
      <c r="B68" t="n">
        <v>34</v>
      </c>
      <c r="C68" t="n">
        <v>1</v>
      </c>
      <c r="D68" t="inlineStr">
        <is>
          <t>Rte</t>
        </is>
      </c>
      <c r="E68" t="n">
        <v>34</v>
      </c>
      <c r="F68" t="n">
        <v>1</v>
      </c>
      <c r="G68" t="n">
        <v>5</v>
      </c>
      <c r="H68" t="n">
        <v>6</v>
      </c>
      <c r="I68" t="n">
        <v>24</v>
      </c>
      <c r="J68" t="inlineStr">
        <is>
          <t>|</t>
        </is>
      </c>
      <c r="K68" s="50" t="n">
        <v>36</v>
      </c>
    </row>
    <row r="69">
      <c r="A69" t="inlineStr"/>
      <c r="B69" t="n">
        <v>41</v>
      </c>
      <c r="C69" t="n">
        <v>1</v>
      </c>
      <c r="D69" t="inlineStr">
        <is>
          <t>Rte</t>
        </is>
      </c>
      <c r="E69" t="n">
        <v>41</v>
      </c>
      <c r="F69" t="n">
        <v>28</v>
      </c>
      <c r="G69" t="n">
        <v>4</v>
      </c>
      <c r="H69" t="n">
        <v>8</v>
      </c>
      <c r="I69" t="n">
        <v>0</v>
      </c>
      <c r="J69" t="inlineStr">
        <is>
          <t>|</t>
        </is>
      </c>
      <c r="K69" t="n">
        <v>41</v>
      </c>
    </row>
    <row r="70">
      <c r="A70" t="inlineStr"/>
      <c r="B70" t="n">
        <v>42</v>
      </c>
      <c r="C70" t="n">
        <v>1</v>
      </c>
      <c r="D70" t="inlineStr">
        <is>
          <t>Rte</t>
        </is>
      </c>
      <c r="E70" t="n">
        <v>42</v>
      </c>
      <c r="F70" t="n">
        <v>43</v>
      </c>
      <c r="G70" t="n">
        <v>43</v>
      </c>
      <c r="H70" t="n">
        <v>84</v>
      </c>
      <c r="I70" t="n">
        <v>55</v>
      </c>
      <c r="J70" t="inlineStr">
        <is>
          <t>|</t>
        </is>
      </c>
      <c r="K70" s="50" t="n">
        <v>225</v>
      </c>
    </row>
    <row r="71">
      <c r="A71" t="inlineStr"/>
      <c r="B71" t="n">
        <v>50</v>
      </c>
      <c r="C71" t="n">
        <v>1</v>
      </c>
      <c r="D71" t="inlineStr">
        <is>
          <t>Rte</t>
        </is>
      </c>
      <c r="E71" t="n">
        <v>50</v>
      </c>
      <c r="F71" t="n">
        <v>672</v>
      </c>
      <c r="G71" t="n">
        <v>864</v>
      </c>
      <c r="H71" t="n">
        <v>898</v>
      </c>
      <c r="I71" t="n">
        <v>204</v>
      </c>
      <c r="J71" t="inlineStr">
        <is>
          <t>|</t>
        </is>
      </c>
      <c r="K71" s="50" t="n">
        <v>2639</v>
      </c>
    </row>
    <row r="72">
      <c r="A72" t="inlineStr"/>
      <c r="B72" t="n">
        <v>52</v>
      </c>
      <c r="C72" t="n">
        <v>1</v>
      </c>
      <c r="D72" t="inlineStr">
        <is>
          <t>Rte</t>
        </is>
      </c>
      <c r="E72" t="n">
        <v>52</v>
      </c>
      <c r="F72" t="n">
        <v>1092</v>
      </c>
      <c r="G72" t="n">
        <v>1936</v>
      </c>
      <c r="H72" t="n">
        <v>1661</v>
      </c>
      <c r="I72" t="n">
        <v>413</v>
      </c>
      <c r="J72" t="inlineStr">
        <is>
          <t>|</t>
        </is>
      </c>
      <c r="K72" s="50" t="n">
        <v>5103</v>
      </c>
    </row>
    <row r="73">
      <c r="A73" t="inlineStr"/>
      <c r="B73" t="n">
        <v>55</v>
      </c>
      <c r="C73" t="n">
        <v>1</v>
      </c>
      <c r="D73" t="inlineStr">
        <is>
          <t>Rte</t>
        </is>
      </c>
      <c r="E73" t="n">
        <v>55</v>
      </c>
      <c r="F73" t="n">
        <v>1302</v>
      </c>
      <c r="G73" t="n">
        <v>1741</v>
      </c>
      <c r="H73" t="n">
        <v>1977</v>
      </c>
      <c r="I73" t="n">
        <v>287</v>
      </c>
      <c r="J73" t="inlineStr">
        <is>
          <t>|</t>
        </is>
      </c>
      <c r="K73" t="n">
        <v>5308</v>
      </c>
    </row>
    <row r="74">
      <c r="A74" t="inlineStr"/>
      <c r="B74" t="n">
        <v>56</v>
      </c>
      <c r="C74" t="n">
        <v>8</v>
      </c>
      <c r="D74" t="inlineStr">
        <is>
          <t>Rte</t>
        </is>
      </c>
      <c r="E74" t="n">
        <v>56</v>
      </c>
      <c r="F74" t="n">
        <v>916</v>
      </c>
      <c r="G74" t="n">
        <v>1383</v>
      </c>
      <c r="H74" t="n">
        <v>1277</v>
      </c>
      <c r="I74" t="n">
        <v>290</v>
      </c>
      <c r="J74" t="inlineStr">
        <is>
          <t>|</t>
        </is>
      </c>
      <c r="K74" s="50" t="n">
        <v>3864</v>
      </c>
    </row>
    <row r="75">
      <c r="A75" t="inlineStr"/>
      <c r="B75" t="n">
        <v>64</v>
      </c>
      <c r="C75" t="n">
        <v>11</v>
      </c>
      <c r="D75" t="inlineStr">
        <is>
          <t>Rte</t>
        </is>
      </c>
      <c r="E75" t="n">
        <v>64</v>
      </c>
      <c r="F75" t="n">
        <v>54</v>
      </c>
      <c r="G75" t="n">
        <v>0</v>
      </c>
      <c r="H75" t="n">
        <v>121</v>
      </c>
      <c r="I75" t="n">
        <v>0</v>
      </c>
      <c r="J75" t="inlineStr">
        <is>
          <t>|</t>
        </is>
      </c>
      <c r="K75" s="50" t="n">
        <v>174</v>
      </c>
    </row>
    <row r="76">
      <c r="A76" t="inlineStr"/>
      <c r="B76" t="n">
        <v>70</v>
      </c>
      <c r="C76" t="n">
        <v>1</v>
      </c>
      <c r="D76" t="inlineStr">
        <is>
          <t>Rte</t>
        </is>
      </c>
      <c r="E76" t="n">
        <v>70</v>
      </c>
      <c r="F76" t="n">
        <v>20</v>
      </c>
      <c r="G76" t="n">
        <v>16</v>
      </c>
      <c r="H76" t="n">
        <v>17</v>
      </c>
      <c r="I76" t="n">
        <v>0</v>
      </c>
      <c r="J76" t="inlineStr">
        <is>
          <t>|</t>
        </is>
      </c>
      <c r="K76" t="n">
        <v>52</v>
      </c>
    </row>
    <row r="77">
      <c r="A77" t="inlineStr"/>
      <c r="B77" t="n">
        <v>75</v>
      </c>
      <c r="C77" t="n">
        <v>1</v>
      </c>
      <c r="D77" t="inlineStr">
        <is>
          <t>Rte</t>
        </is>
      </c>
      <c r="E77" t="n">
        <v>75</v>
      </c>
      <c r="F77" t="n">
        <v>37</v>
      </c>
      <c r="G77" t="n">
        <v>82</v>
      </c>
      <c r="H77" t="n">
        <v>12</v>
      </c>
      <c r="I77" t="n">
        <v>0</v>
      </c>
      <c r="J77" t="inlineStr">
        <is>
          <t>|</t>
        </is>
      </c>
      <c r="K77" t="n">
        <v>132</v>
      </c>
    </row>
    <row r="78">
      <c r="A78" t="inlineStr"/>
      <c r="B78" t="n">
        <v>76</v>
      </c>
      <c r="C78" t="n">
        <v>1</v>
      </c>
      <c r="D78" t="inlineStr">
        <is>
          <t>Rte</t>
        </is>
      </c>
      <c r="E78" t="n">
        <v>76</v>
      </c>
      <c r="F78" t="n">
        <v>23</v>
      </c>
      <c r="G78" t="n">
        <v>32</v>
      </c>
      <c r="H78" t="n">
        <v>30</v>
      </c>
      <c r="I78" t="n">
        <v>5</v>
      </c>
      <c r="J78" t="inlineStr">
        <is>
          <t>|</t>
        </is>
      </c>
      <c r="K78" t="n">
        <v>90</v>
      </c>
    </row>
    <row r="79">
      <c r="A79" t="inlineStr"/>
      <c r="B79" t="n">
        <v>77</v>
      </c>
      <c r="C79" t="n">
        <v>1</v>
      </c>
      <c r="D79" t="inlineStr">
        <is>
          <t>Rte</t>
        </is>
      </c>
      <c r="E79" t="n">
        <v>77</v>
      </c>
      <c r="F79" t="n">
        <v>120</v>
      </c>
      <c r="G79" t="n">
        <v>167</v>
      </c>
      <c r="H79" t="n">
        <v>327</v>
      </c>
      <c r="I79" t="n">
        <v>277</v>
      </c>
      <c r="J79" t="inlineStr">
        <is>
          <t>|</t>
        </is>
      </c>
      <c r="K79" t="n">
        <v>892</v>
      </c>
    </row>
    <row r="80">
      <c r="A80" t="inlineStr"/>
      <c r="B80" t="n">
        <v>79</v>
      </c>
      <c r="C80" t="n">
        <v>1</v>
      </c>
      <c r="D80" t="inlineStr">
        <is>
          <t>Rte</t>
        </is>
      </c>
      <c r="E80" t="n">
        <v>79</v>
      </c>
      <c r="F80" t="n">
        <v>18</v>
      </c>
      <c r="G80" t="n">
        <v>21</v>
      </c>
      <c r="H80" t="n">
        <v>23</v>
      </c>
      <c r="I80" t="n">
        <v>1</v>
      </c>
      <c r="J80" t="inlineStr">
        <is>
          <t>|</t>
        </is>
      </c>
      <c r="K80" t="n">
        <v>63</v>
      </c>
    </row>
    <row r="81">
      <c r="A81" t="inlineStr"/>
      <c r="B81" t="n">
        <v>84</v>
      </c>
      <c r="C81" t="n">
        <v>6</v>
      </c>
      <c r="D81" t="inlineStr">
        <is>
          <t>Rte</t>
        </is>
      </c>
      <c r="E81" t="n">
        <v>84</v>
      </c>
      <c r="F81" t="n">
        <v>10</v>
      </c>
      <c r="G81" t="n">
        <v>30</v>
      </c>
      <c r="H81" t="n">
        <v>18</v>
      </c>
      <c r="I81" t="n">
        <v>0</v>
      </c>
      <c r="J81" t="inlineStr">
        <is>
          <t>|</t>
        </is>
      </c>
      <c r="K81" t="n">
        <v>58</v>
      </c>
    </row>
    <row r="82">
      <c r="A82" t="inlineStr"/>
      <c r="B82" t="n">
        <v>86</v>
      </c>
      <c r="C82" t="n">
        <v>6</v>
      </c>
      <c r="D82" t="inlineStr">
        <is>
          <t>Rte</t>
        </is>
      </c>
      <c r="E82" t="n">
        <v>86</v>
      </c>
      <c r="F82" t="n">
        <v>2</v>
      </c>
      <c r="G82" t="n">
        <v>1</v>
      </c>
      <c r="H82" t="n">
        <v>1</v>
      </c>
      <c r="I82" t="n">
        <v>0</v>
      </c>
      <c r="J82" t="inlineStr">
        <is>
          <t>|</t>
        </is>
      </c>
      <c r="K82" t="n">
        <v>4</v>
      </c>
    </row>
    <row r="83">
      <c r="A83" t="inlineStr"/>
      <c r="B83" t="n">
        <v>87</v>
      </c>
      <c r="C83" t="n">
        <v>7</v>
      </c>
      <c r="D83" t="inlineStr">
        <is>
          <t>Rte</t>
        </is>
      </c>
      <c r="E83" t="n">
        <v>87</v>
      </c>
      <c r="F83" t="n">
        <v>1</v>
      </c>
      <c r="G83" t="n">
        <v>0</v>
      </c>
      <c r="H83" t="n">
        <v>2</v>
      </c>
      <c r="I83" t="n">
        <v>0</v>
      </c>
      <c r="J83" t="inlineStr">
        <is>
          <t>|</t>
        </is>
      </c>
      <c r="K83" t="n">
        <v>3</v>
      </c>
    </row>
    <row r="84">
      <c r="A84" t="inlineStr"/>
      <c r="B84" t="n">
        <v>89</v>
      </c>
      <c r="C84" t="n">
        <v>6</v>
      </c>
      <c r="D84" t="inlineStr">
        <is>
          <t>Rte</t>
        </is>
      </c>
      <c r="E84" t="n">
        <v>89</v>
      </c>
      <c r="F84" t="n">
        <v>1</v>
      </c>
      <c r="G84" t="n">
        <v>0</v>
      </c>
      <c r="H84" t="n">
        <v>0</v>
      </c>
      <c r="I84" t="n">
        <v>0</v>
      </c>
      <c r="J84" t="inlineStr">
        <is>
          <t>|</t>
        </is>
      </c>
      <c r="K84" t="n">
        <v>1</v>
      </c>
    </row>
    <row r="85">
      <c r="A85" t="inlineStr"/>
      <c r="B85" t="n">
        <v>90</v>
      </c>
      <c r="C85" t="n">
        <v>12</v>
      </c>
      <c r="D85" t="inlineStr">
        <is>
          <t>Rte</t>
        </is>
      </c>
      <c r="E85" t="n">
        <v>90</v>
      </c>
      <c r="F85" t="n">
        <v>78</v>
      </c>
      <c r="G85" t="n">
        <v>0</v>
      </c>
      <c r="H85" t="n">
        <v>51</v>
      </c>
      <c r="I85" t="n">
        <v>0</v>
      </c>
      <c r="J85" t="inlineStr">
        <is>
          <t>|</t>
        </is>
      </c>
      <c r="K85" t="n">
        <v>130</v>
      </c>
    </row>
    <row r="86">
      <c r="A86" t="inlineStr"/>
      <c r="B86" t="n">
        <v>93</v>
      </c>
      <c r="C86" t="n">
        <v>11</v>
      </c>
      <c r="D86" t="inlineStr">
        <is>
          <t>Rte</t>
        </is>
      </c>
      <c r="E86" t="n">
        <v>93</v>
      </c>
      <c r="F86" t="n">
        <v>494</v>
      </c>
      <c r="G86" t="n">
        <v>0</v>
      </c>
      <c r="H86" t="n">
        <v>1584</v>
      </c>
      <c r="I86" t="n">
        <v>0</v>
      </c>
      <c r="J86" t="inlineStr">
        <is>
          <t>|</t>
        </is>
      </c>
      <c r="K86" t="n">
        <v>2079</v>
      </c>
    </row>
    <row r="87">
      <c r="A87" t="inlineStr"/>
      <c r="B87" t="n">
        <v>199</v>
      </c>
      <c r="C87" t="n">
        <v>9</v>
      </c>
      <c r="D87" t="inlineStr">
        <is>
          <t>Rte</t>
        </is>
      </c>
      <c r="E87" t="n">
        <v>199</v>
      </c>
      <c r="F87" s="50" t="n">
        <v>61</v>
      </c>
      <c r="G87" s="50" t="n">
        <v>0</v>
      </c>
      <c r="H87" s="50" t="n">
        <v>61</v>
      </c>
      <c r="I87" t="n">
        <v>0</v>
      </c>
      <c r="J87" t="inlineStr">
        <is>
          <t>|</t>
        </is>
      </c>
      <c r="K87" s="50" t="n">
        <v>123</v>
      </c>
    </row>
    <row r="88">
      <c r="A88" t="inlineStr">
        <is>
          <t xml:space="preserve">|
</t>
        </is>
      </c>
      <c r="B88" t="n">
        <v>43</v>
      </c>
      <c r="C88" t="n">
        <v>1</v>
      </c>
      <c r="D88" t="inlineStr">
        <is>
          <t>Rte</t>
        </is>
      </c>
      <c r="E88" t="n">
        <v>43</v>
      </c>
      <c r="F88" t="inlineStr">
        <is>
          <t>00,015</t>
        </is>
      </c>
      <c r="G88" t="inlineStr">
        <is>
          <t>0,012</t>
        </is>
      </c>
      <c r="H88" t="inlineStr">
        <is>
          <t>0,040</t>
        </is>
      </c>
      <c r="I88" t="inlineStr">
        <is>
          <t>0,009</t>
        </is>
      </c>
      <c r="J88" t="inlineStr">
        <is>
          <t>|</t>
        </is>
      </c>
      <c r="K88" s="50" t="inlineStr">
        <is>
          <t>00,076</t>
        </is>
      </c>
    </row>
    <row r="89">
      <c r="A89" t="inlineStr"/>
      <c r="B89" t="inlineStr">
        <is>
          <t>TOTAL</t>
        </is>
      </c>
      <c r="C89" t="n">
        <v>10619</v>
      </c>
      <c r="D89" t="n">
        <v>18113</v>
      </c>
      <c r="E89" t="n">
        <v>16125</v>
      </c>
      <c r="F89" t="n">
        <v>3922</v>
      </c>
      <c r="G89" t="inlineStr">
        <is>
          <t>|</t>
        </is>
      </c>
      <c r="H89" s="50" t="n">
        <v>48790</v>
      </c>
      <c r="I89" t="inlineStr">
        <is>
          <t>0,334</t>
        </is>
      </c>
      <c r="J89" t="inlineStr">
        <is>
          <t>|</t>
        </is>
      </c>
      <c r="K89" s="50" t="n">
        <v>2385</v>
      </c>
    </row>
    <row r="90">
      <c r="A90" t="inlineStr">
        <is>
          <t xml:space="preserve">
</t>
        </is>
      </c>
      <c r="B90" t="n">
        <v>56</v>
      </c>
      <c r="C90" t="n">
        <v>8</v>
      </c>
      <c r="D90" t="inlineStr">
        <is>
          <t>Rte</t>
        </is>
      </c>
      <c r="E90" t="n">
        <v>56</v>
      </c>
      <c r="F90" s="50" t="inlineStr">
        <is>
          <t>00,813</t>
        </is>
      </c>
      <c r="G90" t="inlineStr">
        <is>
          <t>0,675</t>
        </is>
      </c>
      <c r="H90" s="50" t="inlineStr">
        <is>
          <t>0,855</t>
        </is>
      </c>
      <c r="I90" t="inlineStr">
        <is>
          <t>0,248</t>
        </is>
      </c>
      <c r="J90" t="inlineStr">
        <is>
          <t>|</t>
        </is>
      </c>
      <c r="K90" s="50" t="n">
        <v>2591</v>
      </c>
    </row>
    <row r="91">
      <c r="A91" t="inlineStr">
        <is>
          <t xml:space="preserve">
</t>
        </is>
      </c>
      <c r="B91" t="n">
        <v>60</v>
      </c>
      <c r="C91" t="n">
        <v>1</v>
      </c>
      <c r="D91" t="inlineStr">
        <is>
          <t>Rte</t>
        </is>
      </c>
      <c r="E91" t="n">
        <v>60</v>
      </c>
      <c r="F91" t="inlineStr">
        <is>
          <t>00,136</t>
        </is>
      </c>
      <c r="G91" s="50" t="inlineStr">
        <is>
          <t>0,795</t>
        </is>
      </c>
      <c r="H91" t="inlineStr">
        <is>
          <t>0,526</t>
        </is>
      </c>
      <c r="I91" t="inlineStr">
        <is>
          <t>0,000</t>
        </is>
      </c>
      <c r="J91" t="inlineStr">
        <is>
          <t>|</t>
        </is>
      </c>
      <c r="K91" s="50" t="n">
        <v>1457</v>
      </c>
    </row>
    <row r="92">
      <c r="A92" t="inlineStr">
        <is>
          <t xml:space="preserve">
</t>
        </is>
      </c>
      <c r="B92" t="n">
        <v>61</v>
      </c>
      <c r="C92" t="n">
        <v>1</v>
      </c>
      <c r="D92" t="inlineStr">
        <is>
          <t>Rte</t>
        </is>
      </c>
      <c r="E92" t="n">
        <v>61</v>
      </c>
      <c r="F92" t="inlineStr">
        <is>
          <t>00,006</t>
        </is>
      </c>
      <c r="G92" t="inlineStr">
        <is>
          <t>0,221</t>
        </is>
      </c>
      <c r="H92" t="inlineStr">
        <is>
          <t>0,121</t>
        </is>
      </c>
      <c r="I92" t="inlineStr">
        <is>
          <t>0,097</t>
        </is>
      </c>
      <c r="J92" t="inlineStr">
        <is>
          <t>|</t>
        </is>
      </c>
      <c r="K92" t="inlineStr">
        <is>
          <t>00,445</t>
        </is>
      </c>
    </row>
    <row r="93">
      <c r="A93" t="inlineStr">
        <is>
          <t>TRANSIT</t>
        </is>
      </c>
      <c r="B93" t="inlineStr">
        <is>
          <t>BOARDINGS</t>
        </is>
      </c>
      <c r="C93" t="inlineStr">
        <is>
          <t>BY</t>
        </is>
      </c>
      <c r="D93" t="inlineStr">
        <is>
          <t>INDIVIDUAL</t>
        </is>
      </c>
      <c r="E93" t="inlineStr">
        <is>
          <t>ROUTES</t>
        </is>
      </c>
      <c r="F93" t="inlineStr">
        <is>
          <t>(DISAGGREGATE</t>
        </is>
      </c>
      <c r="G93" t="inlineStr">
        <is>
          <t xml:space="preserve">RESULTS)
</t>
        </is>
      </c>
      <c r="H93" t="inlineStr">
        <is>
          <t>0,004</t>
        </is>
      </c>
      <c r="I93" t="inlineStr">
        <is>
          <t>0,000</t>
        </is>
      </c>
      <c r="J93" t="inlineStr">
        <is>
          <t>|</t>
        </is>
      </c>
      <c r="K93" t="inlineStr">
        <is>
          <t>00,018</t>
        </is>
      </c>
    </row>
    <row r="94">
      <c r="A94" t="inlineStr">
        <is>
          <t xml:space="preserve">
</t>
        </is>
      </c>
      <c r="B94" t="n">
        <v>76</v>
      </c>
      <c r="C94" t="n">
        <v>1</v>
      </c>
      <c r="D94" t="inlineStr">
        <is>
          <t>Rte</t>
        </is>
      </c>
      <c r="E94" t="n">
        <v>76</v>
      </c>
      <c r="F94" t="inlineStr">
        <is>
          <t>00,012</t>
        </is>
      </c>
      <c r="G94" t="inlineStr">
        <is>
          <t>0,013</t>
        </is>
      </c>
      <c r="H94" t="inlineStr">
        <is>
          <t>0,018</t>
        </is>
      </c>
      <c r="I94" t="inlineStr">
        <is>
          <t>0,007</t>
        </is>
      </c>
      <c r="J94" t="inlineStr">
        <is>
          <t>|</t>
        </is>
      </c>
      <c r="K94" t="inlineStr">
        <is>
          <t>00,049</t>
        </is>
      </c>
    </row>
    <row r="95">
      <c r="A95" t="inlineStr"/>
      <c r="B95" t="inlineStr">
        <is>
          <t>RTE_ID</t>
        </is>
      </c>
      <c r="C95" t="inlineStr">
        <is>
          <t>RTE_NAME</t>
        </is>
      </c>
      <c r="D95" t="inlineStr">
        <is>
          <t>MODE</t>
        </is>
      </c>
      <c r="E95" t="inlineStr">
        <is>
          <t>HDAM</t>
        </is>
      </c>
      <c r="F95" t="inlineStr">
        <is>
          <t>HDMD</t>
        </is>
      </c>
      <c r="G95" t="inlineStr">
        <is>
          <t>HDPM</t>
        </is>
      </c>
      <c r="H95" t="inlineStr">
        <is>
          <t>HDOP</t>
        </is>
      </c>
      <c r="I95" t="inlineStr">
        <is>
          <t>RTE</t>
        </is>
      </c>
      <c r="J95" t="inlineStr">
        <is>
          <t>AM_MILES</t>
        </is>
      </c>
      <c r="K95" t="inlineStr">
        <is>
          <t>AM_TIME</t>
        </is>
      </c>
      <c r="L95" t="inlineStr">
        <is>
          <t>MD_MILES</t>
        </is>
      </c>
      <c r="M95" t="inlineStr">
        <is>
          <t>MD_TIME</t>
        </is>
      </c>
      <c r="N95" t="inlineStr">
        <is>
          <t>PM_MILES</t>
        </is>
      </c>
      <c r="O95" t="inlineStr">
        <is>
          <t>PM_TIME</t>
        </is>
      </c>
      <c r="P95" t="inlineStr">
        <is>
          <t>OP_MILES</t>
        </is>
      </c>
      <c r="Q95" t="inlineStr">
        <is>
          <t>OP_TIME</t>
        </is>
      </c>
      <c r="R95" t="inlineStr">
        <is>
          <t>TOT_ON</t>
        </is>
      </c>
      <c r="S95" t="inlineStr">
        <is>
          <t>1_WL</t>
        </is>
      </c>
      <c r="T95" t="inlineStr">
        <is>
          <t>1_WB</t>
        </is>
      </c>
      <c r="U95" t="inlineStr">
        <is>
          <t>1_WE</t>
        </is>
      </c>
      <c r="V95" t="inlineStr">
        <is>
          <t>1_WU</t>
        </is>
      </c>
      <c r="W95" t="inlineStr">
        <is>
          <t>1_WC</t>
        </is>
      </c>
      <c r="X95" t="inlineStr">
        <is>
          <t>1_PL</t>
        </is>
      </c>
      <c r="Y95" t="inlineStr">
        <is>
          <t>1_PB</t>
        </is>
      </c>
      <c r="Z95" t="inlineStr">
        <is>
          <t>1_PE</t>
        </is>
      </c>
      <c r="AA95" t="inlineStr">
        <is>
          <t>1_PU</t>
        </is>
      </c>
      <c r="AB95" t="inlineStr">
        <is>
          <t>1_PC</t>
        </is>
      </c>
      <c r="AC95" t="inlineStr">
        <is>
          <t>1_KL</t>
        </is>
      </c>
      <c r="AD95" t="inlineStr">
        <is>
          <t>1_KB</t>
        </is>
      </c>
      <c r="AE95" t="inlineStr">
        <is>
          <t>1_KE</t>
        </is>
      </c>
      <c r="AF95" t="inlineStr">
        <is>
          <t>1_KU</t>
        </is>
      </c>
      <c r="AG95" t="inlineStr">
        <is>
          <t>1_KC</t>
        </is>
      </c>
      <c r="AH95" t="inlineStr">
        <is>
          <t>2_WL</t>
        </is>
      </c>
      <c r="AI95" t="inlineStr">
        <is>
          <t>2_WB</t>
        </is>
      </c>
      <c r="AJ95" t="inlineStr">
        <is>
          <t>2_WE</t>
        </is>
      </c>
      <c r="AK95" t="inlineStr">
        <is>
          <t>2_WU</t>
        </is>
      </c>
      <c r="AL95" t="inlineStr">
        <is>
          <t>2_WC</t>
        </is>
      </c>
      <c r="AM95" t="inlineStr">
        <is>
          <t>2_PL</t>
        </is>
      </c>
      <c r="AN95" t="inlineStr">
        <is>
          <t>2_PB</t>
        </is>
      </c>
      <c r="AO95" t="inlineStr">
        <is>
          <t>2_PE</t>
        </is>
      </c>
      <c r="AP95" t="inlineStr">
        <is>
          <t>2_PU</t>
        </is>
      </c>
      <c r="AQ95" t="inlineStr">
        <is>
          <t>2_PC</t>
        </is>
      </c>
      <c r="AR95" t="inlineStr">
        <is>
          <t>2_KL</t>
        </is>
      </c>
      <c r="AS95" t="inlineStr">
        <is>
          <t>2_KB</t>
        </is>
      </c>
      <c r="AT95" t="inlineStr">
        <is>
          <t>2_KE</t>
        </is>
      </c>
      <c r="AU95" t="inlineStr">
        <is>
          <t>2_KU</t>
        </is>
      </c>
      <c r="AV95" t="inlineStr">
        <is>
          <t>2_KC</t>
        </is>
      </c>
      <c r="AW95" t="inlineStr">
        <is>
          <t>3_WL</t>
        </is>
      </c>
      <c r="AX95" t="inlineStr">
        <is>
          <t>3_WB</t>
        </is>
      </c>
      <c r="AY95" t="inlineStr">
        <is>
          <t>3_WE</t>
        </is>
      </c>
      <c r="AZ95" t="inlineStr">
        <is>
          <t>3_WU</t>
        </is>
      </c>
      <c r="BA95" t="inlineStr">
        <is>
          <t>3_WC</t>
        </is>
      </c>
      <c r="BB95" t="inlineStr">
        <is>
          <t>3_PL</t>
        </is>
      </c>
      <c r="BC95" t="inlineStr">
        <is>
          <t>3_PB</t>
        </is>
      </c>
      <c r="BD95" t="inlineStr">
        <is>
          <t>3_PE</t>
        </is>
      </c>
      <c r="BE95" t="inlineStr">
        <is>
          <t>3_PU</t>
        </is>
      </c>
      <c r="BF95" t="inlineStr">
        <is>
          <t>3_PC</t>
        </is>
      </c>
      <c r="BG95" t="inlineStr">
        <is>
          <t>3_KL</t>
        </is>
      </c>
      <c r="BH95" t="inlineStr">
        <is>
          <t>3_KB</t>
        </is>
      </c>
      <c r="BI95" t="inlineStr">
        <is>
          <t>3_KE</t>
        </is>
      </c>
      <c r="BJ95" t="inlineStr">
        <is>
          <t>3_KU</t>
        </is>
      </c>
      <c r="BK95" t="inlineStr">
        <is>
          <t>3_KC</t>
        </is>
      </c>
      <c r="BL95" t="inlineStr">
        <is>
          <t>4_WL</t>
        </is>
      </c>
      <c r="BM95" t="inlineStr">
        <is>
          <t>4_WB</t>
        </is>
      </c>
      <c r="BN95" t="inlineStr">
        <is>
          <t>4_WE</t>
        </is>
      </c>
      <c r="BO95" t="inlineStr">
        <is>
          <t>4_WU</t>
        </is>
      </c>
      <c r="BP95" t="inlineStr">
        <is>
          <t>4_WC</t>
        </is>
      </c>
      <c r="BQ95" t="inlineStr">
        <is>
          <t>4_PL</t>
        </is>
      </c>
      <c r="BR95" t="inlineStr">
        <is>
          <t>4_PB</t>
        </is>
      </c>
      <c r="BS95" t="inlineStr">
        <is>
          <t>4_PE</t>
        </is>
      </c>
      <c r="BT95" t="inlineStr">
        <is>
          <t>4_PU</t>
        </is>
      </c>
      <c r="BU95" t="inlineStr">
        <is>
          <t>4_PC</t>
        </is>
      </c>
      <c r="BV95" t="inlineStr">
        <is>
          <t>4_KL</t>
        </is>
      </c>
      <c r="BW95" t="inlineStr">
        <is>
          <t>4_KB</t>
        </is>
      </c>
      <c r="BX95" t="inlineStr">
        <is>
          <t>4_KE</t>
        </is>
      </c>
      <c r="BY95" t="inlineStr">
        <is>
          <t>4_KU</t>
        </is>
      </c>
      <c r="BZ95" t="inlineStr">
        <is>
          <t>4_KC</t>
        </is>
      </c>
      <c r="CA95" t="inlineStr">
        <is>
          <t>5_WL</t>
        </is>
      </c>
      <c r="CB95" t="inlineStr">
        <is>
          <t>5_WB</t>
        </is>
      </c>
      <c r="CC95" t="inlineStr">
        <is>
          <t>5_WE</t>
        </is>
      </c>
      <c r="CD95" t="inlineStr">
        <is>
          <t>5_WU</t>
        </is>
      </c>
      <c r="CE95" t="inlineStr">
        <is>
          <t>5_WC</t>
        </is>
      </c>
      <c r="CF95" t="inlineStr">
        <is>
          <t>5_PL</t>
        </is>
      </c>
      <c r="CG95" t="inlineStr">
        <is>
          <t>5_PB</t>
        </is>
      </c>
      <c r="CH95" t="inlineStr">
        <is>
          <t>5_PE</t>
        </is>
      </c>
      <c r="CI95" t="inlineStr">
        <is>
          <t>5_PU</t>
        </is>
      </c>
      <c r="CJ95" t="inlineStr">
        <is>
          <t>5_PC</t>
        </is>
      </c>
      <c r="CK95" t="inlineStr">
        <is>
          <t>5_KL</t>
        </is>
      </c>
      <c r="CL95" t="inlineStr">
        <is>
          <t>5_KB</t>
        </is>
      </c>
      <c r="CM95" t="inlineStr">
        <is>
          <t>5_KE</t>
        </is>
      </c>
      <c r="CN95" t="inlineStr">
        <is>
          <t>5_KU</t>
        </is>
      </c>
      <c r="CO95" t="inlineStr">
        <is>
          <t>5_KC</t>
        </is>
      </c>
      <c r="CP95" t="inlineStr">
        <is>
          <t>6_WL</t>
        </is>
      </c>
      <c r="CQ95" t="inlineStr">
        <is>
          <t>6_WB</t>
        </is>
      </c>
      <c r="CR95" t="inlineStr">
        <is>
          <t>6_WE</t>
        </is>
      </c>
      <c r="CS95" t="inlineStr">
        <is>
          <t>6_WU</t>
        </is>
      </c>
      <c r="CT95" t="inlineStr">
        <is>
          <t>6_WC</t>
        </is>
      </c>
      <c r="CU95" t="inlineStr">
        <is>
          <t>6_PL</t>
        </is>
      </c>
      <c r="CV95" t="inlineStr">
        <is>
          <t>6_PB</t>
        </is>
      </c>
      <c r="CW95" t="inlineStr">
        <is>
          <t>6_PE</t>
        </is>
      </c>
      <c r="CX95" t="inlineStr">
        <is>
          <t>6_PU</t>
        </is>
      </c>
      <c r="CY95" t="inlineStr">
        <is>
          <t>6_PC</t>
        </is>
      </c>
      <c r="CZ95" t="inlineStr">
        <is>
          <t>6_KL</t>
        </is>
      </c>
      <c r="DA95" t="inlineStr">
        <is>
          <t>6_KB</t>
        </is>
      </c>
      <c r="DB95" t="inlineStr">
        <is>
          <t>6_KE</t>
        </is>
      </c>
      <c r="DC95" t="inlineStr">
        <is>
          <t>6_KU</t>
        </is>
      </c>
      <c r="DD95" t="inlineStr">
        <is>
          <t>6_KC</t>
        </is>
      </c>
      <c r="DE95" t="inlineStr">
        <is>
          <t>7_WL</t>
        </is>
      </c>
      <c r="DF95" t="inlineStr">
        <is>
          <t>7_WB</t>
        </is>
      </c>
      <c r="DG95" t="inlineStr">
        <is>
          <t>7_WE</t>
        </is>
      </c>
      <c r="DH95" t="inlineStr">
        <is>
          <t>7_WU</t>
        </is>
      </c>
      <c r="DI95" t="inlineStr">
        <is>
          <t>7_WC</t>
        </is>
      </c>
      <c r="DJ95" t="inlineStr">
        <is>
          <t>7_PL</t>
        </is>
      </c>
      <c r="DK95" t="inlineStr">
        <is>
          <t>7_PB</t>
        </is>
      </c>
      <c r="DL95" t="inlineStr">
        <is>
          <t>7_PE</t>
        </is>
      </c>
      <c r="DM95" t="inlineStr">
        <is>
          <t>7_PU</t>
        </is>
      </c>
      <c r="DN95" t="inlineStr">
        <is>
          <t>7_PC</t>
        </is>
      </c>
      <c r="DO95" t="inlineStr">
        <is>
          <t>7_KL</t>
        </is>
      </c>
      <c r="DP95" t="inlineStr">
        <is>
          <t>7_KB</t>
        </is>
      </c>
      <c r="DQ95" t="inlineStr">
        <is>
          <t>7_KE</t>
        </is>
      </c>
      <c r="DR95" t="inlineStr">
        <is>
          <t>7_KU</t>
        </is>
      </c>
      <c r="DS95" t="inlineStr">
        <is>
          <t>7_KC</t>
        </is>
      </c>
      <c r="DT95" t="inlineStr">
        <is>
          <t>TOT_PH</t>
        </is>
      </c>
      <c r="DU95" t="inlineStr">
        <is>
          <t xml:space="preserve">TOT_PM
</t>
        </is>
      </c>
    </row>
    <row r="96">
      <c r="A96" t="inlineStr">
        <is>
          <t xml:space="preserve">
</t>
        </is>
      </c>
      <c r="B96" t="n">
        <v>84</v>
      </c>
      <c r="C96" t="n">
        <v>6</v>
      </c>
      <c r="D96" t="inlineStr">
        <is>
          <t>Rte</t>
        </is>
      </c>
      <c r="E96" t="n">
        <v>84</v>
      </c>
      <c r="F96" t="inlineStr">
        <is>
          <t>00,071</t>
        </is>
      </c>
      <c r="G96" t="inlineStr">
        <is>
          <t>0,061</t>
        </is>
      </c>
      <c r="H96" t="inlineStr">
        <is>
          <t>0,101</t>
        </is>
      </c>
      <c r="I96" t="inlineStr">
        <is>
          <t>0,025</t>
        </is>
      </c>
      <c r="J96" t="inlineStr">
        <is>
          <t>|</t>
        </is>
      </c>
      <c r="K96" t="inlineStr">
        <is>
          <t>00,258</t>
        </is>
      </c>
    </row>
    <row r="97">
      <c r="A97" t="inlineStr"/>
      <c r="B97" t="inlineStr">
        <is>
          <t>1Rte</t>
        </is>
      </c>
      <c r="C97" t="n">
        <v>52</v>
      </c>
      <c r="D97" t="inlineStr">
        <is>
          <t>NOLENSVILLE</t>
        </is>
      </c>
      <c r="E97" t="inlineStr">
        <is>
          <t>PIKE</t>
        </is>
      </c>
      <c r="F97" t="inlineStr">
        <is>
          <t>(</t>
        </is>
      </c>
      <c r="G97" t="n">
        <v>1</v>
      </c>
      <c r="H97" t="n">
        <v>10</v>
      </c>
      <c r="I97" t="n">
        <v>15</v>
      </c>
      <c r="J97" t="n">
        <v>10</v>
      </c>
      <c r="K97" t="n">
        <v>30</v>
      </c>
      <c r="L97" t="n">
        <v>52</v>
      </c>
      <c r="M97" t="n">
        <v>9.292847</v>
      </c>
      <c r="N97" t="n">
        <v>40.383042</v>
      </c>
      <c r="O97" t="n">
        <v>9.292847</v>
      </c>
      <c r="P97" t="n">
        <v>41.208236</v>
      </c>
      <c r="Q97" t="n">
        <v>9.292847</v>
      </c>
      <c r="R97" t="n">
        <v>61.000541</v>
      </c>
      <c r="S97" t="n">
        <v>9.292847</v>
      </c>
      <c r="T97" t="n">
        <v>35.262954</v>
      </c>
      <c r="U97" t="inlineStr">
        <is>
          <t>1222186.211.780.333</t>
        </is>
      </c>
      <c r="V97" t="inlineStr">
        <is>
          <t>037.047.500</t>
        </is>
      </c>
      <c r="W97" t="n">
        <v>0</v>
      </c>
      <c r="X97" t="n">
        <v>0</v>
      </c>
      <c r="Y97" t="n">
        <v>0.5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0444.24.142</t>
        </is>
      </c>
      <c r="AE97" t="n">
        <v>0</v>
      </c>
      <c r="AF97" t="n">
        <v>0</v>
      </c>
      <c r="AG97" t="n">
        <v>15.5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0254.33.513</t>
        </is>
      </c>
      <c r="AQ97" t="n">
        <v>0</v>
      </c>
      <c r="AR97" t="inlineStr">
        <is>
          <t>0112.221.66</t>
        </is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117.2</v>
      </c>
      <c r="BB97" t="n">
        <v>0</v>
      </c>
      <c r="BC97" t="n">
        <v>0</v>
      </c>
      <c r="BD97" t="n">
        <v>0</v>
      </c>
      <c r="BE97" t="n">
        <v>0</v>
      </c>
      <c r="BF97" t="n">
        <v>5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269</v>
      </c>
      <c r="BQ97" t="n">
        <v>3053</v>
      </c>
    </row>
    <row r="98">
      <c r="A98" t="inlineStr"/>
      <c r="B98" t="inlineStr">
        <is>
          <t>2Rte</t>
        </is>
      </c>
      <c r="C98" t="n">
        <v>17</v>
      </c>
      <c r="D98" t="inlineStr">
        <is>
          <t>12TH</t>
        </is>
      </c>
      <c r="E98" t="inlineStr">
        <is>
          <t>AVENUE</t>
        </is>
      </c>
      <c r="F98" t="inlineStr">
        <is>
          <t>SOUTH</t>
        </is>
      </c>
      <c r="G98" t="n">
        <v>1</v>
      </c>
      <c r="H98" t="n">
        <v>20</v>
      </c>
      <c r="I98" t="n">
        <v>26</v>
      </c>
      <c r="J98" t="n">
        <v>27</v>
      </c>
      <c r="K98" t="n">
        <v>110</v>
      </c>
      <c r="L98" t="n">
        <v>17</v>
      </c>
      <c r="M98" t="n">
        <v>6.224015</v>
      </c>
      <c r="N98" t="n">
        <v>34.153029</v>
      </c>
      <c r="O98" t="n">
        <v>6.224015</v>
      </c>
      <c r="P98" t="n">
        <v>27.476051</v>
      </c>
      <c r="Q98" t="n">
        <v>6.224015</v>
      </c>
      <c r="R98" t="n">
        <v>28.944317</v>
      </c>
      <c r="S98" t="n">
        <v>6.224015</v>
      </c>
      <c r="T98" t="n">
        <v>23.754801</v>
      </c>
      <c r="U98" t="inlineStr">
        <is>
          <t>726152.31.272</t>
        </is>
      </c>
      <c r="V98" t="n">
        <v>0</v>
      </c>
      <c r="W98" t="n">
        <v>12.92</v>
      </c>
      <c r="X98" t="n">
        <v>0</v>
      </c>
      <c r="Y98" t="n">
        <v>0</v>
      </c>
      <c r="Z98" t="n">
        <v>0</v>
      </c>
      <c r="AA98" t="n">
        <v>0.277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0358.87.671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0139.33.434</t>
        </is>
      </c>
      <c r="AT98" t="n">
        <v>0</v>
      </c>
      <c r="AU98" t="n">
        <v>0</v>
      </c>
      <c r="AV98" t="n">
        <v>24.157</v>
      </c>
      <c r="AW98" t="n">
        <v>0</v>
      </c>
      <c r="AX98" t="n">
        <v>0</v>
      </c>
      <c r="AY98" t="n">
        <v>1.289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420.5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148</v>
      </c>
      <c r="BT98" t="n">
        <v>1867</v>
      </c>
    </row>
    <row r="99">
      <c r="A99" t="inlineStr"/>
      <c r="B99" t="inlineStr">
        <is>
          <t>3Rte</t>
        </is>
      </c>
      <c r="C99" t="n">
        <v>18</v>
      </c>
      <c r="D99" t="inlineStr">
        <is>
          <t>Airport</t>
        </is>
      </c>
      <c r="E99" t="inlineStr">
        <is>
          <t>Exp</t>
        </is>
      </c>
      <c r="F99" t="inlineStr">
        <is>
          <t>OB</t>
        </is>
      </c>
      <c r="G99" t="n">
        <v>6</v>
      </c>
      <c r="H99" t="n">
        <v>60</v>
      </c>
      <c r="I99" t="n">
        <v>120</v>
      </c>
      <c r="J99" t="n">
        <v>18</v>
      </c>
      <c r="K99" s="50" t="n">
        <v>0</v>
      </c>
      <c r="L99" t="n">
        <v>0</v>
      </c>
      <c r="M99" t="n">
        <v>0</v>
      </c>
      <c r="N99" t="n">
        <v>0</v>
      </c>
      <c r="O99" t="n">
        <v>7.637199</v>
      </c>
      <c r="P99" t="n">
        <v>25.93061</v>
      </c>
      <c r="Q99" t="n">
        <v>7.637199</v>
      </c>
      <c r="R99" t="n">
        <v>12.653013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7</v>
      </c>
    </row>
    <row r="100">
      <c r="A100" t="inlineStr"/>
      <c r="B100" t="inlineStr">
        <is>
          <t>4Rte</t>
        </is>
      </c>
      <c r="C100" t="n">
        <v>22</v>
      </c>
      <c r="D100" t="inlineStr">
        <is>
          <t>Bordeaux</t>
        </is>
      </c>
      <c r="E100" t="inlineStr">
        <is>
          <t>(Panaroma</t>
        </is>
      </c>
      <c r="F100" t="n">
        <v>1</v>
      </c>
      <c r="G100" t="n">
        <v>15</v>
      </c>
      <c r="H100" t="n">
        <v>15</v>
      </c>
      <c r="I100" t="n">
        <v>15</v>
      </c>
      <c r="J100" t="n">
        <v>35</v>
      </c>
      <c r="K100" t="n">
        <v>22</v>
      </c>
      <c r="L100" t="n">
        <v>5.29575</v>
      </c>
      <c r="M100" t="n">
        <v>25.922054</v>
      </c>
      <c r="N100" t="n">
        <v>5.29575</v>
      </c>
      <c r="O100" t="n">
        <v>22.480019</v>
      </c>
      <c r="P100" t="n">
        <v>5.29575</v>
      </c>
      <c r="Q100" t="n">
        <v>22.129218</v>
      </c>
      <c r="R100" t="n">
        <v>5.29575</v>
      </c>
      <c r="S100" t="n">
        <v>19.957576</v>
      </c>
      <c r="T100" t="inlineStr">
        <is>
          <t>772185.80.363</t>
        </is>
      </c>
      <c r="U100" t="n">
        <v>0</v>
      </c>
      <c r="V100" t="n">
        <v>0</v>
      </c>
      <c r="W100" t="n">
        <v>0</v>
      </c>
      <c r="X100" t="n">
        <v>7</v>
      </c>
      <c r="Y100" t="n">
        <v>0</v>
      </c>
      <c r="Z100" t="n">
        <v>0</v>
      </c>
      <c r="AA100" t="n">
        <v>0</v>
      </c>
      <c r="AB100" t="n">
        <v>12</v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0299.41.164</t>
        </is>
      </c>
      <c r="AH100" t="n">
        <v>0</v>
      </c>
      <c r="AI100" t="n">
        <v>0</v>
      </c>
      <c r="AJ100" t="n">
        <v>0</v>
      </c>
      <c r="AK100" t="n">
        <v>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inlineStr">
        <is>
          <t>0195.51.841</t>
        </is>
      </c>
      <c r="AU100" t="n">
        <v>0</v>
      </c>
      <c r="AV100" t="n">
        <v>0</v>
      </c>
      <c r="AW100" t="n">
        <v>11.87</v>
      </c>
      <c r="AX100" t="n">
        <v>0</v>
      </c>
      <c r="AY100" t="n">
        <v>0</v>
      </c>
      <c r="AZ100" t="n">
        <v>11.73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040.430.509</t>
        </is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127</v>
      </c>
      <c r="BT100" t="n">
        <v>1605</v>
      </c>
    </row>
    <row r="101">
      <c r="A101" t="inlineStr"/>
      <c r="B101" t="inlineStr">
        <is>
          <t>5Rte</t>
        </is>
      </c>
      <c r="C101" s="50" t="n">
        <v>52</v>
      </c>
      <c r="D101" s="50" t="inlineStr">
        <is>
          <t>NOLENSVILLE</t>
        </is>
      </c>
      <c r="E101" s="50" t="inlineStr">
        <is>
          <t>PIKE</t>
        </is>
      </c>
      <c r="F101" s="50" t="inlineStr">
        <is>
          <t>(</t>
        </is>
      </c>
      <c r="G101" t="n">
        <v>1</v>
      </c>
      <c r="H101" s="50" t="n">
        <v>10</v>
      </c>
      <c r="I101" t="n">
        <v>15</v>
      </c>
      <c r="J101" t="n">
        <v>10</v>
      </c>
      <c r="K101" t="n">
        <v>30</v>
      </c>
      <c r="L101" t="n">
        <v>52</v>
      </c>
      <c r="M101" t="n">
        <v>9.515181999999999</v>
      </c>
      <c r="N101" t="n">
        <v>65.196639</v>
      </c>
      <c r="O101" t="n">
        <v>9.515181999999999</v>
      </c>
      <c r="P101" t="n">
        <v>42.378848</v>
      </c>
      <c r="Q101" t="n">
        <v>9.515181999999999</v>
      </c>
      <c r="R101" t="n">
        <v>44.357954</v>
      </c>
      <c r="S101" t="n">
        <v>9.515181999999999</v>
      </c>
      <c r="T101" t="n">
        <v>33.103646</v>
      </c>
      <c r="U101" t="inlineStr">
        <is>
          <t>1286200.60.500</t>
        </is>
      </c>
      <c r="V101" t="n">
        <v>0</v>
      </c>
      <c r="W101" t="inlineStr">
        <is>
          <t>019.7517.13</t>
        </is>
      </c>
      <c r="X101" t="n">
        <v>0</v>
      </c>
      <c r="Y101" t="n">
        <v>0</v>
      </c>
      <c r="Z101" t="n">
        <v>48.54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0484.01.357</t>
        </is>
      </c>
      <c r="AF101" t="n">
        <v>0</v>
      </c>
      <c r="AG101" t="n">
        <v>0</v>
      </c>
      <c r="AH101" t="n">
        <v>4.09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379</v>
      </c>
      <c r="AR101" t="n">
        <v>50.5</v>
      </c>
      <c r="AS101" t="inlineStr">
        <is>
          <t>036.757.423</t>
        </is>
      </c>
      <c r="AT101" t="n">
        <v>0</v>
      </c>
      <c r="AU101" t="n">
        <v>0</v>
      </c>
      <c r="AV101" t="n">
        <v>1.388</v>
      </c>
      <c r="AW101" t="n">
        <v>0</v>
      </c>
      <c r="AX101" t="n">
        <v>0</v>
      </c>
      <c r="AY101" t="n">
        <v>0</v>
      </c>
      <c r="AZ101" t="n">
        <v>0</v>
      </c>
      <c r="BA101" t="n">
        <v>79.52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267</v>
      </c>
      <c r="BQ101" t="n">
        <v>2746</v>
      </c>
    </row>
    <row r="102">
      <c r="A102" t="inlineStr"/>
      <c r="B102" t="inlineStr">
        <is>
          <t>7Rte</t>
        </is>
      </c>
      <c r="C102" t="n">
        <v>112</v>
      </c>
      <c r="D102" t="inlineStr">
        <is>
          <t>FTA</t>
        </is>
      </c>
      <c r="E102" t="inlineStr">
        <is>
          <t>Red</t>
        </is>
      </c>
      <c r="F102" t="inlineStr">
        <is>
          <t>Route</t>
        </is>
      </c>
      <c r="G102" t="inlineStr">
        <is>
          <t>SN</t>
        </is>
      </c>
      <c r="H102" t="n">
        <v>3</v>
      </c>
      <c r="I102" t="n">
        <v>30</v>
      </c>
      <c r="J102" t="n">
        <v>30</v>
      </c>
      <c r="K102" t="n">
        <v>48</v>
      </c>
      <c r="L102" t="n">
        <v>112</v>
      </c>
      <c r="M102" t="n">
        <v>7.980679</v>
      </c>
      <c r="N102" t="n">
        <v>32.376326</v>
      </c>
      <c r="O102" t="n">
        <v>7.980679</v>
      </c>
      <c r="P102" t="n">
        <v>26.923077</v>
      </c>
      <c r="Q102" t="n">
        <v>7.980679</v>
      </c>
      <c r="R102" t="n">
        <v>27.949681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/>
      <c r="B103" t="inlineStr">
        <is>
          <t>8Rte</t>
        </is>
      </c>
      <c r="C103" t="n">
        <v>107</v>
      </c>
      <c r="D103" t="inlineStr">
        <is>
          <t>Rover</t>
        </is>
      </c>
      <c r="E103" t="inlineStr">
        <is>
          <t>Gateway</t>
        </is>
      </c>
      <c r="F103" t="n">
        <v>2</v>
      </c>
      <c r="G103" t="n">
        <v>36</v>
      </c>
      <c r="H103" t="n">
        <v>45</v>
      </c>
      <c r="I103" t="n">
        <v>80</v>
      </c>
      <c r="J103" t="n">
        <v>107</v>
      </c>
      <c r="K103" t="n">
        <v>7.423462</v>
      </c>
      <c r="L103" t="n">
        <v>31.058336</v>
      </c>
      <c r="M103" t="n">
        <v>7.423462</v>
      </c>
      <c r="N103" t="n">
        <v>30.36366</v>
      </c>
      <c r="O103" t="n">
        <v>7.423462</v>
      </c>
      <c r="P103" t="n">
        <v>33.847827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inlineStr"/>
      <c r="B104" t="inlineStr">
        <is>
          <t>9Rte</t>
        </is>
      </c>
      <c r="C104" s="50" t="n">
        <v>105</v>
      </c>
      <c r="D104" s="50" t="inlineStr">
        <is>
          <t>Rover</t>
        </is>
      </c>
      <c r="E104" s="50" t="inlineStr">
        <is>
          <t>HighLand</t>
        </is>
      </c>
      <c r="F104" s="50" t="n">
        <v>2</v>
      </c>
      <c r="G104" t="n">
        <v>36</v>
      </c>
      <c r="H104" s="50" t="n">
        <v>45</v>
      </c>
      <c r="I104" t="n">
        <v>80</v>
      </c>
      <c r="J104" t="n">
        <v>105</v>
      </c>
      <c r="K104" t="n">
        <v>7.7243</v>
      </c>
      <c r="L104" t="n">
        <v>33.193924</v>
      </c>
      <c r="M104" t="n">
        <v>7.7243</v>
      </c>
      <c r="N104" t="n">
        <v>31.672089</v>
      </c>
      <c r="O104" t="n">
        <v>7.7243</v>
      </c>
      <c r="P104" t="n">
        <v>33.840122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inlineStr"/>
      <c r="B105" t="inlineStr">
        <is>
          <t>10Rte</t>
        </is>
      </c>
      <c r="C105" s="50" t="n">
        <v>106</v>
      </c>
      <c r="D105" s="50" t="inlineStr">
        <is>
          <t>Rover</t>
        </is>
      </c>
      <c r="E105" s="50" t="inlineStr">
        <is>
          <t>Medical</t>
        </is>
      </c>
      <c r="F105" s="50" t="inlineStr">
        <is>
          <t>Cen</t>
        </is>
      </c>
      <c r="G105" t="n">
        <v>2</v>
      </c>
      <c r="H105" s="50" t="n">
        <v>36</v>
      </c>
      <c r="I105" t="n">
        <v>45</v>
      </c>
      <c r="J105" t="n">
        <v>80</v>
      </c>
      <c r="K105" t="n">
        <v>106</v>
      </c>
      <c r="L105" t="n">
        <v>9.848086</v>
      </c>
      <c r="M105" t="n">
        <v>46.430967</v>
      </c>
      <c r="N105" t="n">
        <v>9.848086</v>
      </c>
      <c r="O105" t="n">
        <v>43.92954</v>
      </c>
      <c r="P105" t="n">
        <v>9.848086</v>
      </c>
      <c r="Q105" t="n">
        <v>51.438152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inlineStr"/>
      <c r="B106" t="inlineStr">
        <is>
          <t>11Rte</t>
        </is>
      </c>
      <c r="C106" s="50" t="n">
        <v>104</v>
      </c>
      <c r="D106" s="50" t="inlineStr">
        <is>
          <t>Rover</t>
        </is>
      </c>
      <c r="E106" s="50" t="inlineStr">
        <is>
          <t>Mercury</t>
        </is>
      </c>
      <c r="F106" s="50" t="n">
        <v>2</v>
      </c>
      <c r="G106" t="n">
        <v>36</v>
      </c>
      <c r="H106" s="50" t="n">
        <v>45</v>
      </c>
      <c r="I106" t="n">
        <v>80</v>
      </c>
      <c r="J106" t="n">
        <v>104</v>
      </c>
      <c r="K106" t="n">
        <v>8.653679</v>
      </c>
      <c r="L106" t="n">
        <v>34.38825</v>
      </c>
      <c r="M106" t="n">
        <v>8.653679</v>
      </c>
      <c r="N106" t="n">
        <v>33.438602</v>
      </c>
      <c r="O106" t="n">
        <v>8.653679</v>
      </c>
      <c r="P106" t="n">
        <v>35.126687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inlineStr"/>
      <c r="B107" t="inlineStr">
        <is>
          <t>12Rte</t>
        </is>
      </c>
      <c r="C107" t="n">
        <v>108</v>
      </c>
      <c r="D107" t="inlineStr">
        <is>
          <t>Rover</t>
        </is>
      </c>
      <c r="E107" t="inlineStr">
        <is>
          <t>Old</t>
        </is>
      </c>
      <c r="F107" t="inlineStr">
        <is>
          <t>Fort</t>
        </is>
      </c>
      <c r="G107" t="n">
        <v>2</v>
      </c>
      <c r="H107" t="n">
        <v>36</v>
      </c>
      <c r="I107" t="n">
        <v>45</v>
      </c>
      <c r="J107" t="n">
        <v>80</v>
      </c>
      <c r="K107" t="n">
        <v>108</v>
      </c>
      <c r="L107" t="n">
        <v>5.375258</v>
      </c>
      <c r="M107" t="n">
        <v>21.67284</v>
      </c>
      <c r="N107" t="n">
        <v>5.375258</v>
      </c>
      <c r="O107" t="n">
        <v>21.00259</v>
      </c>
      <c r="P107" t="n">
        <v>5.375258</v>
      </c>
      <c r="Q107" t="n">
        <v>23.747594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inlineStr"/>
      <c r="B108" t="inlineStr">
        <is>
          <t>13Rte</t>
        </is>
      </c>
      <c r="C108" t="n">
        <v>102</v>
      </c>
      <c r="D108" t="inlineStr">
        <is>
          <t>Rover</t>
        </is>
      </c>
      <c r="E108" t="inlineStr">
        <is>
          <t>South</t>
        </is>
      </c>
      <c r="F108" t="inlineStr">
        <is>
          <t>Churc</t>
        </is>
      </c>
      <c r="G108" t="n">
        <v>2</v>
      </c>
      <c r="H108" t="n">
        <v>36</v>
      </c>
      <c r="I108" t="n">
        <v>45</v>
      </c>
      <c r="J108" t="n">
        <v>80</v>
      </c>
      <c r="K108" t="n">
        <v>102</v>
      </c>
      <c r="L108" t="n">
        <v>7.235485</v>
      </c>
      <c r="M108" t="n">
        <v>33.166739</v>
      </c>
      <c r="N108" t="n">
        <v>7.235485</v>
      </c>
      <c r="O108" t="n">
        <v>30.691583</v>
      </c>
      <c r="P108" t="n">
        <v>7.235485</v>
      </c>
      <c r="Q108" t="n">
        <v>34.567914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inlineStr"/>
      <c r="B109" t="inlineStr">
        <is>
          <t>14Rte</t>
        </is>
      </c>
      <c r="C109" t="n">
        <v>23</v>
      </c>
      <c r="D109" t="inlineStr">
        <is>
          <t>Dickerson</t>
        </is>
      </c>
      <c r="E109" t="inlineStr">
        <is>
          <t>Pike</t>
        </is>
      </c>
      <c r="F109" t="inlineStr">
        <is>
          <t>OB</t>
        </is>
      </c>
      <c r="G109" t="n">
        <v>1</v>
      </c>
      <c r="H109" t="n">
        <v>12</v>
      </c>
      <c r="I109" t="n">
        <v>10</v>
      </c>
      <c r="J109" t="n">
        <v>15</v>
      </c>
      <c r="K109" t="n">
        <v>30</v>
      </c>
      <c r="L109" t="n">
        <v>23</v>
      </c>
      <c r="M109" t="n">
        <v>6.458566</v>
      </c>
      <c r="N109" t="n">
        <v>23.595782</v>
      </c>
      <c r="O109" t="n">
        <v>6.458566</v>
      </c>
      <c r="P109" t="n">
        <v>25.73045</v>
      </c>
      <c r="Q109" t="n">
        <v>6.458566</v>
      </c>
      <c r="R109" t="n">
        <v>32.987926</v>
      </c>
      <c r="S109" t="n">
        <v>6.458566</v>
      </c>
      <c r="T109" t="n">
        <v>23.136374</v>
      </c>
      <c r="U109" t="inlineStr">
        <is>
          <t>70189.074.750</t>
        </is>
      </c>
      <c r="V109" t="n">
        <v>0</v>
      </c>
      <c r="W109" t="inlineStr">
        <is>
          <t>01.0001.500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275.6</v>
      </c>
      <c r="AG109" t="n">
        <v>6</v>
      </c>
      <c r="AH109" t="n">
        <v>0</v>
      </c>
      <c r="AI109" t="n">
        <v>0</v>
      </c>
      <c r="AJ109" t="n">
        <v>0</v>
      </c>
      <c r="AK109" t="n">
        <v>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>
        <is>
          <t>0229.53.387</t>
        </is>
      </c>
      <c r="AU109" t="n">
        <v>0</v>
      </c>
      <c r="AV109" t="n">
        <v>9.387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78.95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156</v>
      </c>
      <c r="BV109" t="n">
        <v>2113</v>
      </c>
    </row>
    <row r="110">
      <c r="A110" t="inlineStr"/>
      <c r="B110" t="inlineStr">
        <is>
          <t>15Rte</t>
        </is>
      </c>
      <c r="C110" t="n">
        <v>23</v>
      </c>
      <c r="D110" t="inlineStr">
        <is>
          <t>Dickerson</t>
        </is>
      </c>
      <c r="E110" t="inlineStr">
        <is>
          <t>Pike</t>
        </is>
      </c>
      <c r="F110" t="inlineStr">
        <is>
          <t>IB</t>
        </is>
      </c>
      <c r="G110" t="n">
        <v>1</v>
      </c>
      <c r="H110" t="n">
        <v>12</v>
      </c>
      <c r="I110" t="n">
        <v>10</v>
      </c>
      <c r="J110" t="n">
        <v>15</v>
      </c>
      <c r="K110" t="n">
        <v>30</v>
      </c>
      <c r="L110" t="n">
        <v>23</v>
      </c>
      <c r="M110" t="n">
        <v>6.465608</v>
      </c>
      <c r="N110" t="n">
        <v>34.334089</v>
      </c>
      <c r="O110" t="n">
        <v>6.465608</v>
      </c>
      <c r="P110" t="n">
        <v>26.693955</v>
      </c>
      <c r="Q110" t="n">
        <v>6.465608</v>
      </c>
      <c r="R110" t="n">
        <v>25.406653</v>
      </c>
      <c r="S110" t="n">
        <v>6.465608</v>
      </c>
      <c r="T110" t="n">
        <v>22.523759</v>
      </c>
      <c r="U110" t="n">
        <v>664209.5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0289.12.600</t>
        </is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0126.72.666</t>
        </is>
      </c>
      <c r="AW110" t="n">
        <v>0</v>
      </c>
      <c r="AX110" t="n">
        <v>0</v>
      </c>
      <c r="AY110" t="n">
        <v>2.171</v>
      </c>
      <c r="AZ110" t="n">
        <v>0</v>
      </c>
      <c r="BA110" t="n">
        <v>0</v>
      </c>
      <c r="BB110" t="n">
        <v>0.592</v>
      </c>
      <c r="BC110" t="n">
        <v>0</v>
      </c>
      <c r="BD110" t="n">
        <v>0</v>
      </c>
      <c r="BE110" t="n">
        <v>0</v>
      </c>
      <c r="BF110" t="n">
        <v>0</v>
      </c>
      <c r="BG110" t="n">
        <v>28.81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152</v>
      </c>
      <c r="BW110" t="n">
        <v>1931</v>
      </c>
    </row>
    <row r="111">
      <c r="A111" t="inlineStr"/>
      <c r="B111" t="inlineStr">
        <is>
          <t>16Rte</t>
        </is>
      </c>
      <c r="C111" t="n">
        <v>52</v>
      </c>
      <c r="D111" t="inlineStr">
        <is>
          <t>NOLENSVILLE</t>
        </is>
      </c>
      <c r="E111" t="inlineStr">
        <is>
          <t>PIKE</t>
        </is>
      </c>
      <c r="F111" t="inlineStr">
        <is>
          <t>(</t>
        </is>
      </c>
      <c r="G111" t="n">
        <v>1</v>
      </c>
      <c r="H111" t="n">
        <v>10</v>
      </c>
      <c r="I111" t="n">
        <v>15</v>
      </c>
      <c r="J111" t="n">
        <v>10</v>
      </c>
      <c r="K111" t="n">
        <v>30</v>
      </c>
      <c r="L111" t="n">
        <v>52</v>
      </c>
      <c r="M111" t="n">
        <v>9.960908</v>
      </c>
      <c r="N111" t="n">
        <v>64.778852</v>
      </c>
      <c r="O111" t="n">
        <v>9.960908</v>
      </c>
      <c r="P111" t="n">
        <v>46.492968</v>
      </c>
      <c r="Q111" t="n">
        <v>9.960908</v>
      </c>
      <c r="R111" t="n">
        <v>49.970845</v>
      </c>
      <c r="S111" t="n">
        <v>9.960908</v>
      </c>
      <c r="T111" t="n">
        <v>37.438862</v>
      </c>
      <c r="U111" t="inlineStr">
        <is>
          <t>1354203.60.500</t>
        </is>
      </c>
      <c r="V111" t="n">
        <v>0</v>
      </c>
      <c r="W111" t="inlineStr">
        <is>
          <t>020.7517.13</t>
        </is>
      </c>
      <c r="X111" t="n">
        <v>0</v>
      </c>
      <c r="Y111" t="n">
        <v>0</v>
      </c>
      <c r="Z111" t="n">
        <v>48.54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0508.01.357</t>
        </is>
      </c>
      <c r="AF111" t="n">
        <v>0</v>
      </c>
      <c r="AG111" t="n">
        <v>0</v>
      </c>
      <c r="AH111" t="n">
        <v>4.09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401.5</v>
      </c>
      <c r="AR111" t="n">
        <v>50.5</v>
      </c>
      <c r="AS111" t="inlineStr">
        <is>
          <t>037.7518.42</t>
        </is>
      </c>
      <c r="AT111" t="n">
        <v>0</v>
      </c>
      <c r="AU111" t="n">
        <v>0</v>
      </c>
      <c r="AV111" t="n">
        <v>2.388</v>
      </c>
      <c r="AW111" t="n">
        <v>0</v>
      </c>
      <c r="AX111" t="n">
        <v>0</v>
      </c>
      <c r="AY111" t="n">
        <v>0</v>
      </c>
      <c r="AZ111" t="n">
        <v>0</v>
      </c>
      <c r="BA111" t="n">
        <v>84.52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313</v>
      </c>
      <c r="BQ111" t="n">
        <v>3311</v>
      </c>
      <c r="BR111" t="inlineStr">
        <is>
          <t>4_PB</t>
        </is>
      </c>
      <c r="BS111" t="inlineStr">
        <is>
          <t>4_PE</t>
        </is>
      </c>
      <c r="BT111" t="inlineStr">
        <is>
          <t>4_PU</t>
        </is>
      </c>
      <c r="BU111" t="inlineStr">
        <is>
          <t>4_PC</t>
        </is>
      </c>
      <c r="BV111" t="inlineStr">
        <is>
          <t>4_KL</t>
        </is>
      </c>
      <c r="BW111" t="inlineStr">
        <is>
          <t>4_KB</t>
        </is>
      </c>
      <c r="BX111" t="inlineStr">
        <is>
          <t>4_KE</t>
        </is>
      </c>
      <c r="BY111" t="inlineStr">
        <is>
          <t>4_KU</t>
        </is>
      </c>
      <c r="BZ111" t="inlineStr">
        <is>
          <t>4_KC</t>
        </is>
      </c>
      <c r="CA111" t="inlineStr">
        <is>
          <t>5_WL</t>
        </is>
      </c>
      <c r="CB111" t="inlineStr">
        <is>
          <t>5_WB</t>
        </is>
      </c>
      <c r="CC111" t="inlineStr">
        <is>
          <t>5_WE</t>
        </is>
      </c>
      <c r="CD111" t="inlineStr">
        <is>
          <t>5_WU</t>
        </is>
      </c>
      <c r="CE111" t="inlineStr">
        <is>
          <t>5_WC</t>
        </is>
      </c>
      <c r="CF111" t="inlineStr">
        <is>
          <t>5_PL</t>
        </is>
      </c>
      <c r="CG111" t="inlineStr">
        <is>
          <t>5_PB</t>
        </is>
      </c>
      <c r="CH111" t="inlineStr">
        <is>
          <t>5_PE</t>
        </is>
      </c>
      <c r="CI111" t="inlineStr">
        <is>
          <t>5_PU</t>
        </is>
      </c>
      <c r="CJ111" t="inlineStr">
        <is>
          <t>5_PC</t>
        </is>
      </c>
      <c r="CK111" t="inlineStr">
        <is>
          <t>5_KL</t>
        </is>
      </c>
      <c r="CL111" t="inlineStr">
        <is>
          <t>5_KB</t>
        </is>
      </c>
      <c r="CM111" t="inlineStr">
        <is>
          <t>5_KE</t>
        </is>
      </c>
      <c r="CN111" t="inlineStr">
        <is>
          <t>5_KU</t>
        </is>
      </c>
      <c r="CO111" t="inlineStr">
        <is>
          <t>5_KC</t>
        </is>
      </c>
      <c r="CP111" t="inlineStr">
        <is>
          <t>6_WL</t>
        </is>
      </c>
      <c r="CQ111" t="inlineStr">
        <is>
          <t>6_WB</t>
        </is>
      </c>
      <c r="CR111" t="inlineStr">
        <is>
          <t>6_WE</t>
        </is>
      </c>
      <c r="CS111" t="inlineStr">
        <is>
          <t>6_WU</t>
        </is>
      </c>
      <c r="CT111" t="inlineStr">
        <is>
          <t>6_WC</t>
        </is>
      </c>
      <c r="CU111" t="inlineStr">
        <is>
          <t>6_PL</t>
        </is>
      </c>
      <c r="CV111" t="inlineStr">
        <is>
          <t>6_PB</t>
        </is>
      </c>
      <c r="CW111" t="inlineStr">
        <is>
          <t>6_PE</t>
        </is>
      </c>
      <c r="CX111" t="inlineStr">
        <is>
          <t>6_PU</t>
        </is>
      </c>
      <c r="CY111" t="inlineStr">
        <is>
          <t>6_PC</t>
        </is>
      </c>
      <c r="CZ111" t="inlineStr">
        <is>
          <t>6_KL</t>
        </is>
      </c>
      <c r="DA111" t="inlineStr">
        <is>
          <t>6_KB</t>
        </is>
      </c>
      <c r="DB111" t="inlineStr">
        <is>
          <t>6_KE</t>
        </is>
      </c>
      <c r="DC111" t="inlineStr">
        <is>
          <t>6_KU</t>
        </is>
      </c>
      <c r="DD111" t="inlineStr">
        <is>
          <t>6_KC</t>
        </is>
      </c>
      <c r="DE111" t="inlineStr">
        <is>
          <t>7_WL</t>
        </is>
      </c>
      <c r="DF111" t="inlineStr">
        <is>
          <t>7_WB</t>
        </is>
      </c>
      <c r="DG111" t="inlineStr">
        <is>
          <t>7_WE</t>
        </is>
      </c>
      <c r="DH111" t="inlineStr">
        <is>
          <t>7_WU</t>
        </is>
      </c>
      <c r="DI111" t="inlineStr">
        <is>
          <t>7_WC</t>
        </is>
      </c>
      <c r="DJ111" t="inlineStr">
        <is>
          <t>7_PL</t>
        </is>
      </c>
      <c r="DK111" t="inlineStr">
        <is>
          <t>7_PB</t>
        </is>
      </c>
      <c r="DL111" t="inlineStr">
        <is>
          <t>7_PE</t>
        </is>
      </c>
      <c r="DM111" t="inlineStr">
        <is>
          <t>7_PU</t>
        </is>
      </c>
      <c r="DN111" t="inlineStr">
        <is>
          <t>7_PC</t>
        </is>
      </c>
      <c r="DO111" t="inlineStr">
        <is>
          <t>7_KL</t>
        </is>
      </c>
      <c r="DP111" t="inlineStr">
        <is>
          <t>7_KB</t>
        </is>
      </c>
      <c r="DQ111" t="inlineStr">
        <is>
          <t>7_KE</t>
        </is>
      </c>
      <c r="DR111" t="inlineStr">
        <is>
          <t>7_KU</t>
        </is>
      </c>
      <c r="DS111" t="inlineStr">
        <is>
          <t>7_KC</t>
        </is>
      </c>
      <c r="DT111" t="inlineStr">
        <is>
          <t>TOT_PH</t>
        </is>
      </c>
      <c r="DU111" t="inlineStr">
        <is>
          <t>TOT_PM</t>
        </is>
      </c>
    </row>
    <row r="112">
      <c r="A112" t="inlineStr"/>
      <c r="B112" t="inlineStr">
        <is>
          <t>17Rte</t>
        </is>
      </c>
      <c r="C112" t="n">
        <v>4</v>
      </c>
      <c r="D112" t="inlineStr">
        <is>
          <t>Shelby</t>
        </is>
      </c>
      <c r="E112" t="inlineStr">
        <is>
          <t>IB</t>
        </is>
      </c>
      <c r="F112" t="n">
        <v>1</v>
      </c>
      <c r="G112" t="n">
        <v>20</v>
      </c>
      <c r="H112" t="n">
        <v>20</v>
      </c>
      <c r="I112" t="n">
        <v>24</v>
      </c>
      <c r="J112" t="n">
        <v>51</v>
      </c>
      <c r="K112" t="n">
        <v>4</v>
      </c>
      <c r="L112" t="n">
        <v>8.487560999999999</v>
      </c>
      <c r="M112" t="n">
        <v>41.877621</v>
      </c>
      <c r="N112" t="n">
        <v>8.487560999999999</v>
      </c>
      <c r="O112" t="n">
        <v>36.43997</v>
      </c>
      <c r="P112" t="n">
        <v>8.487560999999999</v>
      </c>
      <c r="Q112" t="n">
        <v>36.007195</v>
      </c>
      <c r="R112" t="n">
        <v>8.487560999999999</v>
      </c>
      <c r="S112" t="n">
        <v>33.114257</v>
      </c>
      <c r="T112" t="n">
        <v>386105.7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0179.20.300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92.78</v>
      </c>
      <c r="AV112" t="n">
        <v>0</v>
      </c>
      <c r="AW112" t="n">
        <v>0</v>
      </c>
      <c r="AX112" t="n">
        <v>0</v>
      </c>
      <c r="AY112" t="n">
        <v>1.357</v>
      </c>
      <c r="AZ112" t="n">
        <v>0</v>
      </c>
      <c r="BA112" t="n">
        <v>0</v>
      </c>
      <c r="BB112" t="n">
        <v>0.37</v>
      </c>
      <c r="BC112" t="n">
        <v>0</v>
      </c>
      <c r="BD112" t="n">
        <v>0</v>
      </c>
      <c r="BE112" t="n">
        <v>0</v>
      </c>
      <c r="BF112" t="n">
        <v>0</v>
      </c>
      <c r="BG112" t="n">
        <v>6.566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69</v>
      </c>
      <c r="BW112" t="n">
        <v>800</v>
      </c>
    </row>
    <row r="113">
      <c r="A113" t="inlineStr"/>
      <c r="B113" t="inlineStr">
        <is>
          <t>18Rte</t>
        </is>
      </c>
      <c r="C113" t="n">
        <v>4</v>
      </c>
      <c r="D113" t="inlineStr">
        <is>
          <t>Shelby</t>
        </is>
      </c>
      <c r="E113" t="inlineStr">
        <is>
          <t>OB</t>
        </is>
      </c>
      <c r="F113" t="n">
        <v>1</v>
      </c>
      <c r="G113" t="n">
        <v>20</v>
      </c>
      <c r="H113" t="n">
        <v>20</v>
      </c>
      <c r="I113" t="n">
        <v>24</v>
      </c>
      <c r="J113" t="n">
        <v>51</v>
      </c>
      <c r="K113" t="n">
        <v>4</v>
      </c>
      <c r="L113" t="n">
        <v>7.531683</v>
      </c>
      <c r="M113" t="n">
        <v>30.257902</v>
      </c>
      <c r="N113" t="n">
        <v>7.531683</v>
      </c>
      <c r="O113" t="n">
        <v>31.348158</v>
      </c>
      <c r="P113" t="n">
        <v>7.531683</v>
      </c>
      <c r="Q113" t="n">
        <v>35.96834</v>
      </c>
      <c r="R113" t="n">
        <v>7.531683</v>
      </c>
      <c r="S113" t="n">
        <v>29.45622</v>
      </c>
      <c r="T113" t="n">
        <v>52795.56</v>
      </c>
      <c r="U113" t="n">
        <v>4</v>
      </c>
      <c r="V113" t="n">
        <v>1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204.5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164.9</v>
      </c>
      <c r="AV113" t="n">
        <v>3</v>
      </c>
      <c r="AW113" t="n">
        <v>0</v>
      </c>
      <c r="AX113" t="n">
        <v>6.806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45.47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108</v>
      </c>
      <c r="BX113" t="n">
        <v>1388</v>
      </c>
    </row>
    <row r="114">
      <c r="A114" t="inlineStr"/>
      <c r="B114" t="inlineStr">
        <is>
          <t>19Rte</t>
        </is>
      </c>
      <c r="C114" t="n">
        <v>52</v>
      </c>
      <c r="D114" t="inlineStr">
        <is>
          <t>NOLENSVILLE</t>
        </is>
      </c>
      <c r="E114" t="inlineStr">
        <is>
          <t>PIKE</t>
        </is>
      </c>
      <c r="F114" t="inlineStr">
        <is>
          <t>(</t>
        </is>
      </c>
      <c r="G114" t="n">
        <v>1</v>
      </c>
      <c r="H114" t="n">
        <v>10</v>
      </c>
      <c r="I114" t="n">
        <v>15</v>
      </c>
      <c r="J114" t="n">
        <v>10</v>
      </c>
      <c r="K114" t="n">
        <v>30</v>
      </c>
      <c r="L114" t="n">
        <v>52</v>
      </c>
      <c r="M114" t="n">
        <v>10.03621</v>
      </c>
      <c r="N114" t="n">
        <v>49.404501</v>
      </c>
      <c r="O114" t="n">
        <v>10.03621</v>
      </c>
      <c r="P114" t="n">
        <v>45.728853</v>
      </c>
      <c r="Q114" t="n">
        <v>10.03621</v>
      </c>
      <c r="R114" t="n">
        <v>62.942415</v>
      </c>
      <c r="S114" t="n">
        <v>10.03621</v>
      </c>
      <c r="T114" t="n">
        <v>38.626152</v>
      </c>
      <c r="U114" t="inlineStr">
        <is>
          <t>1241195.211.780.333</t>
        </is>
      </c>
      <c r="V114" t="inlineStr">
        <is>
          <t>043.0419.50</t>
        </is>
      </c>
      <c r="W114" t="n">
        <v>0</v>
      </c>
      <c r="X114" t="n">
        <v>0</v>
      </c>
      <c r="Y114" t="n">
        <v>1.5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0448.24.142</t>
        </is>
      </c>
      <c r="AE114" t="n">
        <v>0</v>
      </c>
      <c r="AF114" t="n">
        <v>0</v>
      </c>
      <c r="AG114" t="n">
        <v>16.5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0251.33.513</t>
        </is>
      </c>
      <c r="AQ114" t="n">
        <v>0</v>
      </c>
      <c r="AR114" t="n">
        <v>118.2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127.2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296</v>
      </c>
      <c r="BR114" t="n">
        <v>3431</v>
      </c>
    </row>
    <row r="115">
      <c r="A115" t="inlineStr"/>
      <c r="B115" t="inlineStr">
        <is>
          <t>20Rte</t>
        </is>
      </c>
      <c r="C115" t="n">
        <v>22</v>
      </c>
      <c r="D115" t="inlineStr">
        <is>
          <t>Bordeaux</t>
        </is>
      </c>
      <c r="E115" t="inlineStr">
        <is>
          <t>(Panaroma</t>
        </is>
      </c>
      <c r="F115" t="n">
        <v>1</v>
      </c>
      <c r="G115" t="n">
        <v>15</v>
      </c>
      <c r="H115" t="n">
        <v>15</v>
      </c>
      <c r="I115" t="n">
        <v>15</v>
      </c>
      <c r="J115" t="n">
        <v>35</v>
      </c>
      <c r="K115" t="n">
        <v>22</v>
      </c>
      <c r="L115" t="n">
        <v>5.362009</v>
      </c>
      <c r="M115" t="n">
        <v>20.122005</v>
      </c>
      <c r="N115" t="n">
        <v>5.362009</v>
      </c>
      <c r="O115" t="n">
        <v>21.07336</v>
      </c>
      <c r="P115" t="n">
        <v>5.362009</v>
      </c>
      <c r="Q115" t="n">
        <v>24.015048</v>
      </c>
      <c r="R115" t="n">
        <v>5.362009</v>
      </c>
      <c r="S115" t="n">
        <v>19.629354</v>
      </c>
      <c r="T115" t="inlineStr">
        <is>
          <t>90963.384.132</t>
        </is>
      </c>
      <c r="U115" t="n">
        <v>0</v>
      </c>
      <c r="V115" t="n">
        <v>31.43</v>
      </c>
      <c r="W115" t="n">
        <v>0</v>
      </c>
      <c r="X115" t="n">
        <v>0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0379.715.24</t>
        </is>
      </c>
      <c r="AF115" t="n">
        <v>0</v>
      </c>
      <c r="AG115" t="n">
        <v>0</v>
      </c>
      <c r="AH115" t="n">
        <v>0.52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0189.215.21</t>
        </is>
      </c>
      <c r="AR115" t="n">
        <v>0</v>
      </c>
      <c r="AS115" t="inlineStr">
        <is>
          <t>092.526.494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inlineStr">
        <is>
          <t>0106.13.397</t>
        </is>
      </c>
      <c r="BC115" t="n">
        <v>0</v>
      </c>
      <c r="BD115" t="n">
        <v>0</v>
      </c>
      <c r="BE115" t="n">
        <v>1.238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106</v>
      </c>
      <c r="BP115" t="n">
        <v>1527</v>
      </c>
      <c r="BQ115" t="n">
        <v>421</v>
      </c>
    </row>
    <row r="116">
      <c r="A116" t="inlineStr"/>
      <c r="B116" t="inlineStr">
        <is>
          <t>21Rte</t>
        </is>
      </c>
      <c r="C116" t="n">
        <v>28</v>
      </c>
      <c r="D116" t="inlineStr">
        <is>
          <t>Meridian</t>
        </is>
      </c>
      <c r="E116" t="inlineStr">
        <is>
          <t>IB</t>
        </is>
      </c>
      <c r="F116" t="n">
        <v>1</v>
      </c>
      <c r="G116" t="n">
        <v>36</v>
      </c>
      <c r="H116" t="n">
        <v>51</v>
      </c>
      <c r="I116" t="n">
        <v>34</v>
      </c>
      <c r="J116" t="n">
        <v>132</v>
      </c>
      <c r="K116" t="n">
        <v>28</v>
      </c>
      <c r="L116" t="n">
        <v>5.072392</v>
      </c>
      <c r="M116" t="n">
        <v>25.227997</v>
      </c>
      <c r="N116" t="n">
        <v>5.072392</v>
      </c>
      <c r="O116" t="n">
        <v>21.484695</v>
      </c>
      <c r="P116" t="n">
        <v>5.072392</v>
      </c>
      <c r="Q116" t="n">
        <v>21.143272</v>
      </c>
      <c r="R116" t="n">
        <v>5.072392</v>
      </c>
      <c r="S116" t="n">
        <v>20.075895</v>
      </c>
      <c r="T116" t="n">
        <v>44</v>
      </c>
      <c r="U116" t="n">
        <v>23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0.5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13</v>
      </c>
      <c r="CB116" t="n">
        <v>166</v>
      </c>
    </row>
    <row r="117">
      <c r="A117" t="inlineStr"/>
      <c r="B117" t="inlineStr">
        <is>
          <t>22Rte</t>
        </is>
      </c>
      <c r="C117" t="n">
        <v>75</v>
      </c>
      <c r="D117" t="inlineStr">
        <is>
          <t>Midtown</t>
        </is>
      </c>
      <c r="E117" t="inlineStr">
        <is>
          <t>CW</t>
        </is>
      </c>
      <c r="F117" t="inlineStr">
        <is>
          <t>Loop</t>
        </is>
      </c>
      <c r="G117" t="n">
        <v>1</v>
      </c>
      <c r="H117" t="n">
        <v>36</v>
      </c>
      <c r="I117" t="n">
        <v>45</v>
      </c>
      <c r="J117" t="n">
        <v>60</v>
      </c>
      <c r="K117" t="n">
        <v>75</v>
      </c>
      <c r="L117" t="n">
        <v>6.800749</v>
      </c>
      <c r="M117" t="n">
        <v>31.911984</v>
      </c>
      <c r="N117" t="n">
        <v>6.800749</v>
      </c>
      <c r="O117" t="n">
        <v>30.500305</v>
      </c>
      <c r="P117" t="n">
        <v>6.800749</v>
      </c>
      <c r="Q117" t="n">
        <v>34.653905</v>
      </c>
      <c r="R117" t="n">
        <v>0</v>
      </c>
      <c r="S117" t="n">
        <v>0</v>
      </c>
      <c r="T117" t="n">
        <v>9016.690000000001</v>
      </c>
      <c r="U117" t="n">
        <v>0</v>
      </c>
      <c r="V117" t="n">
        <v>0</v>
      </c>
      <c r="W117" t="n">
        <v>6.071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58.34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5.971</v>
      </c>
      <c r="AV117" t="n">
        <v>0</v>
      </c>
      <c r="AW117" t="n">
        <v>0</v>
      </c>
      <c r="AX117" t="n">
        <v>0</v>
      </c>
      <c r="AY117" t="n">
        <v>2.524</v>
      </c>
      <c r="AZ117" t="n">
        <v>0</v>
      </c>
      <c r="BA117" t="n">
        <v>0</v>
      </c>
      <c r="BB117" t="n">
        <v>0.457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12</v>
      </c>
      <c r="BX117" t="n">
        <v>149</v>
      </c>
    </row>
    <row r="118">
      <c r="A118" t="inlineStr"/>
      <c r="B118" t="inlineStr">
        <is>
          <t>23Rte</t>
        </is>
      </c>
      <c r="C118" t="n">
        <v>75</v>
      </c>
      <c r="D118" t="inlineStr">
        <is>
          <t>Midtown</t>
        </is>
      </c>
      <c r="E118" t="inlineStr">
        <is>
          <t>CCW</t>
        </is>
      </c>
      <c r="F118" t="inlineStr">
        <is>
          <t>Loop</t>
        </is>
      </c>
      <c r="G118" t="n">
        <v>1</v>
      </c>
      <c r="H118" t="n">
        <v>36</v>
      </c>
      <c r="I118" t="n">
        <v>45</v>
      </c>
      <c r="J118" t="n">
        <v>60</v>
      </c>
      <c r="K118" t="n">
        <v>75</v>
      </c>
      <c r="L118" t="n">
        <v>6.784261</v>
      </c>
      <c r="M118" t="n">
        <v>35.183883</v>
      </c>
      <c r="N118" t="n">
        <v>6.784261</v>
      </c>
      <c r="O118" t="n">
        <v>31.901716</v>
      </c>
      <c r="P118" t="n">
        <v>6.784261</v>
      </c>
      <c r="Q118" t="n">
        <v>34.588387</v>
      </c>
      <c r="R118" t="n">
        <v>0</v>
      </c>
      <c r="S118" t="n">
        <v>0</v>
      </c>
      <c r="T118" t="n">
        <v>4213.27</v>
      </c>
      <c r="U118" t="n">
        <v>0</v>
      </c>
      <c r="V118" t="n">
        <v>0</v>
      </c>
      <c r="W118" t="n">
        <v>1.169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24.07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2.677</v>
      </c>
      <c r="AV118" t="n">
        <v>0</v>
      </c>
      <c r="AW118" t="n">
        <v>0</v>
      </c>
      <c r="AX118" t="n">
        <v>0</v>
      </c>
      <c r="AY118" t="n">
        <v>0.666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8</v>
      </c>
      <c r="BY118" t="n">
        <v>92</v>
      </c>
    </row>
    <row r="119">
      <c r="A119" t="inlineStr"/>
      <c r="B119" t="inlineStr">
        <is>
          <t>24Rte</t>
        </is>
      </c>
      <c r="C119" t="n">
        <v>42</v>
      </c>
      <c r="D119" t="inlineStr">
        <is>
          <t>St.</t>
        </is>
      </c>
      <c r="E119" t="inlineStr">
        <is>
          <t>Cecilia/Cumber</t>
        </is>
      </c>
      <c r="F119" t="n">
        <v>1</v>
      </c>
      <c r="G119" t="n">
        <v>36</v>
      </c>
      <c r="H119" t="n">
        <v>60</v>
      </c>
      <c r="I119" t="n">
        <v>30</v>
      </c>
      <c r="J119" t="n">
        <v>132</v>
      </c>
      <c r="K119" t="n">
        <v>42</v>
      </c>
      <c r="L119" t="n">
        <v>4.89816</v>
      </c>
      <c r="M119" t="n">
        <v>20.939948</v>
      </c>
      <c r="N119" t="n">
        <v>4.89816</v>
      </c>
      <c r="O119" t="n">
        <v>19.755912</v>
      </c>
      <c r="P119" t="n">
        <v>4.89816</v>
      </c>
      <c r="Q119" t="n">
        <v>19.677455</v>
      </c>
      <c r="R119" t="n">
        <v>4.89816</v>
      </c>
      <c r="S119" t="n">
        <v>18.584055</v>
      </c>
      <c r="T119" t="n">
        <v>10623.59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022.270.160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>
        <is>
          <t>040.610.807</t>
        </is>
      </c>
      <c r="AV119" t="n">
        <v>0</v>
      </c>
      <c r="AW119" t="n">
        <v>0</v>
      </c>
      <c r="AX119" t="n">
        <v>0.142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>
        <is>
          <t>017.960.297</t>
        </is>
      </c>
      <c r="BH119" t="n">
        <v>0</v>
      </c>
      <c r="BI119" t="n">
        <v>0</v>
      </c>
      <c r="BJ119" t="n">
        <v>0.184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9</v>
      </c>
      <c r="BU119" t="n">
        <v>116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</row>
    <row r="120">
      <c r="A120" t="inlineStr"/>
      <c r="B120" t="inlineStr">
        <is>
          <t>25Rte</t>
        </is>
      </c>
      <c r="C120" t="n">
        <v>42</v>
      </c>
      <c r="D120" t="inlineStr">
        <is>
          <t>St.</t>
        </is>
      </c>
      <c r="E120" t="inlineStr">
        <is>
          <t>Cecilia/Cumber</t>
        </is>
      </c>
      <c r="F120" t="n">
        <v>1</v>
      </c>
      <c r="G120" t="n">
        <v>36</v>
      </c>
      <c r="H120" t="n">
        <v>60</v>
      </c>
      <c r="I120" t="n">
        <v>30</v>
      </c>
      <c r="J120" t="n">
        <v>132</v>
      </c>
      <c r="K120" t="n">
        <v>42</v>
      </c>
      <c r="L120" t="n">
        <v>4.504059</v>
      </c>
      <c r="M120" t="n">
        <v>18.111441</v>
      </c>
      <c r="N120" t="n">
        <v>4.504059</v>
      </c>
      <c r="O120" t="n">
        <v>18.552741</v>
      </c>
      <c r="P120" t="n">
        <v>4.504059</v>
      </c>
      <c r="Q120" t="n">
        <v>19.707593</v>
      </c>
      <c r="R120" t="n">
        <v>4.504059</v>
      </c>
      <c r="S120" t="n">
        <v>17.66572</v>
      </c>
      <c r="T120" t="inlineStr">
        <is>
          <t>11913.572.603</t>
        </is>
      </c>
      <c r="U120" t="n">
        <v>0</v>
      </c>
      <c r="V120" t="n">
        <v>3.464</v>
      </c>
      <c r="W120" t="n">
        <v>0</v>
      </c>
      <c r="X120" t="n">
        <v>0</v>
      </c>
      <c r="Y120" t="n">
        <v>0</v>
      </c>
      <c r="Z120" t="n">
        <v>0.042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016.933.118</t>
        </is>
      </c>
      <c r="AF120" t="n">
        <v>0</v>
      </c>
      <c r="AG120" t="n">
        <v>0</v>
      </c>
      <c r="AH120" t="n">
        <v>0.033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022.416.872</t>
        </is>
      </c>
      <c r="AR120" t="n">
        <v>0</v>
      </c>
      <c r="AS120" t="n">
        <v>12.86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035.331.238</t>
        </is>
      </c>
      <c r="BD120" t="n">
        <v>0</v>
      </c>
      <c r="BE120" t="n">
        <v>0</v>
      </c>
      <c r="BF120" t="n">
        <v>0.184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13</v>
      </c>
      <c r="BQ120" t="n">
        <v>190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inlineStr"/>
      <c r="B121" t="inlineStr">
        <is>
          <t>28Rte</t>
        </is>
      </c>
      <c r="C121" t="n">
        <v>14</v>
      </c>
      <c r="D121" t="inlineStr">
        <is>
          <t>WHITES</t>
        </is>
      </c>
      <c r="E121" t="inlineStr">
        <is>
          <t>CREEK</t>
        </is>
      </c>
      <c r="F121" t="inlineStr">
        <is>
          <t>oB</t>
        </is>
      </c>
      <c r="G121" t="n">
        <v>1</v>
      </c>
      <c r="H121" t="n">
        <v>36</v>
      </c>
      <c r="I121" t="n">
        <v>60</v>
      </c>
      <c r="J121" t="n">
        <v>34</v>
      </c>
      <c r="K121" t="n">
        <v>132</v>
      </c>
      <c r="L121" t="n">
        <v>14</v>
      </c>
      <c r="M121" t="n">
        <v>7.401511</v>
      </c>
      <c r="N121" t="n">
        <v>28.486201</v>
      </c>
      <c r="O121" t="n">
        <v>7.401511</v>
      </c>
      <c r="P121" t="n">
        <v>30.168308</v>
      </c>
      <c r="Q121" t="n">
        <v>7.401511</v>
      </c>
      <c r="R121" t="n">
        <v>35.371949</v>
      </c>
      <c r="S121" t="n">
        <v>7.401511</v>
      </c>
      <c r="T121" t="n">
        <v>28.161684</v>
      </c>
      <c r="U121" t="inlineStr">
        <is>
          <t>14421.760.250</t>
        </is>
      </c>
      <c r="V121" t="n">
        <v>0</v>
      </c>
      <c r="W121" t="n">
        <v>0</v>
      </c>
      <c r="X121" t="n">
        <v>0.5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22.79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>
        <is>
          <t>067.401.612</t>
        </is>
      </c>
      <c r="AV121" t="n">
        <v>0</v>
      </c>
      <c r="AW121" t="n">
        <v>2.778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25.79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36</v>
      </c>
      <c r="BW121" t="n">
        <v>469</v>
      </c>
    </row>
    <row r="122">
      <c r="A122" t="inlineStr"/>
      <c r="B122" t="inlineStr">
        <is>
          <t>29Rte</t>
        </is>
      </c>
      <c r="C122" t="n">
        <v>14</v>
      </c>
      <c r="D122" t="inlineStr">
        <is>
          <t>WHITES</t>
        </is>
      </c>
      <c r="E122" t="inlineStr">
        <is>
          <t>CREEK</t>
        </is>
      </c>
      <c r="F122" t="inlineStr">
        <is>
          <t>iB</t>
        </is>
      </c>
      <c r="G122" t="n">
        <v>1</v>
      </c>
      <c r="H122" t="n">
        <v>36</v>
      </c>
      <c r="I122" t="n">
        <v>60</v>
      </c>
      <c r="J122" t="n">
        <v>34</v>
      </c>
      <c r="K122" t="n">
        <v>132</v>
      </c>
      <c r="L122" t="n">
        <v>14</v>
      </c>
      <c r="M122" t="n">
        <v>6.881154</v>
      </c>
      <c r="N122" t="n">
        <v>34.344918</v>
      </c>
      <c r="O122" t="n">
        <v>6.881154</v>
      </c>
      <c r="P122" t="n">
        <v>28.200396</v>
      </c>
      <c r="Q122" t="n">
        <v>6.881154</v>
      </c>
      <c r="R122" t="n">
        <v>27.28438</v>
      </c>
      <c r="S122" t="n">
        <v>6.881154</v>
      </c>
      <c r="T122" t="n">
        <v>24.903388</v>
      </c>
      <c r="U122" t="n">
        <v>9835.33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>
        <is>
          <t>015.060.100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41.12</v>
      </c>
      <c r="AW122" t="n">
        <v>0</v>
      </c>
      <c r="AX122" t="n">
        <v>0</v>
      </c>
      <c r="AY122" t="n">
        <v>0</v>
      </c>
      <c r="AZ122" t="n">
        <v>1.957</v>
      </c>
      <c r="BA122" t="n">
        <v>0</v>
      </c>
      <c r="BB122" t="n">
        <v>0</v>
      </c>
      <c r="BC122" t="n">
        <v>0.261</v>
      </c>
      <c r="BD122" t="n">
        <v>0</v>
      </c>
      <c r="BE122" t="n">
        <v>0</v>
      </c>
      <c r="BF122" t="n">
        <v>0</v>
      </c>
      <c r="BG122" t="n">
        <v>0</v>
      </c>
      <c r="BH122" t="n">
        <v>4.409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24</v>
      </c>
      <c r="BX122" t="n">
        <v>281</v>
      </c>
    </row>
    <row r="123">
      <c r="A123" t="inlineStr"/>
      <c r="B123" t="inlineStr">
        <is>
          <t>30Rte</t>
        </is>
      </c>
      <c r="C123" t="n">
        <v>9</v>
      </c>
      <c r="D123" t="inlineStr">
        <is>
          <t>MetroCenter</t>
        </is>
      </c>
      <c r="E123" t="inlineStr">
        <is>
          <t>OB</t>
        </is>
      </c>
      <c r="F123" t="n">
        <v>1</v>
      </c>
      <c r="G123" t="n">
        <v>23</v>
      </c>
      <c r="H123" t="n">
        <v>26</v>
      </c>
      <c r="I123" t="n">
        <v>34</v>
      </c>
      <c r="J123" t="n">
        <v>9</v>
      </c>
      <c r="K123" t="n">
        <v>8.529693</v>
      </c>
      <c r="L123" t="n">
        <v>35.883304</v>
      </c>
      <c r="M123" t="n">
        <v>8.529693</v>
      </c>
      <c r="N123" t="n">
        <v>35.3689</v>
      </c>
      <c r="O123" t="n">
        <v>8.529693</v>
      </c>
      <c r="P123" t="n">
        <v>36.729613</v>
      </c>
      <c r="Q123" t="n">
        <v>0</v>
      </c>
      <c r="R123" t="n">
        <v>0</v>
      </c>
      <c r="S123" t="n">
        <v>27552.52</v>
      </c>
      <c r="T123" t="n">
        <v>0</v>
      </c>
      <c r="U123" t="n">
        <v>0</v>
      </c>
      <c r="V123" t="inlineStr">
        <is>
          <t>011.170.789</t>
        </is>
      </c>
      <c r="W123" t="n">
        <v>0</v>
      </c>
      <c r="X123" t="n">
        <v>0</v>
      </c>
      <c r="Y123" t="n">
        <v>0.027</v>
      </c>
      <c r="Z123" t="n">
        <v>0</v>
      </c>
      <c r="AA123" t="n">
        <v>0</v>
      </c>
      <c r="AB123" t="n">
        <v>0</v>
      </c>
      <c r="AC123" t="n">
        <v>0</v>
      </c>
      <c r="AD123" t="n">
        <v>113.2</v>
      </c>
      <c r="AE123" t="n">
        <v>2</v>
      </c>
      <c r="AF123" t="n">
        <v>0</v>
      </c>
      <c r="AG123" t="n">
        <v>0</v>
      </c>
      <c r="AH123" t="n">
        <v>0.223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063.061.521</t>
        </is>
      </c>
      <c r="AR123" t="n">
        <v>0</v>
      </c>
      <c r="AS123" t="inlineStr">
        <is>
          <t>029.580.500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61</v>
      </c>
      <c r="BS123" t="n">
        <v>863</v>
      </c>
      <c r="BT123" t="n">
        <v>1335</v>
      </c>
    </row>
    <row r="124">
      <c r="A124" t="inlineStr"/>
      <c r="B124" t="inlineStr">
        <is>
          <t>31Rte</t>
        </is>
      </c>
      <c r="C124" t="n">
        <v>64</v>
      </c>
      <c r="D124" t="inlineStr">
        <is>
          <t>STAR</t>
        </is>
      </c>
      <c r="E124" t="inlineStr">
        <is>
          <t>DOWNTOWN</t>
        </is>
      </c>
      <c r="F124" t="inlineStr">
        <is>
          <t>SHUT</t>
        </is>
      </c>
      <c r="G124" t="n">
        <v>11</v>
      </c>
      <c r="H124" t="n">
        <v>60</v>
      </c>
      <c r="I124" t="n">
        <v>80</v>
      </c>
      <c r="J124" t="n">
        <v>64</v>
      </c>
      <c r="K124" t="n">
        <v>2.477752</v>
      </c>
      <c r="L124" t="n">
        <v>10.176062</v>
      </c>
      <c r="M124" t="n">
        <v>0</v>
      </c>
      <c r="N124" t="n">
        <v>0</v>
      </c>
      <c r="O124" t="n">
        <v>2.477752</v>
      </c>
      <c r="P124" t="n">
        <v>10.844854</v>
      </c>
      <c r="Q124" t="n">
        <v>0</v>
      </c>
      <c r="R124" t="n">
        <v>0</v>
      </c>
      <c r="S124" t="n">
        <v>174</v>
      </c>
      <c r="T124" t="n">
        <v>0</v>
      </c>
      <c r="U124" t="n">
        <v>0</v>
      </c>
      <c r="V124" t="n">
        <v>0</v>
      </c>
      <c r="W124" t="n">
        <v>53.75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119</v>
      </c>
      <c r="BB124" t="n">
        <v>0</v>
      </c>
      <c r="BC124" t="n">
        <v>0</v>
      </c>
      <c r="BD124" t="n">
        <v>0</v>
      </c>
      <c r="BE124" t="n">
        <v>1.5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9</v>
      </c>
      <c r="CA124" t="n">
        <v>100</v>
      </c>
    </row>
    <row r="125">
      <c r="A125" t="inlineStr"/>
      <c r="B125" t="inlineStr">
        <is>
          <t>32Rte</t>
        </is>
      </c>
      <c r="C125" t="n">
        <v>8</v>
      </c>
      <c r="D125" t="inlineStr">
        <is>
          <t>8TH</t>
        </is>
      </c>
      <c r="E125" t="inlineStr">
        <is>
          <t>AVENUE</t>
        </is>
      </c>
      <c r="F125" t="inlineStr">
        <is>
          <t>SOUTH</t>
        </is>
      </c>
      <c r="G125" t="inlineStr">
        <is>
          <t>iB</t>
        </is>
      </c>
      <c r="H125" t="n">
        <v>1</v>
      </c>
      <c r="I125" t="n">
        <v>23</v>
      </c>
      <c r="J125" t="n">
        <v>26</v>
      </c>
      <c r="K125" t="n">
        <v>34</v>
      </c>
      <c r="L125" t="n">
        <v>110</v>
      </c>
      <c r="M125" t="n">
        <v>8</v>
      </c>
      <c r="N125" t="n">
        <v>5.772245</v>
      </c>
      <c r="O125" t="n">
        <v>31.027767</v>
      </c>
      <c r="P125" t="n">
        <v>5.772245</v>
      </c>
      <c r="Q125" t="n">
        <v>25.744298</v>
      </c>
      <c r="R125" t="n">
        <v>5.772245</v>
      </c>
      <c r="S125" t="n">
        <v>27.28238</v>
      </c>
      <c r="T125" t="n">
        <v>5.772245</v>
      </c>
      <c r="U125" t="n">
        <v>21.438053</v>
      </c>
      <c r="V125" t="n">
        <v>69870.25999999999</v>
      </c>
      <c r="W125" t="n">
        <v>1</v>
      </c>
      <c r="X125" t="n">
        <v>0</v>
      </c>
      <c r="Y125" t="inlineStr">
        <is>
          <t>024.95198.8</t>
        </is>
      </c>
      <c r="Z125" t="n">
        <v>0</v>
      </c>
      <c r="AA125" t="n">
        <v>0</v>
      </c>
      <c r="AB125" t="n">
        <v>76.03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0151.14.277</t>
        </is>
      </c>
      <c r="AH125" t="n">
        <v>0</v>
      </c>
      <c r="AI125" t="n">
        <v>0</v>
      </c>
      <c r="AJ125" t="n">
        <v>48.13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>
        <is>
          <t>040.441.180</t>
        </is>
      </c>
      <c r="AT125" t="n">
        <v>0</v>
      </c>
      <c r="AU125" t="inlineStr">
        <is>
          <t>055.577.461</t>
        </is>
      </c>
      <c r="AV125" t="n">
        <v>0</v>
      </c>
      <c r="AW125" t="n">
        <v>0</v>
      </c>
      <c r="AX125" t="n">
        <v>2.684</v>
      </c>
      <c r="AY125" t="n">
        <v>0</v>
      </c>
      <c r="AZ125" t="n">
        <v>0</v>
      </c>
      <c r="BA125" t="n">
        <v>0</v>
      </c>
      <c r="BB125" t="n">
        <v>0</v>
      </c>
      <c r="BC125" t="n">
        <v>15.75</v>
      </c>
      <c r="BD125" t="n">
        <v>0</v>
      </c>
      <c r="BE125" t="n">
        <v>0</v>
      </c>
      <c r="BF125" t="n">
        <v>0</v>
      </c>
      <c r="BG125" t="n">
        <v>0.583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120</v>
      </c>
      <c r="BR125" t="n">
        <v>1311</v>
      </c>
    </row>
    <row r="126">
      <c r="A126" t="inlineStr"/>
      <c r="B126" t="inlineStr">
        <is>
          <t>33Rte</t>
        </is>
      </c>
      <c r="C126" t="n">
        <v>8</v>
      </c>
      <c r="D126" t="inlineStr">
        <is>
          <t>8TH</t>
        </is>
      </c>
      <c r="E126" t="inlineStr">
        <is>
          <t>AVENUE</t>
        </is>
      </c>
      <c r="F126" t="inlineStr">
        <is>
          <t>SOUTH</t>
        </is>
      </c>
      <c r="G126" t="inlineStr">
        <is>
          <t>oB</t>
        </is>
      </c>
      <c r="H126" t="n">
        <v>1</v>
      </c>
      <c r="I126" t="n">
        <v>23</v>
      </c>
      <c r="J126" t="n">
        <v>26</v>
      </c>
      <c r="K126" t="n">
        <v>34</v>
      </c>
      <c r="L126" t="n">
        <v>110</v>
      </c>
      <c r="M126" t="n">
        <v>8</v>
      </c>
      <c r="N126" t="n">
        <v>5.489907</v>
      </c>
      <c r="O126" t="n">
        <v>24.453814</v>
      </c>
      <c r="P126" t="n">
        <v>5.489907</v>
      </c>
      <c r="Q126" t="n">
        <v>23.887596</v>
      </c>
      <c r="R126" t="n">
        <v>5.489907</v>
      </c>
      <c r="S126" t="n">
        <v>29.299477</v>
      </c>
      <c r="T126" t="n">
        <v>5.489907</v>
      </c>
      <c r="U126" t="n">
        <v>20.137816</v>
      </c>
      <c r="V126" t="inlineStr">
        <is>
          <t>36148.920.465</t>
        </is>
      </c>
      <c r="W126" t="n">
        <v>0</v>
      </c>
      <c r="X126" t="n">
        <v>7.197</v>
      </c>
      <c r="Y126" t="n">
        <v>12</v>
      </c>
      <c r="Z126" t="n">
        <v>0</v>
      </c>
      <c r="AA126" t="n">
        <v>0</v>
      </c>
      <c r="AB126" t="n">
        <v>0.314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0123.83.500</t>
        </is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inlineStr">
        <is>
          <t>043.710.719</t>
        </is>
      </c>
      <c r="AU126" t="n">
        <v>0</v>
      </c>
      <c r="AV126" t="inlineStr">
        <is>
          <t>025.6640.35</t>
        </is>
      </c>
      <c r="AW126" t="n">
        <v>0</v>
      </c>
      <c r="AX126" t="n">
        <v>0</v>
      </c>
      <c r="AY126" t="n">
        <v>21.92</v>
      </c>
      <c r="AZ126" t="n">
        <v>0</v>
      </c>
      <c r="BA126" t="n">
        <v>0</v>
      </c>
      <c r="BB126" t="n">
        <v>0</v>
      </c>
      <c r="BC126" t="n">
        <v>0</v>
      </c>
      <c r="BD126" t="inlineStr">
        <is>
          <t>022.250.500</t>
        </is>
      </c>
      <c r="BE126" t="n">
        <v>0</v>
      </c>
      <c r="BF126" t="n">
        <v>0</v>
      </c>
      <c r="BG126" t="n">
        <v>9.483000000000001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67</v>
      </c>
      <c r="BR126" t="n">
        <v>815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inlineStr"/>
      <c r="B127" t="inlineStr">
        <is>
          <t>34Rte</t>
        </is>
      </c>
      <c r="C127" t="n">
        <v>3</v>
      </c>
      <c r="D127" t="inlineStr">
        <is>
          <t>West</t>
        </is>
      </c>
      <c r="E127" t="inlineStr">
        <is>
          <t>End</t>
        </is>
      </c>
      <c r="F127" t="inlineStr">
        <is>
          <t>(White</t>
        </is>
      </c>
      <c r="G127" t="inlineStr">
        <is>
          <t>Bri</t>
        </is>
      </c>
      <c r="H127" t="n">
        <v>1</v>
      </c>
      <c r="I127" t="n">
        <v>15</v>
      </c>
      <c r="J127" t="n">
        <v>15</v>
      </c>
      <c r="K127" t="n">
        <v>15</v>
      </c>
      <c r="L127" t="n">
        <v>35</v>
      </c>
      <c r="M127" t="n">
        <v>3</v>
      </c>
      <c r="N127" t="n">
        <v>7.087023</v>
      </c>
      <c r="O127" t="n">
        <v>39.875004</v>
      </c>
      <c r="P127" t="n">
        <v>7.087023</v>
      </c>
      <c r="Q127" t="n">
        <v>33.506515</v>
      </c>
      <c r="R127" t="n">
        <v>7.087023</v>
      </c>
      <c r="S127" t="n">
        <v>35.918961</v>
      </c>
      <c r="T127" t="n">
        <v>7.087023</v>
      </c>
      <c r="U127" t="n">
        <v>27.383954</v>
      </c>
      <c r="V127" t="inlineStr">
        <is>
          <t>1597329.71.244</t>
        </is>
      </c>
      <c r="W127" t="n">
        <v>0</v>
      </c>
      <c r="X127" t="n">
        <v>4.844</v>
      </c>
      <c r="Y127" t="n">
        <v>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0592.84.444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0431.86.777</t>
        </is>
      </c>
      <c r="AV127" t="n">
        <v>0</v>
      </c>
      <c r="AW127" t="inlineStr">
        <is>
          <t>010.6064.71</t>
        </is>
      </c>
      <c r="AX127" t="n">
        <v>0</v>
      </c>
      <c r="AY127" t="n">
        <v>0</v>
      </c>
      <c r="AZ127" t="n">
        <v>28.97</v>
      </c>
      <c r="BA127" t="n">
        <v>0</v>
      </c>
      <c r="BB127" t="n">
        <v>0</v>
      </c>
      <c r="BC127" t="n">
        <v>0</v>
      </c>
      <c r="BD127" t="n">
        <v>0</v>
      </c>
      <c r="BE127" t="inlineStr">
        <is>
          <t>0102.00.500</t>
        </is>
      </c>
      <c r="BF127" t="n">
        <v>0</v>
      </c>
      <c r="BG127" t="n">
        <v>0</v>
      </c>
      <c r="BH127" t="n">
        <v>0</v>
      </c>
      <c r="BI127" t="n">
        <v>15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352</v>
      </c>
      <c r="BT127" t="n">
        <v>3905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inlineStr"/>
      <c r="B128" t="inlineStr">
        <is>
          <t>35Rte</t>
        </is>
      </c>
      <c r="C128" t="n">
        <v>3</v>
      </c>
      <c r="D128" t="inlineStr">
        <is>
          <t>West</t>
        </is>
      </c>
      <c r="E128" t="inlineStr">
        <is>
          <t>End</t>
        </is>
      </c>
      <c r="F128" t="inlineStr">
        <is>
          <t>(Bellevue)</t>
        </is>
      </c>
      <c r="G128" t="n">
        <v>1</v>
      </c>
      <c r="H128" t="n">
        <v>60</v>
      </c>
      <c r="I128" t="n">
        <v>60</v>
      </c>
      <c r="J128" t="n">
        <v>65</v>
      </c>
      <c r="K128" t="n">
        <v>3</v>
      </c>
      <c r="L128" t="n">
        <v>13.55785</v>
      </c>
      <c r="M128" t="n">
        <v>80.92779400000001</v>
      </c>
      <c r="N128" t="n">
        <v>13.55785</v>
      </c>
      <c r="O128" t="n">
        <v>61.144732</v>
      </c>
      <c r="P128" t="n">
        <v>13.55785</v>
      </c>
      <c r="Q128" t="n">
        <v>61.538644</v>
      </c>
      <c r="R128" t="n">
        <v>0</v>
      </c>
      <c r="S128" t="n">
        <v>0</v>
      </c>
      <c r="T128" t="inlineStr">
        <is>
          <t>34071.340.977</t>
        </is>
      </c>
      <c r="U128" t="n">
        <v>0</v>
      </c>
      <c r="V128" t="n">
        <v>1.044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0143.51.111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>
        <is>
          <t>095.291.444</t>
        </is>
      </c>
      <c r="AT128" t="n">
        <v>0</v>
      </c>
      <c r="AU128" t="inlineStr">
        <is>
          <t>02.34415.95</t>
        </is>
      </c>
      <c r="AV128" t="n">
        <v>0</v>
      </c>
      <c r="AW128" t="n">
        <v>0</v>
      </c>
      <c r="AX128" t="n">
        <v>7.244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86</v>
      </c>
      <c r="BT128" t="n">
        <v>922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inlineStr"/>
      <c r="B129" t="inlineStr">
        <is>
          <t>36Rte</t>
        </is>
      </c>
      <c r="C129" t="n">
        <v>93</v>
      </c>
      <c r="D129" t="inlineStr">
        <is>
          <t>MCS</t>
        </is>
      </c>
      <c r="E129" t="inlineStr">
        <is>
          <t>West</t>
        </is>
      </c>
      <c r="F129" t="inlineStr">
        <is>
          <t>End</t>
        </is>
      </c>
      <c r="G129" t="inlineStr">
        <is>
          <t>Shutt</t>
        </is>
      </c>
      <c r="H129" t="n">
        <v>11</v>
      </c>
      <c r="I129" t="n">
        <v>60</v>
      </c>
      <c r="J129" t="n">
        <v>60</v>
      </c>
      <c r="K129" t="n">
        <v>93</v>
      </c>
      <c r="L129" t="n">
        <v>5.950968</v>
      </c>
      <c r="M129" t="n">
        <v>31.608387</v>
      </c>
      <c r="N129" t="n">
        <v>0</v>
      </c>
      <c r="O129" t="n">
        <v>0</v>
      </c>
      <c r="P129" t="n">
        <v>5.950968</v>
      </c>
      <c r="Q129" t="n">
        <v>32.0887</v>
      </c>
      <c r="R129" t="n">
        <v>0</v>
      </c>
      <c r="S129" t="n">
        <v>0</v>
      </c>
      <c r="T129" t="n">
        <v>2079</v>
      </c>
      <c r="U129" t="n">
        <v>0</v>
      </c>
      <c r="V129" t="n">
        <v>0</v>
      </c>
      <c r="W129" t="n">
        <v>0</v>
      </c>
      <c r="X129" t="n">
        <v>494.2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1582</v>
      </c>
      <c r="BB129" t="n">
        <v>0</v>
      </c>
      <c r="BC129" t="n">
        <v>0</v>
      </c>
      <c r="BD129" t="n">
        <v>0</v>
      </c>
      <c r="BE129" t="n">
        <v>1.5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471</v>
      </c>
      <c r="CA129" t="n">
        <v>5241</v>
      </c>
      <c r="CB129" t="n">
        <v>0</v>
      </c>
      <c r="CC129" t="n">
        <v>0</v>
      </c>
    </row>
    <row r="130">
      <c r="A130" t="inlineStr"/>
      <c r="B130" t="inlineStr">
        <is>
          <t>37Rte</t>
        </is>
      </c>
      <c r="C130" t="n">
        <v>7</v>
      </c>
      <c r="D130" t="inlineStr">
        <is>
          <t>Hillsboro</t>
        </is>
      </c>
      <c r="E130" t="inlineStr">
        <is>
          <t>IB</t>
        </is>
      </c>
      <c r="F130" t="n">
        <v>1</v>
      </c>
      <c r="G130" t="n">
        <v>15</v>
      </c>
      <c r="H130" t="n">
        <v>15</v>
      </c>
      <c r="I130" t="n">
        <v>15</v>
      </c>
      <c r="J130" t="n">
        <v>35</v>
      </c>
      <c r="K130" t="n">
        <v>7</v>
      </c>
      <c r="L130" t="n">
        <v>5.535606</v>
      </c>
      <c r="M130" t="n">
        <v>33.373935</v>
      </c>
      <c r="N130" t="n">
        <v>5.535606</v>
      </c>
      <c r="O130" t="n">
        <v>28.326609</v>
      </c>
      <c r="P130" t="n">
        <v>5.535606</v>
      </c>
      <c r="Q130" t="n">
        <v>29.664252</v>
      </c>
      <c r="R130" t="n">
        <v>5.535606</v>
      </c>
      <c r="S130" t="n">
        <v>23.494896</v>
      </c>
      <c r="T130" t="inlineStr">
        <is>
          <t>4834475.29.444</t>
        </is>
      </c>
      <c r="U130" t="n">
        <v>0</v>
      </c>
      <c r="V130" t="n">
        <v>0.444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>
        <is>
          <t>02574.35.44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>
        <is>
          <t>0959.533.77</t>
        </is>
      </c>
      <c r="AT130" t="n">
        <v>0</v>
      </c>
      <c r="AU130" t="inlineStr">
        <is>
          <t>010.0034.37</t>
        </is>
      </c>
      <c r="AV130" t="n">
        <v>0</v>
      </c>
      <c r="AW130" t="n">
        <v>0</v>
      </c>
      <c r="AX130" t="n">
        <v>19.81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0663.06.500</t>
        </is>
      </c>
      <c r="BD130" t="n">
        <v>0</v>
      </c>
      <c r="BE130" t="n">
        <v>0</v>
      </c>
      <c r="BF130" t="n">
        <v>0</v>
      </c>
      <c r="BG130" t="n">
        <v>12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911</v>
      </c>
      <c r="BR130" t="n">
        <v>10021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inlineStr"/>
      <c r="B131" t="inlineStr">
        <is>
          <t>38Rte</t>
        </is>
      </c>
      <c r="C131" t="n">
        <v>3</v>
      </c>
      <c r="D131" t="inlineStr">
        <is>
          <t>West</t>
        </is>
      </c>
      <c r="E131" t="inlineStr">
        <is>
          <t>End</t>
        </is>
      </c>
      <c r="F131" t="inlineStr">
        <is>
          <t>(Bellevue)</t>
        </is>
      </c>
      <c r="G131" t="n">
        <v>1</v>
      </c>
      <c r="H131" t="n">
        <v>60</v>
      </c>
      <c r="I131" t="n">
        <v>60</v>
      </c>
      <c r="J131" t="n">
        <v>65</v>
      </c>
      <c r="K131" t="n">
        <v>3</v>
      </c>
      <c r="L131" t="n">
        <v>13.507072</v>
      </c>
      <c r="M131" t="n">
        <v>57.15303</v>
      </c>
      <c r="N131" t="n">
        <v>13.507072</v>
      </c>
      <c r="O131" t="n">
        <v>61.175201</v>
      </c>
      <c r="P131" t="n">
        <v>13.507072</v>
      </c>
      <c r="Q131" t="n">
        <v>78.796729</v>
      </c>
      <c r="R131" t="n">
        <v>0</v>
      </c>
      <c r="S131" t="n">
        <v>0</v>
      </c>
      <c r="T131" t="inlineStr">
        <is>
          <t>32160.643.296</t>
        </is>
      </c>
      <c r="U131" t="n">
        <v>0</v>
      </c>
      <c r="V131" t="inlineStr">
        <is>
          <t>01.7044.240</t>
        </is>
      </c>
      <c r="W131" t="n">
        <v>0</v>
      </c>
      <c r="X131" t="n">
        <v>0</v>
      </c>
      <c r="Y131" t="n">
        <v>1.747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0127.02.010</t>
        </is>
      </c>
      <c r="AE131" t="n">
        <v>0</v>
      </c>
      <c r="AF131" t="n">
        <v>0</v>
      </c>
      <c r="AG131" t="n">
        <v>3.311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0108.21.821</t>
        </is>
      </c>
      <c r="AQ131" t="n">
        <v>0</v>
      </c>
      <c r="AR131" t="inlineStr">
        <is>
          <t>06.4290.222</t>
        </is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82</v>
      </c>
      <c r="BR131" t="n">
        <v>912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inlineStr"/>
      <c r="B132" t="inlineStr">
        <is>
          <t>39Rte</t>
        </is>
      </c>
      <c r="C132" t="n">
        <v>7</v>
      </c>
      <c r="D132" t="inlineStr">
        <is>
          <t>Hillsboro</t>
        </is>
      </c>
      <c r="E132" t="inlineStr">
        <is>
          <t>OB</t>
        </is>
      </c>
      <c r="F132" t="n">
        <v>1</v>
      </c>
      <c r="G132" t="n">
        <v>15</v>
      </c>
      <c r="H132" t="n">
        <v>15</v>
      </c>
      <c r="I132" t="n">
        <v>15</v>
      </c>
      <c r="J132" t="n">
        <v>35</v>
      </c>
      <c r="K132" t="n">
        <v>7</v>
      </c>
      <c r="L132" t="n">
        <v>5.168108</v>
      </c>
      <c r="M132" t="n">
        <v>25.32696</v>
      </c>
      <c r="N132" t="n">
        <v>5.168108</v>
      </c>
      <c r="O132" t="n">
        <v>25.805466</v>
      </c>
      <c r="P132" t="n">
        <v>5.168108</v>
      </c>
      <c r="Q132" t="n">
        <v>31.43834</v>
      </c>
      <c r="R132" t="n">
        <v>5.168108</v>
      </c>
      <c r="S132" t="n">
        <v>21.744371</v>
      </c>
      <c r="T132" t="inlineStr">
        <is>
          <t>66741095.68.03</t>
        </is>
      </c>
      <c r="U132" t="n">
        <v>0</v>
      </c>
      <c r="V132" t="inlineStr">
        <is>
          <t>027.91147.7</t>
        </is>
      </c>
      <c r="W132" t="n">
        <v>0</v>
      </c>
      <c r="X132" t="n">
        <v>0</v>
      </c>
      <c r="Y132" t="n">
        <v>50.89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02961.103.1</t>
        </is>
      </c>
      <c r="AE132" t="n">
        <v>0</v>
      </c>
      <c r="AF132" t="n">
        <v>0</v>
      </c>
      <c r="AG132" t="n">
        <v>58.59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01518.94.07</t>
        </is>
      </c>
      <c r="AQ132" t="n">
        <v>0</v>
      </c>
      <c r="AR132" t="inlineStr">
        <is>
          <t>046.870.500</t>
        </is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inlineStr">
        <is>
          <t>0474.024.65</t>
        </is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1180</v>
      </c>
      <c r="BP132" t="n">
        <v>13252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inlineStr"/>
      <c r="B133" t="inlineStr">
        <is>
          <t>40Rte</t>
        </is>
      </c>
      <c r="C133" t="n">
        <v>50</v>
      </c>
      <c r="D133" t="inlineStr">
        <is>
          <t>CHARLOTTE</t>
        </is>
      </c>
      <c r="E133" t="inlineStr">
        <is>
          <t>PIKE</t>
        </is>
      </c>
      <c r="F133" t="inlineStr">
        <is>
          <t>oB</t>
        </is>
      </c>
      <c r="G133" t="n">
        <v>1</v>
      </c>
      <c r="H133" t="n">
        <v>10</v>
      </c>
      <c r="I133" t="n">
        <v>15</v>
      </c>
      <c r="J133" t="n">
        <v>12</v>
      </c>
      <c r="K133" t="n">
        <v>33</v>
      </c>
      <c r="L133" t="n">
        <v>50</v>
      </c>
      <c r="M133" t="n">
        <v>8.589589999999999</v>
      </c>
      <c r="N133" t="n">
        <v>36.309224</v>
      </c>
      <c r="O133" t="n">
        <v>8.589589999999999</v>
      </c>
      <c r="P133" t="n">
        <v>39.432065</v>
      </c>
      <c r="Q133" t="n">
        <v>8.589589999999999</v>
      </c>
      <c r="R133" t="n">
        <v>49.692773</v>
      </c>
      <c r="S133" t="n">
        <v>8.589589999999999</v>
      </c>
      <c r="T133" t="n">
        <v>32.623829</v>
      </c>
      <c r="U133" t="inlineStr">
        <is>
          <t>1390262.19.994</t>
        </is>
      </c>
      <c r="V133" t="n">
        <v>0</v>
      </c>
      <c r="W133" t="inlineStr">
        <is>
          <t>011.2716.53</t>
        </is>
      </c>
      <c r="X133" t="n">
        <v>0</v>
      </c>
      <c r="Y133" t="n">
        <v>0</v>
      </c>
      <c r="Z133" t="n">
        <v>22.79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0458.410.49</t>
        </is>
      </c>
      <c r="AF133" t="n">
        <v>0</v>
      </c>
      <c r="AG133" t="n">
        <v>0</v>
      </c>
      <c r="AH133" t="n">
        <v>0.262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0389.16.829</t>
        </is>
      </c>
      <c r="AR133" t="n">
        <v>0</v>
      </c>
      <c r="AS133" t="inlineStr">
        <is>
          <t>017.1854.74</t>
        </is>
      </c>
      <c r="AT133" t="n">
        <v>0</v>
      </c>
      <c r="AU133" t="n">
        <v>0</v>
      </c>
      <c r="AV133" t="n">
        <v>6.787</v>
      </c>
      <c r="AW133" t="n">
        <v>0</v>
      </c>
      <c r="AX133" t="n">
        <v>0</v>
      </c>
      <c r="AY133" t="n">
        <v>0</v>
      </c>
      <c r="AZ133" t="n">
        <v>0</v>
      </c>
      <c r="BA133" t="inlineStr">
        <is>
          <t>0116.32.367</t>
        </is>
      </c>
      <c r="BB133" t="n">
        <v>0</v>
      </c>
      <c r="BC133" t="n">
        <v>0</v>
      </c>
      <c r="BD133" t="n">
        <v>4.5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289</v>
      </c>
      <c r="BO133" t="n">
        <v>3501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inlineStr"/>
      <c r="B134" t="inlineStr">
        <is>
          <t>41Rte</t>
        </is>
      </c>
      <c r="C134" t="n">
        <v>50</v>
      </c>
      <c r="D134" t="inlineStr">
        <is>
          <t>CHARLOTTE</t>
        </is>
      </c>
      <c r="E134" t="inlineStr">
        <is>
          <t>PIKE</t>
        </is>
      </c>
      <c r="F134" t="inlineStr">
        <is>
          <t>iB</t>
        </is>
      </c>
      <c r="G134" t="n">
        <v>1</v>
      </c>
      <c r="H134" t="n">
        <v>10</v>
      </c>
      <c r="I134" t="n">
        <v>15</v>
      </c>
      <c r="J134" t="n">
        <v>12</v>
      </c>
      <c r="K134" t="n">
        <v>33</v>
      </c>
      <c r="L134" t="n">
        <v>50</v>
      </c>
      <c r="M134" t="n">
        <v>8.540554999999999</v>
      </c>
      <c r="N134" t="n">
        <v>50.9433</v>
      </c>
      <c r="O134" t="n">
        <v>8.540554999999999</v>
      </c>
      <c r="P134" t="n">
        <v>38.758733</v>
      </c>
      <c r="Q134" t="n">
        <v>8.540554999999999</v>
      </c>
      <c r="R134" t="n">
        <v>38.867971</v>
      </c>
      <c r="S134" t="n">
        <v>8.540554999999999</v>
      </c>
      <c r="T134" t="n">
        <v>32.277896</v>
      </c>
      <c r="U134" t="inlineStr">
        <is>
          <t>1249264.40.333</t>
        </is>
      </c>
      <c r="V134" t="n">
        <v>0</v>
      </c>
      <c r="W134" t="n">
        <v>0.666</v>
      </c>
      <c r="X134" t="n">
        <v>76</v>
      </c>
      <c r="Y134" t="n">
        <v>0</v>
      </c>
      <c r="Z134" t="n">
        <v>0</v>
      </c>
      <c r="AA134" t="n">
        <v>0</v>
      </c>
      <c r="AB134" t="n">
        <v>8</v>
      </c>
      <c r="AC134" t="n">
        <v>0</v>
      </c>
      <c r="AD134" t="n">
        <v>0</v>
      </c>
      <c r="AE134" t="n">
        <v>0</v>
      </c>
      <c r="AF134" t="n">
        <v>0</v>
      </c>
      <c r="AG134" t="n">
        <v>370.2</v>
      </c>
      <c r="AH134" t="n">
        <v>0</v>
      </c>
      <c r="AI134" t="n">
        <v>0</v>
      </c>
      <c r="AJ134" t="n">
        <v>0</v>
      </c>
      <c r="AK134" t="n">
        <v>0</v>
      </c>
      <c r="AL134" t="n">
        <v>25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342.8</v>
      </c>
      <c r="AV134" t="n">
        <v>3</v>
      </c>
      <c r="AW134" t="n">
        <v>0</v>
      </c>
      <c r="AX134" t="inlineStr">
        <is>
          <t>06.83345.18</t>
        </is>
      </c>
      <c r="AY134" t="n">
        <v>0</v>
      </c>
      <c r="AZ134" t="n">
        <v>0</v>
      </c>
      <c r="BA134" t="n">
        <v>25.24</v>
      </c>
      <c r="BB134" t="n">
        <v>0</v>
      </c>
      <c r="BC134" t="n">
        <v>0</v>
      </c>
      <c r="BD134" t="n">
        <v>0</v>
      </c>
      <c r="BE134" t="n">
        <v>0</v>
      </c>
      <c r="BF134" t="n">
        <v>78.23999999999999</v>
      </c>
      <c r="BG134" t="n">
        <v>0</v>
      </c>
      <c r="BH134" t="n">
        <v>0</v>
      </c>
      <c r="BI134" t="n">
        <v>0</v>
      </c>
      <c r="BJ134" t="n">
        <v>2.5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291</v>
      </c>
      <c r="BU134" t="n">
        <v>3380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inlineStr"/>
      <c r="B135" t="inlineStr">
        <is>
          <t>42Rte</t>
        </is>
      </c>
      <c r="C135" t="n">
        <v>24</v>
      </c>
      <c r="D135" t="inlineStr">
        <is>
          <t>Bellevue</t>
        </is>
      </c>
      <c r="E135" t="inlineStr">
        <is>
          <t>Exp</t>
        </is>
      </c>
      <c r="F135" t="inlineStr">
        <is>
          <t>AM</t>
        </is>
      </c>
      <c r="G135" t="n">
        <v>6</v>
      </c>
      <c r="H135" t="n">
        <v>24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inlineStr"/>
      <c r="B136" t="inlineStr">
        <is>
          <t>43Rte</t>
        </is>
      </c>
      <c r="C136" t="n">
        <v>17</v>
      </c>
      <c r="D136" t="inlineStr">
        <is>
          <t>12TH</t>
        </is>
      </c>
      <c r="E136" t="inlineStr">
        <is>
          <t>AVENUE</t>
        </is>
      </c>
      <c r="F136" t="inlineStr">
        <is>
          <t>SOUTH</t>
        </is>
      </c>
      <c r="G136" t="n">
        <v>1</v>
      </c>
      <c r="H136" t="n">
        <v>20</v>
      </c>
      <c r="I136" t="n">
        <v>26</v>
      </c>
      <c r="J136" t="n">
        <v>27</v>
      </c>
      <c r="K136" t="n">
        <v>110</v>
      </c>
      <c r="L136" t="n">
        <v>17</v>
      </c>
      <c r="M136" t="n">
        <v>6.439148</v>
      </c>
      <c r="N136" t="n">
        <v>28.418147</v>
      </c>
      <c r="O136" t="n">
        <v>6.439148</v>
      </c>
      <c r="P136" t="n">
        <v>28.317148</v>
      </c>
      <c r="Q136" t="n">
        <v>6.439148</v>
      </c>
      <c r="R136" t="n">
        <v>34.761211</v>
      </c>
      <c r="S136" t="n">
        <v>6.439148</v>
      </c>
      <c r="T136" t="n">
        <v>24.869688</v>
      </c>
      <c r="U136" t="inlineStr">
        <is>
          <t>778102.17.301</t>
        </is>
      </c>
      <c r="V136" t="n">
        <v>0</v>
      </c>
      <c r="W136" t="inlineStr">
        <is>
          <t>028.744.448</t>
        </is>
      </c>
      <c r="X136" t="n">
        <v>0</v>
      </c>
      <c r="Y136" t="n">
        <v>0</v>
      </c>
      <c r="Z136" t="n">
        <v>2.527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0265.77.060</t>
        </is>
      </c>
      <c r="AF136" t="n">
        <v>0</v>
      </c>
      <c r="AG136" t="n">
        <v>0</v>
      </c>
      <c r="AH136" t="n">
        <v>0.447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0155.81.886</t>
        </is>
      </c>
      <c r="AR136" t="n">
        <v>0</v>
      </c>
      <c r="AS136" t="n">
        <v>151.8</v>
      </c>
      <c r="AT136" t="n">
        <v>0</v>
      </c>
      <c r="AU136" t="n">
        <v>0</v>
      </c>
      <c r="AV136" t="n">
        <v>0</v>
      </c>
      <c r="AW136" t="n">
        <v>0.5</v>
      </c>
      <c r="AX136" t="n">
        <v>0</v>
      </c>
      <c r="AY136" t="n">
        <v>0</v>
      </c>
      <c r="AZ136" t="n">
        <v>0</v>
      </c>
      <c r="BA136" t="n">
        <v>0</v>
      </c>
      <c r="BB136" t="inlineStr">
        <is>
          <t>049.250.500</t>
        </is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146</v>
      </c>
      <c r="BQ136" t="n">
        <v>1805</v>
      </c>
      <c r="BR136" t="n">
        <v>524</v>
      </c>
    </row>
    <row r="137">
      <c r="A137" t="inlineStr"/>
      <c r="B137" t="inlineStr">
        <is>
          <t>44Rte</t>
        </is>
      </c>
      <c r="C137" t="n">
        <v>3</v>
      </c>
      <c r="D137" t="inlineStr">
        <is>
          <t>West</t>
        </is>
      </c>
      <c r="E137" t="inlineStr">
        <is>
          <t>End</t>
        </is>
      </c>
      <c r="F137" t="inlineStr">
        <is>
          <t>(White</t>
        </is>
      </c>
      <c r="G137" t="inlineStr">
        <is>
          <t>Bri</t>
        </is>
      </c>
      <c r="H137" t="n">
        <v>1</v>
      </c>
      <c r="I137" t="n">
        <v>15</v>
      </c>
      <c r="J137" t="n">
        <v>15</v>
      </c>
      <c r="K137" t="n">
        <v>15</v>
      </c>
      <c r="L137" t="n">
        <v>35</v>
      </c>
      <c r="M137" t="n">
        <v>3</v>
      </c>
      <c r="N137" t="n">
        <v>7.00218</v>
      </c>
      <c r="O137" t="n">
        <v>33.56679</v>
      </c>
      <c r="P137" t="n">
        <v>7.00218</v>
      </c>
      <c r="Q137" t="n">
        <v>32.800489</v>
      </c>
      <c r="R137" t="n">
        <v>7.00218</v>
      </c>
      <c r="S137" t="n">
        <v>39.342299</v>
      </c>
      <c r="T137" t="n">
        <v>7.00218</v>
      </c>
      <c r="U137" t="n">
        <v>27.29556</v>
      </c>
      <c r="V137" t="inlineStr">
        <is>
          <t>1917317.713.29</t>
        </is>
      </c>
      <c r="W137" t="n">
        <v>0</v>
      </c>
      <c r="X137" t="inlineStr">
        <is>
          <t>09.93863.58</t>
        </is>
      </c>
      <c r="Y137" t="n">
        <v>0</v>
      </c>
      <c r="Z137" t="n">
        <v>0</v>
      </c>
      <c r="AA137" t="n">
        <v>43.53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0639.210.54</t>
        </is>
      </c>
      <c r="AG137" t="n">
        <v>0</v>
      </c>
      <c r="AH137" t="n">
        <v>0</v>
      </c>
      <c r="AI137" t="n">
        <v>26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inlineStr">
        <is>
          <t>0526.97.900</t>
        </is>
      </c>
      <c r="AS137" t="n">
        <v>0</v>
      </c>
      <c r="AT137" t="inlineStr">
        <is>
          <t>025.452.888</t>
        </is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0224.22.624</t>
        </is>
      </c>
      <c r="BD137" t="n">
        <v>0</v>
      </c>
      <c r="BE137" t="n">
        <v>0</v>
      </c>
      <c r="BF137" t="n">
        <v>0</v>
      </c>
      <c r="BG137" t="n">
        <v>3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351</v>
      </c>
      <c r="BR137" t="n">
        <v>4065</v>
      </c>
    </row>
    <row r="138">
      <c r="A138" t="inlineStr"/>
      <c r="B138" t="inlineStr">
        <is>
          <t>45Rte</t>
        </is>
      </c>
      <c r="C138" t="n">
        <v>41</v>
      </c>
      <c r="D138" t="inlineStr">
        <is>
          <t>Golden</t>
        </is>
      </c>
      <c r="E138" t="inlineStr">
        <is>
          <t>Valley</t>
        </is>
      </c>
      <c r="F138" t="inlineStr">
        <is>
          <t>OB</t>
        </is>
      </c>
      <c r="G138" t="inlineStr">
        <is>
          <t>P</t>
        </is>
      </c>
      <c r="H138" t="n">
        <v>1</v>
      </c>
      <c r="I138" t="n">
        <v>120</v>
      </c>
      <c r="J138" t="n">
        <v>41</v>
      </c>
      <c r="K138" t="n">
        <v>0</v>
      </c>
      <c r="L138" t="n">
        <v>0</v>
      </c>
      <c r="M138" t="n">
        <v>0</v>
      </c>
      <c r="N138" t="n">
        <v>0</v>
      </c>
      <c r="O138" t="n">
        <v>8.395771999999999</v>
      </c>
      <c r="P138" t="n">
        <v>37.236656</v>
      </c>
      <c r="Q138" t="n">
        <v>0</v>
      </c>
      <c r="R138" t="n">
        <v>0</v>
      </c>
      <c r="S138" t="n">
        <v>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2</v>
      </c>
      <c r="AX138" t="n">
        <v>0</v>
      </c>
      <c r="AY138" t="n">
        <v>0</v>
      </c>
      <c r="AZ138" t="n">
        <v>5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3</v>
      </c>
      <c r="CA138" t="n">
        <v>33</v>
      </c>
    </row>
    <row r="139">
      <c r="A139" t="inlineStr"/>
      <c r="B139" t="inlineStr">
        <is>
          <t>46Rte</t>
        </is>
      </c>
      <c r="C139" t="n">
        <v>41</v>
      </c>
      <c r="D139" t="inlineStr">
        <is>
          <t>Golden</t>
        </is>
      </c>
      <c r="E139" t="inlineStr">
        <is>
          <t>Valley</t>
        </is>
      </c>
      <c r="F139" t="inlineStr">
        <is>
          <t>IB</t>
        </is>
      </c>
      <c r="G139" t="inlineStr">
        <is>
          <t>A</t>
        </is>
      </c>
      <c r="H139" t="n">
        <v>1</v>
      </c>
      <c r="I139" t="n">
        <v>30</v>
      </c>
      <c r="J139" t="n">
        <v>41</v>
      </c>
      <c r="K139" t="n">
        <v>8.072343</v>
      </c>
      <c r="L139" t="n">
        <v>35.449756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2827.9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9</v>
      </c>
      <c r="CB139" t="n">
        <v>110</v>
      </c>
    </row>
    <row r="140">
      <c r="A140" t="inlineStr"/>
      <c r="B140" t="inlineStr">
        <is>
          <t>47Rte</t>
        </is>
      </c>
      <c r="C140" t="n">
        <v>29</v>
      </c>
      <c r="D140" t="inlineStr">
        <is>
          <t>Jefferson</t>
        </is>
      </c>
      <c r="E140" t="inlineStr">
        <is>
          <t>IB</t>
        </is>
      </c>
      <c r="F140" t="n">
        <v>1</v>
      </c>
      <c r="G140" t="n">
        <v>20</v>
      </c>
      <c r="H140" t="n">
        <v>28</v>
      </c>
      <c r="I140" t="n">
        <v>22</v>
      </c>
      <c r="J140" t="n">
        <v>73</v>
      </c>
      <c r="K140" t="n">
        <v>29</v>
      </c>
      <c r="L140" t="n">
        <v>3.379828</v>
      </c>
      <c r="M140" t="n">
        <v>16.925031</v>
      </c>
      <c r="N140" t="n">
        <v>3.379828</v>
      </c>
      <c r="O140" t="n">
        <v>15.476556</v>
      </c>
      <c r="P140" t="n">
        <v>3.379828</v>
      </c>
      <c r="Q140" t="n">
        <v>16.003839</v>
      </c>
      <c r="R140" t="n">
        <v>3.379828</v>
      </c>
      <c r="S140" t="n">
        <v>13.359243</v>
      </c>
      <c r="T140" t="n">
        <v>414118.3</v>
      </c>
      <c r="U140" t="n">
        <v>0</v>
      </c>
      <c r="V140" t="n">
        <v>0</v>
      </c>
      <c r="W140" t="n">
        <v>0</v>
      </c>
      <c r="X140" t="n">
        <v>0</v>
      </c>
      <c r="Y140" t="n">
        <v>7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0158.00.343</t>
        </is>
      </c>
      <c r="AI140" t="n">
        <v>0</v>
      </c>
      <c r="AJ140" t="n">
        <v>0</v>
      </c>
      <c r="AK140" t="n">
        <v>6.5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>
        <is>
          <t>0105.40.555</t>
        </is>
      </c>
      <c r="AU140" t="n">
        <v>0</v>
      </c>
      <c r="AV140" t="n">
        <v>0</v>
      </c>
      <c r="AW140" t="n">
        <v>5.731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09.5450.184</t>
        </is>
      </c>
      <c r="BG140" t="n">
        <v>0</v>
      </c>
      <c r="BH140" t="n">
        <v>0</v>
      </c>
      <c r="BI140" t="n">
        <v>1.5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61</v>
      </c>
      <c r="BT140" t="n">
        <v>716</v>
      </c>
    </row>
    <row r="141">
      <c r="A141" t="inlineStr"/>
      <c r="B141" t="inlineStr">
        <is>
          <t>48Rte</t>
        </is>
      </c>
      <c r="C141" t="n">
        <v>29</v>
      </c>
      <c r="D141" t="inlineStr">
        <is>
          <t>Jefferson</t>
        </is>
      </c>
      <c r="E141" t="inlineStr">
        <is>
          <t>OB</t>
        </is>
      </c>
      <c r="F141" t="n">
        <v>1</v>
      </c>
      <c r="G141" t="n">
        <v>20</v>
      </c>
      <c r="H141" t="n">
        <v>28</v>
      </c>
      <c r="I141" t="n">
        <v>22</v>
      </c>
      <c r="J141" t="n">
        <v>73</v>
      </c>
      <c r="K141" t="n">
        <v>29</v>
      </c>
      <c r="L141" t="n">
        <v>3.294905</v>
      </c>
      <c r="M141" t="n">
        <v>12.363923</v>
      </c>
      <c r="N141" t="n">
        <v>3.294905</v>
      </c>
      <c r="O141" t="n">
        <v>12.947209</v>
      </c>
      <c r="P141" t="n">
        <v>3.294905</v>
      </c>
      <c r="Q141" t="n">
        <v>14.487712</v>
      </c>
      <c r="R141" t="n">
        <v>3.294905</v>
      </c>
      <c r="S141" t="n">
        <v>11.351207</v>
      </c>
      <c r="T141" t="inlineStr">
        <is>
          <t>39024.301.000</t>
        </is>
      </c>
      <c r="U141" t="n">
        <v>0</v>
      </c>
      <c r="V141" t="n">
        <v>17.88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0146.81.586</t>
        </is>
      </c>
      <c r="AG141" t="n">
        <v>0</v>
      </c>
      <c r="AH141" t="n">
        <v>0</v>
      </c>
      <c r="AI141" t="n">
        <v>8.5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061.890.745</t>
        </is>
      </c>
      <c r="AS141" t="n">
        <v>0</v>
      </c>
      <c r="AT141" t="inlineStr">
        <is>
          <t>091.5815.75</t>
        </is>
      </c>
      <c r="AU141" t="n">
        <v>0</v>
      </c>
      <c r="AV141" t="n">
        <v>0</v>
      </c>
      <c r="AW141" t="n">
        <v>3.5</v>
      </c>
      <c r="AX141" t="n">
        <v>0</v>
      </c>
      <c r="AY141" t="n">
        <v>0</v>
      </c>
      <c r="AZ141" t="n">
        <v>0</v>
      </c>
      <c r="BA141" t="n">
        <v>0</v>
      </c>
      <c r="BB141" t="n">
        <v>11.37</v>
      </c>
      <c r="BC141" t="n">
        <v>0</v>
      </c>
      <c r="BD141" t="n">
        <v>0</v>
      </c>
      <c r="BE141" t="n">
        <v>0</v>
      </c>
      <c r="BF141" t="n">
        <v>2.038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47</v>
      </c>
      <c r="BQ141" t="n">
        <v>578</v>
      </c>
    </row>
    <row r="142">
      <c r="A142" t="inlineStr"/>
      <c r="B142" t="inlineStr">
        <is>
          <t>49Rte</t>
        </is>
      </c>
      <c r="C142" t="n">
        <v>19</v>
      </c>
      <c r="D142" t="inlineStr">
        <is>
          <t>Herman</t>
        </is>
      </c>
      <c r="E142" t="inlineStr">
        <is>
          <t>IB</t>
        </is>
      </c>
      <c r="F142" t="n">
        <v>1</v>
      </c>
      <c r="G142" t="n">
        <v>23</v>
      </c>
      <c r="H142" t="n">
        <v>30</v>
      </c>
      <c r="I142" t="n">
        <v>22</v>
      </c>
      <c r="J142" t="n">
        <v>83</v>
      </c>
      <c r="K142" t="n">
        <v>19</v>
      </c>
      <c r="L142" t="n">
        <v>8.493690000000001</v>
      </c>
      <c r="M142" t="n">
        <v>38.278453</v>
      </c>
      <c r="N142" t="n">
        <v>8.493690000000001</v>
      </c>
      <c r="O142" t="n">
        <v>35.624148</v>
      </c>
      <c r="P142" t="n">
        <v>8.493690000000001</v>
      </c>
      <c r="Q142" t="n">
        <v>36.50254</v>
      </c>
      <c r="R142" t="n">
        <v>8.493690000000001</v>
      </c>
      <c r="S142" t="n">
        <v>33.55249</v>
      </c>
      <c r="T142" t="n">
        <v>516147.2</v>
      </c>
      <c r="U142" t="n">
        <v>1</v>
      </c>
      <c r="V142" t="n">
        <v>0</v>
      </c>
      <c r="W142" t="n">
        <v>0</v>
      </c>
      <c r="X142" t="n">
        <v>1.5</v>
      </c>
      <c r="Y142" t="n">
        <v>0</v>
      </c>
      <c r="Z142" t="n">
        <v>0</v>
      </c>
      <c r="AA142" t="n">
        <v>2.5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0177.40.320</t>
        </is>
      </c>
      <c r="AG142" t="n">
        <v>0</v>
      </c>
      <c r="AH142" t="n">
        <v>0</v>
      </c>
      <c r="AI142" t="n">
        <v>0</v>
      </c>
      <c r="AJ142" t="n">
        <v>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0158.92.555</t>
        </is>
      </c>
      <c r="AT142" t="n">
        <v>0</v>
      </c>
      <c r="AU142" t="n">
        <v>0</v>
      </c>
      <c r="AV142" t="n">
        <v>0</v>
      </c>
      <c r="AW142" t="n">
        <v>5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15.8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119</v>
      </c>
      <c r="BV142" t="n">
        <v>1598</v>
      </c>
    </row>
    <row r="143">
      <c r="A143" t="inlineStr"/>
      <c r="B143" t="inlineStr">
        <is>
          <t>50Rte</t>
        </is>
      </c>
      <c r="C143" t="n">
        <v>19</v>
      </c>
      <c r="D143" t="inlineStr">
        <is>
          <t>Herman</t>
        </is>
      </c>
      <c r="E143" t="inlineStr">
        <is>
          <t>OB</t>
        </is>
      </c>
      <c r="F143" t="n">
        <v>1</v>
      </c>
      <c r="G143" t="n">
        <v>23</v>
      </c>
      <c r="H143" t="n">
        <v>30</v>
      </c>
      <c r="I143" t="n">
        <v>22</v>
      </c>
      <c r="J143" t="n">
        <v>83</v>
      </c>
      <c r="K143" t="n">
        <v>19</v>
      </c>
      <c r="L143" t="n">
        <v>7.744082</v>
      </c>
      <c r="M143" t="n">
        <v>31.981311</v>
      </c>
      <c r="N143" t="n">
        <v>7.744082</v>
      </c>
      <c r="O143" t="n">
        <v>32.252069</v>
      </c>
      <c r="P143" t="n">
        <v>7.744082</v>
      </c>
      <c r="Q143" t="n">
        <v>35.127214</v>
      </c>
      <c r="R143" t="n">
        <v>7.744082</v>
      </c>
      <c r="S143" t="n">
        <v>30.370599</v>
      </c>
      <c r="T143" t="inlineStr">
        <is>
          <t>78778.534.208</t>
        </is>
      </c>
      <c r="U143" t="n">
        <v>0</v>
      </c>
      <c r="V143" t="inlineStr">
        <is>
          <t>023.984.500</t>
        </is>
      </c>
      <c r="W143" t="n">
        <v>0</v>
      </c>
      <c r="X143" t="n">
        <v>0</v>
      </c>
      <c r="Y143" t="n">
        <v>2.565</v>
      </c>
      <c r="Z143" t="n">
        <v>0</v>
      </c>
      <c r="AA143" t="n">
        <v>0</v>
      </c>
      <c r="AB143" t="n">
        <v>0</v>
      </c>
      <c r="AC143" t="n">
        <v>0</v>
      </c>
      <c r="AD143" t="inlineStr">
        <is>
          <t>0198.98.962</t>
        </is>
      </c>
      <c r="AE143" t="n">
        <v>0</v>
      </c>
      <c r="AF143" t="n">
        <v>0</v>
      </c>
      <c r="AG143" t="n">
        <v>3.066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0159.99.807</t>
        </is>
      </c>
      <c r="AQ143" t="n">
        <v>0</v>
      </c>
      <c r="AR143" t="inlineStr">
        <is>
          <t>0139.969.97</t>
        </is>
      </c>
      <c r="AS143" t="n">
        <v>0</v>
      </c>
      <c r="AT143" t="n">
        <v>0</v>
      </c>
      <c r="AU143" t="n">
        <v>35.78</v>
      </c>
      <c r="AV143" t="n">
        <v>0</v>
      </c>
      <c r="AW143" t="n">
        <v>0</v>
      </c>
      <c r="AX143" t="n">
        <v>0</v>
      </c>
      <c r="AY143" t="n">
        <v>0</v>
      </c>
      <c r="AZ143" t="inlineStr">
        <is>
          <t>043.492.045</t>
        </is>
      </c>
      <c r="BA143" t="n">
        <v>0</v>
      </c>
      <c r="BB143" t="n">
        <v>0</v>
      </c>
      <c r="BC143" t="n">
        <v>1.538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133</v>
      </c>
      <c r="BN143" t="n">
        <v>1737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15</v>
      </c>
      <c r="BY143" t="n">
        <v>210</v>
      </c>
    </row>
    <row r="144">
      <c r="A144" t="inlineStr"/>
      <c r="B144" t="inlineStr">
        <is>
          <t>51Rte</t>
        </is>
      </c>
      <c r="C144" t="n">
        <v>9</v>
      </c>
      <c r="D144" t="inlineStr">
        <is>
          <t>MetroCenter</t>
        </is>
      </c>
      <c r="E144" t="inlineStr">
        <is>
          <t>IB</t>
        </is>
      </c>
      <c r="F144" t="n">
        <v>1</v>
      </c>
      <c r="G144" t="n">
        <v>23</v>
      </c>
      <c r="H144" t="n">
        <v>26</v>
      </c>
      <c r="I144" t="n">
        <v>34</v>
      </c>
      <c r="J144" t="n">
        <v>9</v>
      </c>
      <c r="K144" t="n">
        <v>6.340196</v>
      </c>
      <c r="L144" t="n">
        <v>26.696923</v>
      </c>
      <c r="M144" t="n">
        <v>6.340196</v>
      </c>
      <c r="N144" t="n">
        <v>25.987856</v>
      </c>
      <c r="O144" t="n">
        <v>6.340196</v>
      </c>
      <c r="P144" t="n">
        <v>26.289229</v>
      </c>
      <c r="Q144" t="n">
        <v>0</v>
      </c>
      <c r="R144" t="n">
        <v>0</v>
      </c>
      <c r="S144" t="n">
        <v>114</v>
      </c>
      <c r="T144" t="n">
        <v>32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48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33</v>
      </c>
      <c r="AX144" t="n">
        <v>0</v>
      </c>
      <c r="AY144" t="n">
        <v>0</v>
      </c>
      <c r="AZ144" t="n">
        <v>0</v>
      </c>
      <c r="BA144" t="n">
        <v>0.5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27</v>
      </c>
      <c r="CA144" t="n">
        <v>371</v>
      </c>
    </row>
    <row r="145">
      <c r="A145" t="inlineStr"/>
      <c r="B145" t="inlineStr">
        <is>
          <t>52Rte</t>
        </is>
      </c>
      <c r="C145" t="n">
        <v>24</v>
      </c>
      <c r="D145" t="inlineStr">
        <is>
          <t>Bellevue</t>
        </is>
      </c>
      <c r="E145" t="inlineStr">
        <is>
          <t>Exp</t>
        </is>
      </c>
      <c r="F145" t="inlineStr">
        <is>
          <t>PM</t>
        </is>
      </c>
      <c r="G145" t="n">
        <v>6</v>
      </c>
      <c r="H145" t="n">
        <v>24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</row>
    <row r="146">
      <c r="A146" t="inlineStr"/>
      <c r="B146" t="inlineStr">
        <is>
          <t>54Rte</t>
        </is>
      </c>
      <c r="C146" t="n">
        <v>76</v>
      </c>
      <c r="D146" t="inlineStr">
        <is>
          <t>Madison</t>
        </is>
      </c>
      <c r="E146" t="inlineStr">
        <is>
          <t>Conn</t>
        </is>
      </c>
      <c r="F146" t="n">
        <v>1</v>
      </c>
      <c r="G146" t="n">
        <v>36</v>
      </c>
      <c r="H146" t="n">
        <v>30</v>
      </c>
      <c r="I146" t="n">
        <v>34</v>
      </c>
      <c r="J146" t="n">
        <v>94</v>
      </c>
      <c r="K146" t="n">
        <v>76</v>
      </c>
      <c r="L146" t="n">
        <v>9.322331999999999</v>
      </c>
      <c r="M146" t="n">
        <v>39.961947</v>
      </c>
      <c r="N146" t="n">
        <v>9.322331999999999</v>
      </c>
      <c r="O146" t="n">
        <v>37.56451</v>
      </c>
      <c r="P146" t="n">
        <v>9.322331999999999</v>
      </c>
      <c r="Q146" t="n">
        <v>40.379982</v>
      </c>
      <c r="R146" t="n">
        <v>9.322331999999999</v>
      </c>
      <c r="S146" t="n">
        <v>35.858565</v>
      </c>
      <c r="T146" t="inlineStr">
        <is>
          <t>9012.0010.00</t>
        </is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09.75022.00</t>
        </is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inlineStr">
        <is>
          <t>08.65219.00</t>
        </is>
      </c>
      <c r="AU146" t="n">
        <v>0</v>
      </c>
      <c r="AV146" t="inlineStr">
        <is>
          <t>01.0001.260</t>
        </is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26</v>
      </c>
      <c r="BU146" t="n">
        <v>376</v>
      </c>
    </row>
    <row r="147">
      <c r="A147" t="inlineStr"/>
      <c r="B147" t="inlineStr">
        <is>
          <t>57Rte</t>
        </is>
      </c>
      <c r="C147" t="n">
        <v>89</v>
      </c>
      <c r="D147" t="inlineStr">
        <is>
          <t>Spgfield/Joelton</t>
        </is>
      </c>
      <c r="E147" t="inlineStr">
        <is>
          <t>E</t>
        </is>
      </c>
      <c r="F147" t="n">
        <v>6</v>
      </c>
      <c r="G147" t="n">
        <v>120</v>
      </c>
      <c r="H147" t="n">
        <v>89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31.173441108.244416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</row>
    <row r="148">
      <c r="A148" t="inlineStr"/>
      <c r="B148" t="inlineStr">
        <is>
          <t>58Rte</t>
        </is>
      </c>
      <c r="C148" t="n">
        <v>103</v>
      </c>
      <c r="D148" t="inlineStr">
        <is>
          <t>Rover</t>
        </is>
      </c>
      <c r="E148" t="inlineStr">
        <is>
          <t>Memorial</t>
        </is>
      </c>
      <c r="F148" t="n">
        <v>2</v>
      </c>
      <c r="G148" t="n">
        <v>36</v>
      </c>
      <c r="H148" t="n">
        <v>45</v>
      </c>
      <c r="I148" t="n">
        <v>60</v>
      </c>
      <c r="J148" t="n">
        <v>103</v>
      </c>
      <c r="K148" t="n">
        <v>9.378594</v>
      </c>
      <c r="L148" t="n">
        <v>41.9735</v>
      </c>
      <c r="M148" t="n">
        <v>9.378594</v>
      </c>
      <c r="N148" t="n">
        <v>38.764513</v>
      </c>
      <c r="O148" t="n">
        <v>9.378594</v>
      </c>
      <c r="P148" t="n">
        <v>43.500725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inlineStr"/>
      <c r="B149" t="inlineStr">
        <is>
          <t>59Rte</t>
        </is>
      </c>
      <c r="C149" t="n">
        <v>22</v>
      </c>
      <c r="D149" t="inlineStr">
        <is>
          <t>Bordeaux</t>
        </is>
      </c>
      <c r="E149" t="inlineStr">
        <is>
          <t>(Kings</t>
        </is>
      </c>
      <c r="F149" t="inlineStr">
        <is>
          <t>Ln</t>
        </is>
      </c>
      <c r="G149" t="n">
        <v>1</v>
      </c>
      <c r="H149" t="n">
        <v>15</v>
      </c>
      <c r="I149" t="n">
        <v>15</v>
      </c>
      <c r="J149" t="n">
        <v>15</v>
      </c>
      <c r="K149" t="n">
        <v>35</v>
      </c>
      <c r="L149" t="n">
        <v>22</v>
      </c>
      <c r="M149" t="n">
        <v>9.641940999999999</v>
      </c>
      <c r="N149" t="n">
        <v>37.580828</v>
      </c>
      <c r="O149" t="n">
        <v>9.641940999999999</v>
      </c>
      <c r="P149" t="n">
        <v>38.159946</v>
      </c>
      <c r="Q149" t="n">
        <v>9.641940999999999</v>
      </c>
      <c r="R149" t="n">
        <v>42.514698</v>
      </c>
      <c r="S149" t="n">
        <v>9.641940999999999</v>
      </c>
      <c r="T149" t="n">
        <v>35.425403</v>
      </c>
      <c r="U149" t="inlineStr">
        <is>
          <t>93567.637.748</t>
        </is>
      </c>
      <c r="V149" t="n">
        <v>0</v>
      </c>
      <c r="W149" t="inlineStr">
        <is>
          <t>027.651.210</t>
        </is>
      </c>
      <c r="X149" t="n">
        <v>0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0360.614.57</t>
        </is>
      </c>
      <c r="AF149" t="n">
        <v>0</v>
      </c>
      <c r="AG149" t="n">
        <v>0</v>
      </c>
      <c r="AH149" t="n">
        <v>1.02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0231.415.21</t>
        </is>
      </c>
      <c r="AR149" t="n">
        <v>0</v>
      </c>
      <c r="AS149" t="inlineStr">
        <is>
          <t>098.450.500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0105.03.397</t>
        </is>
      </c>
      <c r="BC149" t="n">
        <v>0</v>
      </c>
      <c r="BD149" t="n">
        <v>0</v>
      </c>
      <c r="BE149" t="n">
        <v>0.315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143</v>
      </c>
      <c r="BP149" t="n">
        <v>2031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37</v>
      </c>
      <c r="CA149" t="n">
        <v>598</v>
      </c>
    </row>
    <row r="150">
      <c r="A150" t="inlineStr"/>
      <c r="B150" t="inlineStr">
        <is>
          <t>60Rte</t>
        </is>
      </c>
      <c r="C150" t="n">
        <v>22</v>
      </c>
      <c r="D150" t="inlineStr">
        <is>
          <t>Bordeaux</t>
        </is>
      </c>
      <c r="E150" t="inlineStr">
        <is>
          <t>(Kings</t>
        </is>
      </c>
      <c r="F150" t="inlineStr">
        <is>
          <t>Ln</t>
        </is>
      </c>
      <c r="G150" t="n">
        <v>1</v>
      </c>
      <c r="H150" t="n">
        <v>15</v>
      </c>
      <c r="I150" t="n">
        <v>15</v>
      </c>
      <c r="J150" t="n">
        <v>15</v>
      </c>
      <c r="K150" t="n">
        <v>35</v>
      </c>
      <c r="L150" t="n">
        <v>22</v>
      </c>
      <c r="M150" t="n">
        <v>10.415277</v>
      </c>
      <c r="N150" t="n">
        <v>47.011542</v>
      </c>
      <c r="O150" t="n">
        <v>10.415277</v>
      </c>
      <c r="P150" t="n">
        <v>42.443725</v>
      </c>
      <c r="Q150" t="n">
        <v>10.415277</v>
      </c>
      <c r="R150" t="n">
        <v>43.218031</v>
      </c>
      <c r="S150" t="n">
        <v>10.415277</v>
      </c>
      <c r="T150" t="n">
        <v>38.909034</v>
      </c>
      <c r="U150" t="inlineStr">
        <is>
          <t>809208.80.363</t>
        </is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0304.31.164</t>
        </is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inlineStr">
        <is>
          <t>0217.21.841</t>
        </is>
      </c>
      <c r="AU150" t="n">
        <v>0</v>
      </c>
      <c r="AV150" t="inlineStr">
        <is>
          <t>01.00013.37</t>
        </is>
      </c>
      <c r="AW150" t="n">
        <v>0</v>
      </c>
      <c r="AX150" t="n">
        <v>0</v>
      </c>
      <c r="AY150" t="n">
        <v>11.73</v>
      </c>
      <c r="AZ150" t="n">
        <v>0</v>
      </c>
      <c r="BA150" t="n">
        <v>0</v>
      </c>
      <c r="BB150" t="n">
        <v>0</v>
      </c>
      <c r="BC150" t="n">
        <v>0</v>
      </c>
      <c r="BD150" t="inlineStr">
        <is>
          <t>047.530.509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155</v>
      </c>
      <c r="BS150" t="n">
        <v>2041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3</v>
      </c>
      <c r="CD150" t="n">
        <v>50</v>
      </c>
    </row>
    <row r="151">
      <c r="A151" t="inlineStr"/>
      <c r="B151" t="inlineStr">
        <is>
          <t>61MuleGreenWest</t>
        </is>
      </c>
      <c r="C151" t="n">
        <v>2</v>
      </c>
      <c r="D151" t="n">
        <v>60</v>
      </c>
      <c r="E151" t="n">
        <v>60</v>
      </c>
      <c r="F151" t="n">
        <v>80</v>
      </c>
      <c r="G151" t="n">
        <v>12.719165</v>
      </c>
      <c r="H151" t="n">
        <v>45.591837</v>
      </c>
      <c r="I151" t="n">
        <v>12.719165</v>
      </c>
      <c r="J151" t="n">
        <v>44.439019</v>
      </c>
      <c r="K151" t="n">
        <v>12.719165</v>
      </c>
      <c r="L151" t="n">
        <v>47.48965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/>
      <c r="B152" t="inlineStr">
        <is>
          <t>62MulePurpleEast</t>
        </is>
      </c>
      <c r="C152" t="n">
        <v>2</v>
      </c>
      <c r="D152" t="n">
        <v>60</v>
      </c>
      <c r="E152" t="n">
        <v>60</v>
      </c>
      <c r="F152" t="n">
        <v>80</v>
      </c>
      <c r="G152" t="n">
        <v>6.489081</v>
      </c>
      <c r="H152" t="n">
        <v>19.708673</v>
      </c>
      <c r="I152" t="n">
        <v>6.489081</v>
      </c>
      <c r="J152" t="n">
        <v>19.611317</v>
      </c>
      <c r="K152" t="n">
        <v>6.489081</v>
      </c>
      <c r="L152" t="n">
        <v>20.0214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/>
      <c r="B153" t="inlineStr">
        <is>
          <t>63MuleRedSouth</t>
        </is>
      </c>
      <c r="C153" t="n">
        <v>2</v>
      </c>
      <c r="D153" t="n">
        <v>60</v>
      </c>
      <c r="E153" t="n">
        <v>60</v>
      </c>
      <c r="F153" t="n">
        <v>80</v>
      </c>
      <c r="G153" t="n">
        <v>23.618418</v>
      </c>
      <c r="H153" t="n">
        <v>85.383087</v>
      </c>
      <c r="I153" t="n">
        <v>23.618418</v>
      </c>
      <c r="J153" t="n">
        <v>84.720348</v>
      </c>
      <c r="K153" t="n">
        <v>23.618418</v>
      </c>
      <c r="L153" t="n">
        <v>88.229585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/>
      <c r="B154" t="inlineStr">
        <is>
          <t>64Rte</t>
        </is>
      </c>
      <c r="C154" t="n">
        <v>86</v>
      </c>
      <c r="D154" t="inlineStr">
        <is>
          <t>Smyrna</t>
        </is>
      </c>
      <c r="E154" t="inlineStr">
        <is>
          <t>Lavergne</t>
        </is>
      </c>
      <c r="F154" t="inlineStr">
        <is>
          <t>Ex</t>
        </is>
      </c>
      <c r="G154" t="n">
        <v>6</v>
      </c>
      <c r="H154" t="n">
        <v>90</v>
      </c>
      <c r="I154" t="n">
        <v>72</v>
      </c>
      <c r="J154" t="n">
        <v>60</v>
      </c>
      <c r="K154" t="n">
        <v>86</v>
      </c>
      <c r="L154" t="n">
        <v>21.568453</v>
      </c>
      <c r="M154" t="n">
        <v>73.593023</v>
      </c>
      <c r="N154" t="n">
        <v>21.568453</v>
      </c>
      <c r="O154" t="n">
        <v>60.463957</v>
      </c>
      <c r="P154" t="n">
        <v>21.568453</v>
      </c>
      <c r="Q154" t="n">
        <v>96.41125099999999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</v>
      </c>
    </row>
    <row r="155">
      <c r="A155" t="inlineStr"/>
      <c r="B155" t="inlineStr">
        <is>
          <t>65MuleBlueSB</t>
        </is>
      </c>
      <c r="C155" t="n">
        <v>2</v>
      </c>
      <c r="D155" t="n">
        <v>60</v>
      </c>
      <c r="E155" t="n">
        <v>60</v>
      </c>
      <c r="F155" t="n">
        <v>80</v>
      </c>
      <c r="G155" t="n">
        <v>28.016487</v>
      </c>
      <c r="H155" t="n">
        <v>73.82155899999999</v>
      </c>
      <c r="I155" t="n">
        <v>28.016487</v>
      </c>
      <c r="J155" t="n">
        <v>72.129785</v>
      </c>
      <c r="K155" t="n">
        <v>28.016487</v>
      </c>
      <c r="L155" t="n">
        <v>77.312011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/>
      <c r="B156" t="inlineStr">
        <is>
          <t>66Rte</t>
        </is>
      </c>
      <c r="C156" t="n">
        <v>84</v>
      </c>
      <c r="D156" t="inlineStr">
        <is>
          <t>Murfreesboro</t>
        </is>
      </c>
      <c r="E156" t="inlineStr">
        <is>
          <t>Expre</t>
        </is>
      </c>
      <c r="F156" t="n">
        <v>6</v>
      </c>
      <c r="G156" t="n">
        <v>90</v>
      </c>
      <c r="H156" t="n">
        <v>72</v>
      </c>
      <c r="I156" t="n">
        <v>60</v>
      </c>
      <c r="J156" t="n">
        <v>84</v>
      </c>
      <c r="K156" t="inlineStr">
        <is>
          <t>34.234398119.037819</t>
        </is>
      </c>
      <c r="L156" t="n">
        <v>34.234398</v>
      </c>
      <c r="M156" t="n">
        <v>98.808976</v>
      </c>
      <c r="N156" t="inlineStr">
        <is>
          <t>34.234398152.317744</t>
        </is>
      </c>
      <c r="O156" t="n">
        <v>0</v>
      </c>
      <c r="P156" t="n">
        <v>0</v>
      </c>
      <c r="Q156" t="n">
        <v>27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14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4</v>
      </c>
      <c r="CA156" t="n">
        <v>56</v>
      </c>
    </row>
    <row r="157">
      <c r="A157" t="inlineStr"/>
      <c r="B157" t="inlineStr">
        <is>
          <t>67Rte</t>
        </is>
      </c>
      <c r="C157" t="n">
        <v>84</v>
      </c>
      <c r="D157" t="inlineStr">
        <is>
          <t>Murfreesboro</t>
        </is>
      </c>
      <c r="E157" t="inlineStr">
        <is>
          <t>Expre</t>
        </is>
      </c>
      <c r="F157" t="n">
        <v>6</v>
      </c>
      <c r="G157" t="n">
        <v>90</v>
      </c>
      <c r="H157" t="n">
        <v>72</v>
      </c>
      <c r="I157" t="n">
        <v>60</v>
      </c>
      <c r="J157" t="n">
        <v>84</v>
      </c>
      <c r="K157" t="inlineStr">
        <is>
          <t>34.042652174.990489</t>
        </is>
      </c>
      <c r="L157" t="inlineStr">
        <is>
          <t>34.042652105.274590</t>
        </is>
      </c>
      <c r="M157" t="inlineStr">
        <is>
          <t>34.042652134.468265</t>
        </is>
      </c>
      <c r="N157" t="n">
        <v>0</v>
      </c>
      <c r="O157" t="n">
        <v>0</v>
      </c>
      <c r="P157" t="n">
        <v>31</v>
      </c>
      <c r="Q157" t="n">
        <v>0</v>
      </c>
      <c r="R157" t="n">
        <v>0</v>
      </c>
      <c r="S157" t="n">
        <v>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3</v>
      </c>
      <c r="BZ157" t="n">
        <v>63</v>
      </c>
      <c r="CA157" t="n">
        <v>71</v>
      </c>
      <c r="CB157" t="n">
        <v>1249</v>
      </c>
    </row>
    <row r="158">
      <c r="A158" t="inlineStr"/>
      <c r="B158" t="inlineStr">
        <is>
          <t>68Rte</t>
        </is>
      </c>
      <c r="C158" t="n">
        <v>86</v>
      </c>
      <c r="D158" t="inlineStr">
        <is>
          <t>Smyrna</t>
        </is>
      </c>
      <c r="E158" t="inlineStr">
        <is>
          <t>Lavergne</t>
        </is>
      </c>
      <c r="F158" t="inlineStr">
        <is>
          <t>Ex</t>
        </is>
      </c>
      <c r="G158" t="n">
        <v>6</v>
      </c>
      <c r="H158" t="n">
        <v>90</v>
      </c>
      <c r="I158" t="n">
        <v>72</v>
      </c>
      <c r="J158" t="n">
        <v>60</v>
      </c>
      <c r="K158" t="n">
        <v>86</v>
      </c>
      <c r="L158" t="inlineStr">
        <is>
          <t>22.668547111.749611</t>
        </is>
      </c>
      <c r="M158" t="n">
        <v>22.668547</v>
      </c>
      <c r="N158" t="n">
        <v>51.761975</v>
      </c>
      <c r="O158" t="n">
        <v>22.668547</v>
      </c>
      <c r="P158" t="n">
        <v>70.62680899999999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2</v>
      </c>
      <c r="CC158" t="n">
        <v>20</v>
      </c>
    </row>
    <row r="159">
      <c r="A159" t="inlineStr"/>
      <c r="B159" t="inlineStr">
        <is>
          <t>69Rte</t>
        </is>
      </c>
      <c r="C159" t="n">
        <v>18</v>
      </c>
      <c r="D159" t="inlineStr">
        <is>
          <t>Airport</t>
        </is>
      </c>
      <c r="E159" t="inlineStr">
        <is>
          <t>Local</t>
        </is>
      </c>
      <c r="F159" t="inlineStr">
        <is>
          <t>OB</t>
        </is>
      </c>
      <c r="G159" t="n">
        <v>1</v>
      </c>
      <c r="H159" t="n">
        <v>45</v>
      </c>
      <c r="I159" t="n">
        <v>45</v>
      </c>
      <c r="J159" t="n">
        <v>60</v>
      </c>
      <c r="K159" t="n">
        <v>110</v>
      </c>
      <c r="L159" t="n">
        <v>18</v>
      </c>
      <c r="M159" t="n">
        <v>8.019690000000001</v>
      </c>
      <c r="N159" t="n">
        <v>32.641737</v>
      </c>
      <c r="O159" t="n">
        <v>8.019690000000001</v>
      </c>
      <c r="P159" t="n">
        <v>32.337568</v>
      </c>
      <c r="Q159" t="n">
        <v>8.019690000000001</v>
      </c>
      <c r="R159" t="n">
        <v>43.745073</v>
      </c>
      <c r="S159" t="n">
        <v>8.019690000000001</v>
      </c>
      <c r="T159" t="n">
        <v>28.647168</v>
      </c>
      <c r="U159" t="inlineStr">
        <is>
          <t>20721.100.683</t>
        </is>
      </c>
      <c r="V159" t="n">
        <v>0</v>
      </c>
      <c r="W159" t="inlineStr">
        <is>
          <t>09.5301.363</t>
        </is>
      </c>
      <c r="X159" t="n">
        <v>0</v>
      </c>
      <c r="Y159" t="n">
        <v>0</v>
      </c>
      <c r="Z159" t="n">
        <v>0.181</v>
      </c>
      <c r="AA159" t="n">
        <v>0</v>
      </c>
      <c r="AB159" t="n">
        <v>0</v>
      </c>
      <c r="AC159" t="n">
        <v>0</v>
      </c>
      <c r="AD159" t="n">
        <v>0</v>
      </c>
      <c r="AE159" t="n">
        <v>80.81999999999999</v>
      </c>
      <c r="AF159" t="n">
        <v>0</v>
      </c>
      <c r="AG159" t="n">
        <v>0</v>
      </c>
      <c r="AH159" t="n">
        <v>0</v>
      </c>
      <c r="AI159" t="n">
        <v>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010.580.095</t>
        </is>
      </c>
      <c r="AS159" t="n">
        <v>0</v>
      </c>
      <c r="AT159" t="n">
        <v>8.648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50.4</v>
      </c>
      <c r="BE159" t="n">
        <v>0</v>
      </c>
      <c r="BF159" t="n">
        <v>0</v>
      </c>
      <c r="BG159" t="n">
        <v>0</v>
      </c>
      <c r="BH159" t="n">
        <v>14.9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35</v>
      </c>
      <c r="BS159" t="n">
        <v>474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</row>
    <row r="160">
      <c r="A160" t="inlineStr"/>
      <c r="B160" t="inlineStr">
        <is>
          <t>70Rte</t>
        </is>
      </c>
      <c r="C160" t="n">
        <v>18</v>
      </c>
      <c r="D160" t="inlineStr">
        <is>
          <t>Airport</t>
        </is>
      </c>
      <c r="E160" t="inlineStr">
        <is>
          <t>Local</t>
        </is>
      </c>
      <c r="F160" t="inlineStr">
        <is>
          <t>IB</t>
        </is>
      </c>
      <c r="G160" t="n">
        <v>1</v>
      </c>
      <c r="H160" t="n">
        <v>45</v>
      </c>
      <c r="I160" t="n">
        <v>45</v>
      </c>
      <c r="J160" t="n">
        <v>60</v>
      </c>
      <c r="K160" t="n">
        <v>110</v>
      </c>
      <c r="L160" t="n">
        <v>18</v>
      </c>
      <c r="M160" t="n">
        <v>8.178722</v>
      </c>
      <c r="N160" t="n">
        <v>47.349652</v>
      </c>
      <c r="O160" t="n">
        <v>8.178722</v>
      </c>
      <c r="P160" t="n">
        <v>34.892073</v>
      </c>
      <c r="Q160" t="n">
        <v>8.178722</v>
      </c>
      <c r="R160" t="n">
        <v>37.459165</v>
      </c>
      <c r="S160" t="n">
        <v>8.178722</v>
      </c>
      <c r="T160" t="n">
        <v>29.260903</v>
      </c>
      <c r="U160" t="n">
        <v>19227.9</v>
      </c>
      <c r="V160" t="n">
        <v>0</v>
      </c>
      <c r="W160" t="n">
        <v>0</v>
      </c>
      <c r="X160" t="n">
        <v>0</v>
      </c>
      <c r="Y160" t="n">
        <v>26.54</v>
      </c>
      <c r="Z160" t="n">
        <v>0</v>
      </c>
      <c r="AA160" t="n">
        <v>0</v>
      </c>
      <c r="AB160" t="n">
        <v>32.72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045.490.181</t>
        </is>
      </c>
      <c r="AH160" t="n">
        <v>0</v>
      </c>
      <c r="AI160" t="n">
        <v>0</v>
      </c>
      <c r="AJ160" t="n">
        <v>35.09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11.14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12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43</v>
      </c>
      <c r="BW160" t="n">
        <v>449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inlineStr"/>
      <c r="B161" t="inlineStr">
        <is>
          <t>71Rte</t>
        </is>
      </c>
      <c r="C161" t="n">
        <v>95</v>
      </c>
      <c r="D161" t="inlineStr">
        <is>
          <t>Spring</t>
        </is>
      </c>
      <c r="E161" t="inlineStr">
        <is>
          <t>Hill</t>
        </is>
      </c>
      <c r="F161" t="inlineStr">
        <is>
          <t>Exp</t>
        </is>
      </c>
      <c r="G161" t="inlineStr">
        <is>
          <t>OB</t>
        </is>
      </c>
      <c r="H161" t="n">
        <v>6</v>
      </c>
      <c r="I161" t="n">
        <v>40</v>
      </c>
      <c r="J161" t="n">
        <v>95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41.064507178.238045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</row>
    <row r="162">
      <c r="A162" t="inlineStr"/>
      <c r="B162" t="inlineStr">
        <is>
          <t>72Rte</t>
        </is>
      </c>
      <c r="C162" t="n">
        <v>95</v>
      </c>
      <c r="D162" t="inlineStr">
        <is>
          <t>Spring</t>
        </is>
      </c>
      <c r="E162" t="inlineStr">
        <is>
          <t>Hill</t>
        </is>
      </c>
      <c r="F162" t="inlineStr">
        <is>
          <t>Exp</t>
        </is>
      </c>
      <c r="G162" t="inlineStr">
        <is>
          <t>IB</t>
        </is>
      </c>
      <c r="H162" t="n">
        <v>6</v>
      </c>
      <c r="I162" t="n">
        <v>45</v>
      </c>
      <c r="J162" t="n">
        <v>95</v>
      </c>
      <c r="K162" t="inlineStr">
        <is>
          <t>42.158466169.090264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inlineStr"/>
      <c r="B163" t="inlineStr">
        <is>
          <t>73Rte</t>
        </is>
      </c>
      <c r="C163" t="n">
        <v>6</v>
      </c>
      <c r="D163" t="inlineStr">
        <is>
          <t>Lebanon</t>
        </is>
      </c>
      <c r="E163" t="inlineStr">
        <is>
          <t>Rd</t>
        </is>
      </c>
      <c r="F163" t="inlineStr">
        <is>
          <t>OB</t>
        </is>
      </c>
      <c r="G163" t="n">
        <v>1</v>
      </c>
      <c r="H163" t="n">
        <v>36</v>
      </c>
      <c r="I163" t="n">
        <v>45</v>
      </c>
      <c r="J163" t="n">
        <v>30</v>
      </c>
      <c r="K163" t="n">
        <v>83</v>
      </c>
      <c r="L163" t="n">
        <v>6</v>
      </c>
      <c r="M163" t="n">
        <v>16.01181</v>
      </c>
      <c r="N163" t="n">
        <v>64.650768</v>
      </c>
      <c r="O163" t="n">
        <v>16.01181</v>
      </c>
      <c r="P163" t="n">
        <v>64.416642</v>
      </c>
      <c r="Q163" t="inlineStr">
        <is>
          <t>16.011810102.459490</t>
        </is>
      </c>
      <c r="R163" t="n">
        <v>16.01181</v>
      </c>
      <c r="S163" t="n">
        <v>56.205622</v>
      </c>
      <c r="T163" t="n">
        <v>24110.81</v>
      </c>
      <c r="U163" t="n">
        <v>0</v>
      </c>
      <c r="V163" t="n">
        <v>0</v>
      </c>
      <c r="W163" t="n">
        <v>0</v>
      </c>
      <c r="X163" t="n">
        <v>17</v>
      </c>
      <c r="Y163" t="n">
        <v>0</v>
      </c>
      <c r="Z163" t="n">
        <v>0</v>
      </c>
      <c r="AA163" t="n">
        <v>0</v>
      </c>
      <c r="AB163" t="n">
        <v>95.5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030.770.181</t>
        </is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inlineStr">
        <is>
          <t>042.420.440</t>
        </is>
      </c>
      <c r="AT163" t="n">
        <v>0</v>
      </c>
      <c r="AU163" t="n">
        <v>25.93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15.46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65</v>
      </c>
      <c r="BU163" t="n">
        <v>710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</row>
    <row r="164">
      <c r="A164" t="inlineStr"/>
      <c r="B164" t="inlineStr">
        <is>
          <t>74Rte</t>
        </is>
      </c>
      <c r="C164" t="n">
        <v>6</v>
      </c>
      <c r="D164" t="inlineStr">
        <is>
          <t>Lebanon</t>
        </is>
      </c>
      <c r="E164" t="inlineStr">
        <is>
          <t>Rd</t>
        </is>
      </c>
      <c r="F164" t="inlineStr">
        <is>
          <t>IB</t>
        </is>
      </c>
      <c r="G164" t="n">
        <v>1</v>
      </c>
      <c r="H164" t="n">
        <v>36</v>
      </c>
      <c r="I164" t="n">
        <v>45</v>
      </c>
      <c r="J164" t="n">
        <v>30</v>
      </c>
      <c r="K164" t="n">
        <v>83</v>
      </c>
      <c r="L164" t="n">
        <v>6</v>
      </c>
      <c r="M164" t="inlineStr">
        <is>
          <t>17.163448120.071672</t>
        </is>
      </c>
      <c r="N164" t="n">
        <v>17.163448</v>
      </c>
      <c r="O164" t="n">
        <v>74.319087</v>
      </c>
      <c r="P164" t="n">
        <v>17.163448</v>
      </c>
      <c r="Q164" t="n">
        <v>76.148096</v>
      </c>
      <c r="R164" t="n">
        <v>17.163448</v>
      </c>
      <c r="S164" t="n">
        <v>60.145188</v>
      </c>
      <c r="T164" t="n">
        <v>27830.83</v>
      </c>
      <c r="U164" t="n">
        <v>0</v>
      </c>
      <c r="V164" t="n">
        <v>0</v>
      </c>
      <c r="W164" t="n">
        <v>23.09</v>
      </c>
      <c r="X164" t="n">
        <v>1</v>
      </c>
      <c r="Y164" t="n">
        <v>0</v>
      </c>
      <c r="Z164" t="n">
        <v>0</v>
      </c>
      <c r="AA164" t="n">
        <v>0.5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039.320.213</t>
        </is>
      </c>
      <c r="AG164" t="n">
        <v>0</v>
      </c>
      <c r="AH164" t="n">
        <v>0</v>
      </c>
      <c r="AI164" t="n">
        <v>0.5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049.070.466</t>
        </is>
      </c>
      <c r="AS164" t="n">
        <v>0</v>
      </c>
      <c r="AT164" t="inlineStr">
        <is>
          <t>099.701.204</t>
        </is>
      </c>
      <c r="AU164" t="n">
        <v>0</v>
      </c>
      <c r="AV164" t="n">
        <v>0</v>
      </c>
      <c r="AW164" t="n">
        <v>26.4</v>
      </c>
      <c r="AX164" t="n">
        <v>0</v>
      </c>
      <c r="AY164" t="n">
        <v>0</v>
      </c>
      <c r="AZ164" t="n">
        <v>0</v>
      </c>
      <c r="BA164" t="n">
        <v>0</v>
      </c>
      <c r="BB164" t="n">
        <v>5.783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60</v>
      </c>
      <c r="BR164" t="n">
        <v>677</v>
      </c>
    </row>
    <row r="165">
      <c r="A165" t="inlineStr"/>
      <c r="B165" t="inlineStr">
        <is>
          <t>75Rte</t>
        </is>
      </c>
      <c r="C165" t="n">
        <v>56</v>
      </c>
      <c r="D165" t="inlineStr">
        <is>
          <t>Gallatin</t>
        </is>
      </c>
      <c r="E165" t="inlineStr">
        <is>
          <t>Rd</t>
        </is>
      </c>
      <c r="F165" t="inlineStr">
        <is>
          <t>IB</t>
        </is>
      </c>
      <c r="G165" t="n">
        <v>1</v>
      </c>
      <c r="H165" t="n">
        <v>10</v>
      </c>
      <c r="I165" t="n">
        <v>10</v>
      </c>
      <c r="J165" t="n">
        <v>12</v>
      </c>
      <c r="K165" t="n">
        <v>30</v>
      </c>
      <c r="L165" t="n">
        <v>56</v>
      </c>
      <c r="M165" t="n">
        <v>11.946568</v>
      </c>
      <c r="N165" t="n">
        <v>73.054446</v>
      </c>
      <c r="O165" t="n">
        <v>11.946568</v>
      </c>
      <c r="P165" t="n">
        <v>55.509088</v>
      </c>
      <c r="Q165" t="n">
        <v>11.946568</v>
      </c>
      <c r="R165" t="n">
        <v>51.244442</v>
      </c>
      <c r="S165" t="n">
        <v>11.946568</v>
      </c>
      <c r="T165" t="n">
        <v>42.132834</v>
      </c>
      <c r="U165" t="inlineStr">
        <is>
          <t>1449418.70.500</t>
        </is>
      </c>
      <c r="V165" t="n">
        <v>1</v>
      </c>
      <c r="W165" t="n">
        <v>0</v>
      </c>
      <c r="X165" t="n">
        <v>0</v>
      </c>
      <c r="Y165" t="n">
        <v>16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0543.40.500</t>
        </is>
      </c>
      <c r="AI165" t="n">
        <v>0</v>
      </c>
      <c r="AJ165" t="n">
        <v>0</v>
      </c>
      <c r="AK165" t="n">
        <v>0</v>
      </c>
      <c r="AL165" t="n">
        <v>26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376</v>
      </c>
      <c r="AV165" t="n">
        <v>1</v>
      </c>
      <c r="AW165" t="n">
        <v>0</v>
      </c>
      <c r="AX165" t="n">
        <v>0</v>
      </c>
      <c r="AY165" t="n">
        <v>13.739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60.92</v>
      </c>
      <c r="BI165" t="n">
        <v>0</v>
      </c>
      <c r="BJ165" t="n">
        <v>0</v>
      </c>
      <c r="BK165" t="n">
        <v>0</v>
      </c>
      <c r="BL165" t="n">
        <v>0.5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357</v>
      </c>
      <c r="BW165" t="n">
        <v>4279</v>
      </c>
    </row>
    <row r="166">
      <c r="A166" t="inlineStr"/>
      <c r="B166" t="inlineStr">
        <is>
          <t>76Rte</t>
        </is>
      </c>
      <c r="C166" t="n">
        <v>28</v>
      </c>
      <c r="D166" t="inlineStr">
        <is>
          <t>Meridian</t>
        </is>
      </c>
      <c r="E166" t="inlineStr">
        <is>
          <t>OB</t>
        </is>
      </c>
      <c r="F166" t="n">
        <v>1</v>
      </c>
      <c r="G166" t="n">
        <v>36</v>
      </c>
      <c r="H166" t="n">
        <v>51</v>
      </c>
      <c r="I166" t="n">
        <v>34</v>
      </c>
      <c r="J166" t="n">
        <v>132</v>
      </c>
      <c r="K166" t="n">
        <v>28</v>
      </c>
      <c r="L166" t="n">
        <v>5.198937</v>
      </c>
      <c r="M166" t="n">
        <v>18.626981</v>
      </c>
      <c r="N166" t="n">
        <v>5.198937</v>
      </c>
      <c r="O166" t="n">
        <v>19.183785</v>
      </c>
      <c r="P166" t="n">
        <v>5.198937</v>
      </c>
      <c r="Q166" t="n">
        <v>22.281361</v>
      </c>
      <c r="R166" t="n">
        <v>5.198937</v>
      </c>
      <c r="S166" t="n">
        <v>18.287709</v>
      </c>
      <c r="T166" t="n">
        <v>4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6</v>
      </c>
    </row>
    <row r="167">
      <c r="A167" t="inlineStr"/>
      <c r="B167" t="inlineStr">
        <is>
          <t>77Rte</t>
        </is>
      </c>
      <c r="C167" t="n">
        <v>56</v>
      </c>
      <c r="D167" t="inlineStr">
        <is>
          <t>Gallatin</t>
        </is>
      </c>
      <c r="E167" t="inlineStr">
        <is>
          <t>Rd</t>
        </is>
      </c>
      <c r="F167" t="inlineStr">
        <is>
          <t>oB</t>
        </is>
      </c>
      <c r="G167" t="n">
        <v>1</v>
      </c>
      <c r="H167" t="n">
        <v>10</v>
      </c>
      <c r="I167" t="n">
        <v>10</v>
      </c>
      <c r="J167" t="n">
        <v>12</v>
      </c>
      <c r="K167" t="n">
        <v>30</v>
      </c>
      <c r="L167" t="n">
        <v>56</v>
      </c>
      <c r="M167" t="n">
        <v>11.925564</v>
      </c>
      <c r="N167" t="n">
        <v>45.547823</v>
      </c>
      <c r="O167" t="n">
        <v>11.925564</v>
      </c>
      <c r="P167" t="n">
        <v>50.924632</v>
      </c>
      <c r="Q167" t="n">
        <v>11.925564</v>
      </c>
      <c r="R167" t="n">
        <v>69.21284199999999</v>
      </c>
      <c r="S167" t="n">
        <v>11.925564</v>
      </c>
      <c r="T167" t="n">
        <v>43.238981</v>
      </c>
      <c r="U167" t="inlineStr">
        <is>
          <t>1726283.68.651</t>
        </is>
      </c>
      <c r="V167" t="n">
        <v>0</v>
      </c>
      <c r="W167" t="inlineStr">
        <is>
          <t>07.7823.782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0558.923.98</t>
        </is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0593.520.35</t>
        </is>
      </c>
      <c r="AT167" t="n">
        <v>0</v>
      </c>
      <c r="AU167" t="inlineStr">
        <is>
          <t>025.8420.71</t>
        </is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0172.12.477</t>
        </is>
      </c>
      <c r="BE167" t="n">
        <v>0</v>
      </c>
      <c r="BF167" t="n">
        <v>0</v>
      </c>
      <c r="BG167" t="n">
        <v>4.5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414</v>
      </c>
      <c r="BR167" t="n">
        <v>5222</v>
      </c>
      <c r="BS167" t="n">
        <v>535</v>
      </c>
    </row>
    <row r="168">
      <c r="A168" t="inlineStr"/>
      <c r="B168" t="inlineStr">
        <is>
          <t>78Rte</t>
        </is>
      </c>
      <c r="C168" t="n">
        <v>18</v>
      </c>
      <c r="D168" t="inlineStr">
        <is>
          <t>Airport</t>
        </is>
      </c>
      <c r="E168" t="inlineStr">
        <is>
          <t>Exp</t>
        </is>
      </c>
      <c r="F168" t="inlineStr">
        <is>
          <t>IB</t>
        </is>
      </c>
      <c r="G168" t="n">
        <v>6</v>
      </c>
      <c r="H168" t="n">
        <v>60</v>
      </c>
      <c r="I168" t="n">
        <v>120</v>
      </c>
      <c r="J168" t="n">
        <v>18</v>
      </c>
      <c r="K168" t="n">
        <v>0</v>
      </c>
      <c r="L168" t="n">
        <v>0</v>
      </c>
      <c r="M168" t="n">
        <v>0</v>
      </c>
      <c r="N168" t="n">
        <v>0</v>
      </c>
      <c r="O168" t="n">
        <v>8.089238</v>
      </c>
      <c r="P168" t="n">
        <v>26.141972</v>
      </c>
      <c r="Q168" t="n">
        <v>8.089238</v>
      </c>
      <c r="R168" t="n">
        <v>18.669735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8</v>
      </c>
    </row>
    <row r="169">
      <c r="A169" t="inlineStr"/>
      <c r="B169" t="inlineStr">
        <is>
          <t>79Rte</t>
        </is>
      </c>
      <c r="C169" t="n">
        <v>34</v>
      </c>
      <c r="D169" t="inlineStr">
        <is>
          <t>Opry</t>
        </is>
      </c>
      <c r="E169" t="inlineStr">
        <is>
          <t>Mills</t>
        </is>
      </c>
      <c r="F169" t="inlineStr">
        <is>
          <t>IB</t>
        </is>
      </c>
      <c r="G169" t="n">
        <v>1</v>
      </c>
      <c r="H169" t="n">
        <v>60</v>
      </c>
      <c r="I169" t="n">
        <v>60</v>
      </c>
      <c r="J169" t="n">
        <v>60</v>
      </c>
      <c r="K169" t="n">
        <v>165</v>
      </c>
      <c r="L169" t="n">
        <v>34</v>
      </c>
      <c r="M169" t="n">
        <v>11.822083</v>
      </c>
      <c r="N169" t="n">
        <v>54.134911</v>
      </c>
      <c r="O169" t="n">
        <v>11.822083</v>
      </c>
      <c r="P169" t="n">
        <v>45.722265</v>
      </c>
      <c r="Q169" t="n">
        <v>11.822083</v>
      </c>
      <c r="R169" t="n">
        <v>45.809184</v>
      </c>
      <c r="S169" t="n">
        <v>11.822083</v>
      </c>
      <c r="T169" t="n">
        <v>40.523869</v>
      </c>
      <c r="U169" t="n">
        <v>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2.651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1.666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2</v>
      </c>
      <c r="CB169" t="n">
        <v>37</v>
      </c>
    </row>
    <row r="170">
      <c r="A170" t="inlineStr"/>
      <c r="B170" t="inlineStr">
        <is>
          <t>80Rte</t>
        </is>
      </c>
      <c r="C170" t="n">
        <v>56</v>
      </c>
      <c r="D170" t="inlineStr">
        <is>
          <t>Gallatin</t>
        </is>
      </c>
      <c r="E170" t="inlineStr">
        <is>
          <t>Rd</t>
        </is>
      </c>
      <c r="F170" t="inlineStr">
        <is>
          <t>BRTmix</t>
        </is>
      </c>
      <c r="G170" t="n">
        <v>8</v>
      </c>
      <c r="H170" t="n">
        <v>10</v>
      </c>
      <c r="I170" t="n">
        <v>10</v>
      </c>
      <c r="J170" t="n">
        <v>10</v>
      </c>
      <c r="K170" t="n">
        <v>30</v>
      </c>
      <c r="L170" t="n">
        <v>56</v>
      </c>
      <c r="M170" t="n">
        <v>11.634682</v>
      </c>
      <c r="N170" t="n">
        <v>39.148349</v>
      </c>
      <c r="O170" t="n">
        <v>11.634682</v>
      </c>
      <c r="P170" t="n">
        <v>44.225495</v>
      </c>
      <c r="Q170" t="n">
        <v>11.634682</v>
      </c>
      <c r="R170" t="n">
        <v>61.580741</v>
      </c>
      <c r="S170" t="n">
        <v>11.634682</v>
      </c>
      <c r="T170" t="n">
        <v>36.791105</v>
      </c>
      <c r="U170" t="n">
        <v>172</v>
      </c>
      <c r="V170" t="n">
        <v>12.84</v>
      </c>
      <c r="W170" t="n">
        <v>0</v>
      </c>
      <c r="X170" t="n">
        <v>2.217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55.51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71.31</v>
      </c>
      <c r="AX170" t="n">
        <v>0</v>
      </c>
      <c r="AY170" t="n">
        <v>17.94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12.52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74</v>
      </c>
      <c r="BY170" t="n">
        <v>1055</v>
      </c>
      <c r="BZ170" t="n">
        <v>481</v>
      </c>
      <c r="CA170" t="n">
        <v>7480</v>
      </c>
    </row>
    <row r="171">
      <c r="A171" t="inlineStr"/>
      <c r="B171" t="inlineStr">
        <is>
          <t>81Rte</t>
        </is>
      </c>
      <c r="C171" t="n">
        <v>56</v>
      </c>
      <c r="D171" t="inlineStr">
        <is>
          <t>Gallatin</t>
        </is>
      </c>
      <c r="E171" t="inlineStr">
        <is>
          <t>Rd</t>
        </is>
      </c>
      <c r="F171" t="inlineStr">
        <is>
          <t>BRTmix</t>
        </is>
      </c>
      <c r="G171" t="n">
        <v>8</v>
      </c>
      <c r="H171" t="n">
        <v>10</v>
      </c>
      <c r="I171" t="n">
        <v>10</v>
      </c>
      <c r="J171" t="n">
        <v>10</v>
      </c>
      <c r="K171" t="n">
        <v>30</v>
      </c>
      <c r="L171" t="n">
        <v>56</v>
      </c>
      <c r="M171" t="n">
        <v>11.738973</v>
      </c>
      <c r="N171" t="n">
        <v>61.127067</v>
      </c>
      <c r="O171" t="n">
        <v>11.738973</v>
      </c>
      <c r="P171" t="n">
        <v>45.048191</v>
      </c>
      <c r="Q171" t="n">
        <v>11.738973</v>
      </c>
      <c r="R171" t="n">
        <v>41.445664</v>
      </c>
      <c r="S171" t="n">
        <v>11.738973</v>
      </c>
      <c r="T171" t="n">
        <v>32.721545</v>
      </c>
      <c r="U171" t="n">
        <v>517</v>
      </c>
      <c r="V171" t="n">
        <v>160.5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174.5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145.3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37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153</v>
      </c>
      <c r="CB171" t="n">
        <v>2172</v>
      </c>
    </row>
    <row r="172">
      <c r="A172" t="inlineStr"/>
      <c r="B172" t="inlineStr">
        <is>
          <t>82Rte</t>
        </is>
      </c>
      <c r="C172" t="n">
        <v>89</v>
      </c>
      <c r="D172" t="inlineStr">
        <is>
          <t>Sprgfield/Joelton</t>
        </is>
      </c>
      <c r="E172" t="n">
        <v>6</v>
      </c>
      <c r="F172" t="n">
        <v>90</v>
      </c>
      <c r="G172" t="n">
        <v>89</v>
      </c>
      <c r="H172" t="inlineStr">
        <is>
          <t>31.743933114.910523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17</v>
      </c>
    </row>
    <row r="173">
      <c r="A173" t="inlineStr"/>
      <c r="B173" t="inlineStr">
        <is>
          <t>83Rte</t>
        </is>
      </c>
      <c r="C173" t="n">
        <v>41</v>
      </c>
      <c r="D173" t="inlineStr">
        <is>
          <t>Golden</t>
        </is>
      </c>
      <c r="E173" t="inlineStr">
        <is>
          <t>Valley</t>
        </is>
      </c>
      <c r="F173" t="inlineStr">
        <is>
          <t>IB</t>
        </is>
      </c>
      <c r="G173" t="inlineStr">
        <is>
          <t>P</t>
        </is>
      </c>
      <c r="H173" t="n">
        <v>1</v>
      </c>
      <c r="I173" t="n">
        <v>80</v>
      </c>
      <c r="J173" t="n">
        <v>41</v>
      </c>
      <c r="K173" t="n">
        <v>0</v>
      </c>
      <c r="L173" t="n">
        <v>0</v>
      </c>
      <c r="M173" t="n">
        <v>0</v>
      </c>
      <c r="N173" t="n">
        <v>0</v>
      </c>
      <c r="O173" t="n">
        <v>12.388599</v>
      </c>
      <c r="P173" t="n">
        <v>40.681832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11</v>
      </c>
    </row>
    <row r="174">
      <c r="A174" t="inlineStr"/>
      <c r="B174" t="inlineStr">
        <is>
          <t>84Rte</t>
        </is>
      </c>
      <c r="C174" t="n">
        <v>41</v>
      </c>
      <c r="D174" t="inlineStr">
        <is>
          <t>Golden</t>
        </is>
      </c>
      <c r="E174" t="inlineStr">
        <is>
          <t>Valley</t>
        </is>
      </c>
      <c r="F174" t="inlineStr">
        <is>
          <t>OB</t>
        </is>
      </c>
      <c r="G174" t="inlineStr">
        <is>
          <t>A</t>
        </is>
      </c>
      <c r="H174" t="n">
        <v>1</v>
      </c>
      <c r="I174" t="n">
        <v>90</v>
      </c>
      <c r="J174" t="n">
        <v>360</v>
      </c>
      <c r="K174" t="n">
        <v>41</v>
      </c>
      <c r="L174" t="n">
        <v>12.898892</v>
      </c>
      <c r="M174" t="n">
        <v>43.685298</v>
      </c>
      <c r="N174" t="n">
        <v>12.898892</v>
      </c>
      <c r="O174" t="n">
        <v>45.668599</v>
      </c>
      <c r="P174" t="n">
        <v>0</v>
      </c>
      <c r="Q174" t="n">
        <v>0</v>
      </c>
      <c r="R174" t="n">
        <v>0</v>
      </c>
      <c r="S174" t="n">
        <v>0</v>
      </c>
      <c r="T174" t="n">
        <v>50.375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4.427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3</v>
      </c>
      <c r="CB174" t="n">
        <v>59</v>
      </c>
    </row>
    <row r="175">
      <c r="A175" t="inlineStr"/>
      <c r="B175" t="inlineStr">
        <is>
          <t>85Rte</t>
        </is>
      </c>
      <c r="C175" t="n">
        <v>87</v>
      </c>
      <c r="D175" t="inlineStr">
        <is>
          <t>Gallatin</t>
        </is>
      </c>
      <c r="E175" t="inlineStr">
        <is>
          <t>Comm</t>
        </is>
      </c>
      <c r="F175" t="inlineStr">
        <is>
          <t>Bus</t>
        </is>
      </c>
      <c r="G175" t="n">
        <v>7</v>
      </c>
      <c r="H175" t="n">
        <v>40</v>
      </c>
      <c r="I175" t="n">
        <v>87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30.916191113.663795</t>
        </is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3</v>
      </c>
      <c r="CA175" t="n">
        <v>47</v>
      </c>
    </row>
    <row r="176">
      <c r="A176" t="inlineStr"/>
      <c r="B176" t="inlineStr">
        <is>
          <t>86Rte</t>
        </is>
      </c>
      <c r="C176" t="n">
        <v>87</v>
      </c>
      <c r="D176" t="inlineStr">
        <is>
          <t>Gallatin</t>
        </is>
      </c>
      <c r="E176" t="inlineStr">
        <is>
          <t>Comm</t>
        </is>
      </c>
      <c r="F176" t="inlineStr">
        <is>
          <t>Bus</t>
        </is>
      </c>
      <c r="G176" t="n">
        <v>7</v>
      </c>
      <c r="H176" t="n">
        <v>45</v>
      </c>
      <c r="I176" t="n">
        <v>87</v>
      </c>
      <c r="J176" t="inlineStr">
        <is>
          <t>31.107801109.979882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16</v>
      </c>
    </row>
    <row r="177">
      <c r="A177" t="inlineStr"/>
      <c r="B177" t="inlineStr">
        <is>
          <t>87Rte</t>
        </is>
      </c>
      <c r="C177" t="n">
        <v>34</v>
      </c>
      <c r="D177" t="inlineStr">
        <is>
          <t>Opry</t>
        </is>
      </c>
      <c r="E177" t="inlineStr">
        <is>
          <t>Mills</t>
        </is>
      </c>
      <c r="F177" t="inlineStr">
        <is>
          <t>OB</t>
        </is>
      </c>
      <c r="G177" t="n">
        <v>1</v>
      </c>
      <c r="H177" t="n">
        <v>60</v>
      </c>
      <c r="I177" t="n">
        <v>60</v>
      </c>
      <c r="J177" t="n">
        <v>60</v>
      </c>
      <c r="K177" t="n">
        <v>165</v>
      </c>
      <c r="L177" t="n">
        <v>34</v>
      </c>
      <c r="M177" t="n">
        <v>11.614408</v>
      </c>
      <c r="N177" t="n">
        <v>41.377908</v>
      </c>
      <c r="O177" t="n">
        <v>11.614408</v>
      </c>
      <c r="P177" t="n">
        <v>42.421575</v>
      </c>
      <c r="Q177" t="n">
        <v>11.614408</v>
      </c>
      <c r="R177" t="n">
        <v>49.860856</v>
      </c>
      <c r="S177" t="n">
        <v>11.614408</v>
      </c>
      <c r="T177" t="n">
        <v>38.161681</v>
      </c>
      <c r="U177" t="n">
        <v>300.571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2.271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3.882</v>
      </c>
      <c r="AX177" t="n">
        <v>0</v>
      </c>
      <c r="AY177" t="n">
        <v>0</v>
      </c>
      <c r="AZ177" t="n">
        <v>0.401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22.47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4</v>
      </c>
      <c r="BZ177" t="n">
        <v>65</v>
      </c>
    </row>
    <row r="178">
      <c r="A178" t="inlineStr"/>
      <c r="B178" t="inlineStr">
        <is>
          <t>88Rte</t>
        </is>
      </c>
      <c r="C178" t="n">
        <v>77</v>
      </c>
      <c r="D178" t="inlineStr">
        <is>
          <t>THOMPSON</t>
        </is>
      </c>
      <c r="E178" t="inlineStr">
        <is>
          <t>-</t>
        </is>
      </c>
      <c r="F178" t="inlineStr">
        <is>
          <t>WEDGEWO</t>
        </is>
      </c>
      <c r="G178" t="n">
        <v>1</v>
      </c>
      <c r="H178" t="n">
        <v>60</v>
      </c>
      <c r="I178" t="n">
        <v>60</v>
      </c>
      <c r="J178" t="n">
        <v>60</v>
      </c>
      <c r="K178" t="n">
        <v>165</v>
      </c>
      <c r="L178" t="n">
        <v>77</v>
      </c>
      <c r="M178" t="n">
        <v>9.679456</v>
      </c>
      <c r="N178" t="n">
        <v>46.290484</v>
      </c>
      <c r="O178" t="n">
        <v>9.679456</v>
      </c>
      <c r="P178" t="n">
        <v>42.703094</v>
      </c>
      <c r="Q178" t="n">
        <v>9.679456</v>
      </c>
      <c r="R178" t="n">
        <v>47.451391</v>
      </c>
      <c r="S178" t="n">
        <v>9.679456</v>
      </c>
      <c r="T178" t="n">
        <v>37.513362</v>
      </c>
      <c r="U178" t="n">
        <v>38111.4</v>
      </c>
      <c r="V178" t="n">
        <v>0</v>
      </c>
      <c r="W178" t="n">
        <v>0</v>
      </c>
      <c r="X178" t="n">
        <v>0</v>
      </c>
      <c r="Y178" t="n">
        <v>0.277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87.45</v>
      </c>
      <c r="AI178" t="n">
        <v>0</v>
      </c>
      <c r="AJ178" t="n">
        <v>0</v>
      </c>
      <c r="AK178" t="n">
        <v>0</v>
      </c>
      <c r="AL178" t="n">
        <v>0.302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20.07</v>
      </c>
      <c r="AV178" t="n">
        <v>0</v>
      </c>
      <c r="AW178" t="n">
        <v>0</v>
      </c>
      <c r="AX178" t="inlineStr">
        <is>
          <t>00.166105.9</t>
        </is>
      </c>
      <c r="AY178" t="n">
        <v>0</v>
      </c>
      <c r="AZ178" t="n">
        <v>0</v>
      </c>
      <c r="BA178" t="n">
        <v>35.85</v>
      </c>
      <c r="BB178" t="n">
        <v>0</v>
      </c>
      <c r="BC178" t="n">
        <v>0</v>
      </c>
      <c r="BD178" t="n">
        <v>0</v>
      </c>
      <c r="BE178" t="n">
        <v>0</v>
      </c>
      <c r="BF178" t="n">
        <v>101.9</v>
      </c>
      <c r="BG178" t="n">
        <v>0</v>
      </c>
      <c r="BH178" t="n">
        <v>0</v>
      </c>
      <c r="BI178" t="n">
        <v>0</v>
      </c>
      <c r="BJ178" t="n">
        <v>17.58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61</v>
      </c>
      <c r="BU178" t="n">
        <v>761</v>
      </c>
    </row>
    <row r="179">
      <c r="A179" t="inlineStr"/>
      <c r="B179" t="inlineStr">
        <is>
          <t>89Rte</t>
        </is>
      </c>
      <c r="C179" t="n">
        <v>77</v>
      </c>
      <c r="D179" t="inlineStr">
        <is>
          <t>THOMPSON</t>
        </is>
      </c>
      <c r="E179" t="inlineStr">
        <is>
          <t>-</t>
        </is>
      </c>
      <c r="F179" t="inlineStr">
        <is>
          <t>WEDGEWO</t>
        </is>
      </c>
      <c r="G179" t="n">
        <v>1</v>
      </c>
      <c r="H179" t="n">
        <v>60</v>
      </c>
      <c r="I179" t="n">
        <v>60</v>
      </c>
      <c r="J179" t="n">
        <v>60</v>
      </c>
      <c r="K179" t="n">
        <v>165</v>
      </c>
      <c r="L179" t="n">
        <v>77</v>
      </c>
      <c r="M179" t="n">
        <v>15.916506</v>
      </c>
      <c r="N179" t="n">
        <v>44.827002</v>
      </c>
      <c r="O179" t="n">
        <v>15.916506</v>
      </c>
      <c r="P179" t="n">
        <v>40.939002</v>
      </c>
      <c r="Q179" t="n">
        <v>15.916506</v>
      </c>
      <c r="R179" t="n">
        <v>45.070418</v>
      </c>
      <c r="S179" t="n">
        <v>15.916506</v>
      </c>
      <c r="T179" t="n">
        <v>36.229148</v>
      </c>
      <c r="U179" t="n">
        <v>5117.539</v>
      </c>
      <c r="V179" t="n">
        <v>0</v>
      </c>
      <c r="W179" t="n">
        <v>0</v>
      </c>
      <c r="X179" t="n">
        <v>0</v>
      </c>
      <c r="Y179" t="n">
        <v>72.87</v>
      </c>
      <c r="Z179" t="n">
        <v>0</v>
      </c>
      <c r="AA179" t="n">
        <v>0</v>
      </c>
      <c r="AB179" t="n">
        <v>27.98</v>
      </c>
      <c r="AC179" t="n">
        <v>0</v>
      </c>
      <c r="AD179" t="n">
        <v>0</v>
      </c>
      <c r="AE179" t="n">
        <v>0</v>
      </c>
      <c r="AF179" t="n">
        <v>0</v>
      </c>
      <c r="AG179" t="n">
        <v>58.62</v>
      </c>
      <c r="AH179" t="n">
        <v>0</v>
      </c>
      <c r="AI179" t="n">
        <v>0</v>
      </c>
      <c r="AJ179" t="n">
        <v>0</v>
      </c>
      <c r="AK179" t="n">
        <v>20.55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22.74</v>
      </c>
      <c r="AU179" t="n">
        <v>0</v>
      </c>
      <c r="AV179" t="n">
        <v>0</v>
      </c>
      <c r="AW179" t="n">
        <v>0</v>
      </c>
      <c r="AX179" t="n">
        <v>106.2</v>
      </c>
      <c r="AY179" t="n">
        <v>0</v>
      </c>
      <c r="AZ179" t="n">
        <v>0</v>
      </c>
      <c r="BA179" t="n">
        <v>36.21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0139.90.500</t>
        </is>
      </c>
      <c r="BG179" t="n">
        <v>0</v>
      </c>
      <c r="BH179" t="n">
        <v>0</v>
      </c>
      <c r="BI179" t="n">
        <v>17.58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119</v>
      </c>
      <c r="BT179" t="n">
        <v>1515</v>
      </c>
    </row>
    <row r="180">
      <c r="A180" t="inlineStr"/>
      <c r="B180" t="inlineStr">
        <is>
          <t>90Rte</t>
        </is>
      </c>
      <c r="C180" t="inlineStr">
        <is>
          <t>23B</t>
        </is>
      </c>
      <c r="D180" t="inlineStr">
        <is>
          <t>Dickerson</t>
        </is>
      </c>
      <c r="E180" t="inlineStr">
        <is>
          <t>Loop</t>
        </is>
      </c>
      <c r="F180" t="inlineStr">
        <is>
          <t>OB</t>
        </is>
      </c>
      <c r="G180" t="n">
        <v>1</v>
      </c>
      <c r="H180" t="n">
        <v>12</v>
      </c>
      <c r="I180" t="n">
        <v>10</v>
      </c>
      <c r="J180" t="n">
        <v>15</v>
      </c>
      <c r="K180" t="n">
        <v>30</v>
      </c>
      <c r="L180" t="n">
        <v>23</v>
      </c>
      <c r="M180" t="n">
        <v>5.499177</v>
      </c>
      <c r="N180" t="n">
        <v>18.099397</v>
      </c>
      <c r="O180" t="n">
        <v>5.499177</v>
      </c>
      <c r="P180" t="n">
        <v>18.280297</v>
      </c>
      <c r="Q180" t="n">
        <v>5.499177</v>
      </c>
      <c r="R180" t="n">
        <v>19.491713</v>
      </c>
      <c r="S180" t="n">
        <v>5.499177</v>
      </c>
      <c r="T180" t="n">
        <v>17.810757</v>
      </c>
      <c r="U180" t="n">
        <v>46</v>
      </c>
      <c r="V180" t="n">
        <v>9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15.5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18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2</v>
      </c>
      <c r="CD180" t="n">
        <v>37</v>
      </c>
    </row>
    <row r="181">
      <c r="A181" t="inlineStr"/>
      <c r="B181" t="inlineStr">
        <is>
          <t>91Rte</t>
        </is>
      </c>
      <c r="C181" t="inlineStr">
        <is>
          <t>23B</t>
        </is>
      </c>
      <c r="D181" t="inlineStr">
        <is>
          <t>Dickerson</t>
        </is>
      </c>
      <c r="E181" t="inlineStr">
        <is>
          <t>Loop</t>
        </is>
      </c>
      <c r="F181" t="inlineStr">
        <is>
          <t>IB</t>
        </is>
      </c>
      <c r="G181" t="n">
        <v>1</v>
      </c>
      <c r="H181" t="n">
        <v>12</v>
      </c>
      <c r="I181" t="n">
        <v>10</v>
      </c>
      <c r="J181" t="n">
        <v>15</v>
      </c>
      <c r="K181" t="n">
        <v>30</v>
      </c>
      <c r="L181" t="n">
        <v>23</v>
      </c>
      <c r="M181" t="n">
        <v>5.6436</v>
      </c>
      <c r="N181" t="n">
        <v>20.809265</v>
      </c>
      <c r="O181" t="n">
        <v>5.6436</v>
      </c>
      <c r="P181" t="n">
        <v>19.521577</v>
      </c>
      <c r="Q181" t="n">
        <v>5.6436</v>
      </c>
      <c r="R181" t="n">
        <v>19.439232</v>
      </c>
      <c r="S181" t="n">
        <v>5.6436</v>
      </c>
      <c r="T181" t="n">
        <v>18.581407</v>
      </c>
      <c r="U181" t="n">
        <v>72</v>
      </c>
      <c r="V181" t="n">
        <v>30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22.85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16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5</v>
      </c>
      <c r="CC181" t="n">
        <v>70</v>
      </c>
    </row>
    <row r="182">
      <c r="A182" t="inlineStr"/>
      <c r="B182" t="inlineStr">
        <is>
          <t>94Rte</t>
        </is>
      </c>
      <c r="C182" t="n">
        <v>70</v>
      </c>
      <c r="D182" t="inlineStr">
        <is>
          <t>Belevue</t>
        </is>
      </c>
      <c r="E182" t="inlineStr">
        <is>
          <t>Conn</t>
        </is>
      </c>
      <c r="F182" t="inlineStr">
        <is>
          <t>OB</t>
        </is>
      </c>
      <c r="G182" t="n">
        <v>1</v>
      </c>
      <c r="H182" t="n">
        <v>30</v>
      </c>
      <c r="I182" t="n">
        <v>30</v>
      </c>
      <c r="J182" t="n">
        <v>30</v>
      </c>
      <c r="K182" t="n">
        <v>70</v>
      </c>
      <c r="L182" t="n">
        <v>7.237816</v>
      </c>
      <c r="M182" t="n">
        <v>25.724318</v>
      </c>
      <c r="N182" t="n">
        <v>7.237816</v>
      </c>
      <c r="O182" t="n">
        <v>27.926952</v>
      </c>
      <c r="P182" t="n">
        <v>7.237816</v>
      </c>
      <c r="Q182" t="n">
        <v>34.52309</v>
      </c>
      <c r="R182" t="n">
        <v>0</v>
      </c>
      <c r="S182" t="n">
        <v>0</v>
      </c>
      <c r="T182" t="n">
        <v>287.69</v>
      </c>
      <c r="U182" t="n">
        <v>0</v>
      </c>
      <c r="V182" t="n">
        <v>0</v>
      </c>
      <c r="W182" t="n">
        <v>0.857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6.206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011.710.833</t>
        </is>
      </c>
      <c r="AV182" t="n">
        <v>0</v>
      </c>
      <c r="AW182" t="n">
        <v>0.787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6</v>
      </c>
      <c r="BX182" t="n">
        <v>83</v>
      </c>
      <c r="BY182" t="n">
        <v>0</v>
      </c>
    </row>
    <row r="183">
      <c r="A183" t="inlineStr"/>
      <c r="B183" t="inlineStr">
        <is>
          <t>95Rte</t>
        </is>
      </c>
      <c r="C183" t="n">
        <v>70</v>
      </c>
      <c r="D183" t="inlineStr">
        <is>
          <t>Belevue</t>
        </is>
      </c>
      <c r="E183" t="inlineStr">
        <is>
          <t>Conn</t>
        </is>
      </c>
      <c r="F183" t="inlineStr">
        <is>
          <t>IB</t>
        </is>
      </c>
      <c r="G183" t="n">
        <v>1</v>
      </c>
      <c r="H183" t="n">
        <v>30</v>
      </c>
      <c r="I183" t="n">
        <v>30</v>
      </c>
      <c r="J183" t="n">
        <v>30</v>
      </c>
      <c r="K183" t="n">
        <v>70</v>
      </c>
      <c r="L183" t="n">
        <v>7.245699</v>
      </c>
      <c r="M183" t="n">
        <v>33.483519</v>
      </c>
      <c r="N183" t="n">
        <v>7.245699</v>
      </c>
      <c r="O183" t="n">
        <v>27.043095</v>
      </c>
      <c r="P183" t="n">
        <v>7.245699</v>
      </c>
      <c r="Q183" t="n">
        <v>26.672837</v>
      </c>
      <c r="R183" t="n">
        <v>0</v>
      </c>
      <c r="S183" t="n">
        <v>0</v>
      </c>
      <c r="T183" t="inlineStr">
        <is>
          <t>2410.160.333</t>
        </is>
      </c>
      <c r="U183" t="n">
        <v>0</v>
      </c>
      <c r="V183" t="n">
        <v>0.666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9.333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3.333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7</v>
      </c>
      <c r="BY183" t="n">
        <v>94</v>
      </c>
    </row>
    <row r="184">
      <c r="A184" t="inlineStr"/>
      <c r="B184" t="inlineStr">
        <is>
          <t>96Rte</t>
        </is>
      </c>
      <c r="C184" t="n">
        <v>111</v>
      </c>
      <c r="D184" t="inlineStr">
        <is>
          <t>FTA</t>
        </is>
      </c>
      <c r="E184" t="inlineStr">
        <is>
          <t>Blue</t>
        </is>
      </c>
      <c r="F184" t="n">
        <v>3</v>
      </c>
      <c r="G184" t="n">
        <v>30</v>
      </c>
      <c r="H184" t="n">
        <v>30</v>
      </c>
      <c r="I184" t="n">
        <v>48</v>
      </c>
      <c r="J184" t="n">
        <v>111</v>
      </c>
      <c r="K184" t="inlineStr">
        <is>
          <t>23.920956127.334362</t>
        </is>
      </c>
      <c r="L184" t="inlineStr">
        <is>
          <t>23.920956104.125297</t>
        </is>
      </c>
      <c r="M184" t="inlineStr">
        <is>
          <t>23.920956124.799306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132</v>
      </c>
      <c r="CB184" t="n">
        <v>3720</v>
      </c>
    </row>
    <row r="185">
      <c r="A185" t="inlineStr"/>
      <c r="B185" t="inlineStr">
        <is>
          <t>97Circ_Lebanon_W</t>
        </is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190</v>
      </c>
      <c r="CD185" t="n">
        <v>4998</v>
      </c>
    </row>
    <row r="186">
      <c r="A186" t="inlineStr"/>
      <c r="B186" t="inlineStr">
        <is>
          <t>98Circ_Lebanon_E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/>
      <c r="B187" t="inlineStr">
        <is>
          <t>99Circ_Lebanon_N</t>
        </is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43</v>
      </c>
      <c r="BY187" t="n">
        <v>756</v>
      </c>
    </row>
    <row r="188">
      <c r="A188" t="inlineStr"/>
      <c r="B188" t="inlineStr">
        <is>
          <t>100Circ_Lebanon_S</t>
        </is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4</v>
      </c>
    </row>
    <row r="189">
      <c r="A189" t="inlineStr"/>
      <c r="B189" t="inlineStr">
        <is>
          <t>101Circ_MJ_E</t>
        </is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</row>
    <row r="190">
      <c r="A190" t="inlineStr"/>
      <c r="B190" t="inlineStr">
        <is>
          <t>102Circ_MJ_W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16</v>
      </c>
    </row>
    <row r="191">
      <c r="A191" t="inlineStr"/>
      <c r="B191" t="inlineStr">
        <is>
          <t>103Circ_MJ_S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9</v>
      </c>
    </row>
    <row r="192">
      <c r="A192" t="inlineStr"/>
      <c r="B192" t="inlineStr">
        <is>
          <t>104Circ_MJ_N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/>
      <c r="B193" t="inlineStr">
        <is>
          <t>105Cric_Herm_W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/>
      <c r="B194" t="inlineStr">
        <is>
          <t>106Circ_Herm_N</t>
        </is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/>
      <c r="B195" t="inlineStr">
        <is>
          <t>107Circ_Herm_S</t>
        </is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/>
      <c r="B196" t="inlineStr">
        <is>
          <t>108Circ_Herm_E</t>
        </is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/>
      <c r="B197" t="inlineStr">
        <is>
          <t>109BRT_CU7_Corridor</t>
        </is>
      </c>
      <c r="C197" t="inlineStr">
        <is>
          <t>iB</t>
        </is>
      </c>
      <c r="D197" t="n">
        <v>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37</v>
      </c>
      <c r="BZ197" t="n">
        <v>1060</v>
      </c>
    </row>
    <row r="198">
      <c r="A198" t="inlineStr"/>
      <c r="B198" t="inlineStr">
        <is>
          <t>110BRT_CU7_Corridor</t>
        </is>
      </c>
      <c r="C198" t="inlineStr">
        <is>
          <t>oB</t>
        </is>
      </c>
      <c r="D198" t="n">
        <v>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6</v>
      </c>
    </row>
    <row r="199">
      <c r="A199" t="inlineStr"/>
      <c r="B199" t="inlineStr">
        <is>
          <t>111BRT_CU1air_Corridor</t>
        </is>
      </c>
      <c r="C199" t="inlineStr">
        <is>
          <t>iB</t>
        </is>
      </c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3</v>
      </c>
      <c r="CB199" t="n">
        <v>46</v>
      </c>
    </row>
    <row r="200">
      <c r="A200" t="inlineStr"/>
      <c r="B200" t="inlineStr">
        <is>
          <t>112BRT_CU1air_Corridor</t>
        </is>
      </c>
      <c r="C200" t="inlineStr">
        <is>
          <t>oB</t>
        </is>
      </c>
      <c r="D200" t="n">
        <v>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8</v>
      </c>
      <c r="CC200" t="n">
        <v>128</v>
      </c>
    </row>
    <row r="201">
      <c r="A201" t="inlineStr"/>
      <c r="B201" t="inlineStr">
        <is>
          <t>113BRT_CU2_Corridor</t>
        </is>
      </c>
      <c r="C201" t="inlineStr">
        <is>
          <t>oB</t>
        </is>
      </c>
      <c r="D201" t="n">
        <v>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</row>
    <row r="202">
      <c r="A202" t="inlineStr"/>
      <c r="B202" t="inlineStr">
        <is>
          <t>114BRT_CU2_Corridor</t>
        </is>
      </c>
      <c r="C202" t="inlineStr">
        <is>
          <t>iB</t>
        </is>
      </c>
      <c r="D202" t="n">
        <v>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t="inlineStr"/>
      <c r="B203" t="inlineStr">
        <is>
          <t>115BRT_CU4_Corridor</t>
        </is>
      </c>
      <c r="C203" t="inlineStr">
        <is>
          <t>iB</t>
        </is>
      </c>
      <c r="D203" t="n">
        <v>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inlineStr"/>
      <c r="B204" t="inlineStr">
        <is>
          <t>116BRT_CU4_Corridor</t>
        </is>
      </c>
      <c r="C204" t="inlineStr">
        <is>
          <t>oB</t>
        </is>
      </c>
      <c r="D204" t="n">
        <v>9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/>
      <c r="B205" t="inlineStr">
        <is>
          <t>117BRT_CU3_Corridor</t>
        </is>
      </c>
      <c r="C205" t="inlineStr">
        <is>
          <t>oB</t>
        </is>
      </c>
      <c r="D205" t="n">
        <v>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inlineStr"/>
      <c r="B206" t="inlineStr">
        <is>
          <t>118BRT_CU3_Corridor</t>
        </is>
      </c>
      <c r="C206" t="inlineStr">
        <is>
          <t>iB</t>
        </is>
      </c>
      <c r="D206" t="n">
        <v>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27</v>
      </c>
      <c r="BZ206" t="n">
        <v>509</v>
      </c>
    </row>
    <row r="207">
      <c r="A207" t="inlineStr"/>
      <c r="B207" t="inlineStr">
        <is>
          <t>121BRT_CU6_Corridor</t>
        </is>
      </c>
      <c r="C207" t="inlineStr">
        <is>
          <t>OB</t>
        </is>
      </c>
      <c r="D207" t="n">
        <v>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</v>
      </c>
      <c r="BZ207" t="n">
        <v>49</v>
      </c>
    </row>
    <row r="208">
      <c r="A208" t="inlineStr"/>
      <c r="B208" t="inlineStr">
        <is>
          <t>122BRT_CU6_Corridor</t>
        </is>
      </c>
      <c r="C208" t="inlineStr">
        <is>
          <t>iB</t>
        </is>
      </c>
      <c r="D208" t="n">
        <v>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/>
      <c r="B209" t="inlineStr">
        <is>
          <t>123BRT_CU9_Corridor</t>
        </is>
      </c>
      <c r="C209" t="inlineStr">
        <is>
          <t>oB</t>
        </is>
      </c>
      <c r="D209" t="n">
        <v>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inlineStr"/>
      <c r="B210" t="inlineStr">
        <is>
          <t>124BRT_CU9_Corridor</t>
        </is>
      </c>
      <c r="C210" t="inlineStr">
        <is>
          <t>iB</t>
        </is>
      </c>
      <c r="D210" t="n">
        <v>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inlineStr"/>
      <c r="B211" t="inlineStr">
        <is>
          <t>125BRT_CU10_Corridor</t>
        </is>
      </c>
      <c r="C211" t="inlineStr">
        <is>
          <t>iB</t>
        </is>
      </c>
      <c r="D211" t="n">
        <v>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/>
      <c r="B212" t="inlineStr">
        <is>
          <t>126BRT_CU10_Corridor</t>
        </is>
      </c>
      <c r="C212" t="inlineStr">
        <is>
          <t>oB</t>
        </is>
      </c>
      <c r="D212" t="n">
        <v>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116</v>
      </c>
    </row>
    <row r="213">
      <c r="A213" t="inlineStr"/>
      <c r="B213" t="inlineStr">
        <is>
          <t>127BRT_CU11_Corridor</t>
        </is>
      </c>
      <c r="C213" t="inlineStr">
        <is>
          <t>oB</t>
        </is>
      </c>
      <c r="D213" t="n">
        <v>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3</v>
      </c>
      <c r="BY213" t="n">
        <v>52</v>
      </c>
    </row>
    <row r="214">
      <c r="A214" t="inlineStr"/>
      <c r="B214" t="inlineStr">
        <is>
          <t>128BRT_CU11_Corridor</t>
        </is>
      </c>
      <c r="C214" t="inlineStr">
        <is>
          <t>iB</t>
        </is>
      </c>
      <c r="D214" t="n">
        <v>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inlineStr"/>
      <c r="B215" t="inlineStr">
        <is>
          <t>131Rte</t>
        </is>
      </c>
      <c r="C215" t="n">
        <v>90</v>
      </c>
      <c r="D215" t="inlineStr">
        <is>
          <t>Music</t>
        </is>
      </c>
      <c r="E215" t="inlineStr">
        <is>
          <t>City</t>
        </is>
      </c>
      <c r="F215" t="inlineStr">
        <is>
          <t>Star</t>
        </is>
      </c>
      <c r="G215" t="inlineStr">
        <is>
          <t>oB</t>
        </is>
      </c>
      <c r="H215" t="n">
        <v>12</v>
      </c>
      <c r="I215" t="n">
        <v>180</v>
      </c>
      <c r="J215" t="n">
        <v>120</v>
      </c>
      <c r="K215" t="n">
        <v>90</v>
      </c>
      <c r="L215" t="inlineStr">
        <is>
          <t>31.099398105.345509</t>
        </is>
      </c>
      <c r="M215" t="n">
        <v>0</v>
      </c>
      <c r="N215" t="n">
        <v>0</v>
      </c>
      <c r="O215" t="inlineStr">
        <is>
          <t>31.099398105.345509</t>
        </is>
      </c>
      <c r="P215" t="n">
        <v>0</v>
      </c>
      <c r="Q215" t="n">
        <v>0</v>
      </c>
      <c r="R215" t="n">
        <v>30</v>
      </c>
      <c r="S215" t="n">
        <v>0</v>
      </c>
      <c r="T215" t="n">
        <v>0</v>
      </c>
      <c r="U215" t="n">
        <v>0</v>
      </c>
      <c r="V215" t="n">
        <v>7.5</v>
      </c>
      <c r="W215" t="n">
        <v>0</v>
      </c>
      <c r="X215" t="n">
        <v>0</v>
      </c>
      <c r="Y215" t="n">
        <v>0</v>
      </c>
      <c r="Z215" t="n">
        <v>0</v>
      </c>
      <c r="AA215" t="n">
        <v>6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16.25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15</v>
      </c>
      <c r="BZ215" t="n">
        <v>211</v>
      </c>
    </row>
    <row r="216">
      <c r="A216" t="inlineStr"/>
      <c r="B216" t="inlineStr">
        <is>
          <t>132Rte</t>
        </is>
      </c>
      <c r="C216" t="n">
        <v>90</v>
      </c>
      <c r="D216" t="inlineStr">
        <is>
          <t>Music</t>
        </is>
      </c>
      <c r="E216" t="inlineStr">
        <is>
          <t>City</t>
        </is>
      </c>
      <c r="F216" t="inlineStr">
        <is>
          <t>Star</t>
        </is>
      </c>
      <c r="G216" t="inlineStr">
        <is>
          <t>iB</t>
        </is>
      </c>
      <c r="H216" t="n">
        <v>12</v>
      </c>
      <c r="I216" t="n">
        <v>180</v>
      </c>
      <c r="J216" t="n">
        <v>120</v>
      </c>
      <c r="K216" t="n">
        <v>90</v>
      </c>
      <c r="L216" t="inlineStr">
        <is>
          <t>31.101870103.922217</t>
        </is>
      </c>
      <c r="M216" t="n">
        <v>0</v>
      </c>
      <c r="N216" t="n">
        <v>0</v>
      </c>
      <c r="O216" t="inlineStr">
        <is>
          <t>31.101870103.922217</t>
        </is>
      </c>
      <c r="P216" t="n">
        <v>0</v>
      </c>
      <c r="Q216" t="n">
        <v>0</v>
      </c>
      <c r="R216" t="n">
        <v>41</v>
      </c>
      <c r="S216" t="n">
        <v>0</v>
      </c>
      <c r="T216" t="n">
        <v>0</v>
      </c>
      <c r="U216" t="n">
        <v>0</v>
      </c>
      <c r="V216" t="n">
        <v>28.5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8.25</v>
      </c>
      <c r="AZ216" t="n">
        <v>0</v>
      </c>
      <c r="BA216" t="n">
        <v>0</v>
      </c>
      <c r="BB216" t="n">
        <v>0</v>
      </c>
      <c r="BC216" t="n">
        <v>0</v>
      </c>
      <c r="BD216" t="n">
        <v>4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26</v>
      </c>
      <c r="BZ216" t="n">
        <v>344</v>
      </c>
    </row>
    <row r="217">
      <c r="A217" t="inlineStr"/>
      <c r="B217" t="inlineStr">
        <is>
          <t>133Rte</t>
        </is>
      </c>
      <c r="C217" t="n">
        <v>90</v>
      </c>
      <c r="D217" t="inlineStr">
        <is>
          <t>Music</t>
        </is>
      </c>
      <c r="E217" t="inlineStr">
        <is>
          <t>City</t>
        </is>
      </c>
      <c r="F217" t="inlineStr">
        <is>
          <t>StarMJ</t>
        </is>
      </c>
      <c r="G217" t="n">
        <v>12</v>
      </c>
      <c r="H217" t="n">
        <v>180</v>
      </c>
      <c r="I217" t="n">
        <v>120</v>
      </c>
      <c r="J217" t="n">
        <v>90</v>
      </c>
      <c r="K217" t="n">
        <v>11.352581</v>
      </c>
      <c r="L217" t="n">
        <v>57.59053</v>
      </c>
      <c r="M217" t="n">
        <v>0</v>
      </c>
      <c r="N217" t="n">
        <v>0</v>
      </c>
      <c r="O217" t="n">
        <v>11.352581</v>
      </c>
      <c r="P217" t="n">
        <v>57.59053</v>
      </c>
      <c r="Q217" t="n">
        <v>0</v>
      </c>
      <c r="R217" t="n">
        <v>0</v>
      </c>
      <c r="S217" t="n">
        <v>23</v>
      </c>
      <c r="T217" t="n">
        <v>0</v>
      </c>
      <c r="U217" t="n">
        <v>0</v>
      </c>
      <c r="V217" t="n">
        <v>0</v>
      </c>
      <c r="W217" t="n">
        <v>7.5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15.25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13</v>
      </c>
      <c r="CA217" t="n">
        <v>169</v>
      </c>
    </row>
    <row r="218">
      <c r="A218" t="inlineStr"/>
      <c r="B218" t="inlineStr">
        <is>
          <t>134Rte</t>
        </is>
      </c>
      <c r="C218" t="n">
        <v>90</v>
      </c>
      <c r="D218" t="inlineStr">
        <is>
          <t>Music</t>
        </is>
      </c>
      <c r="E218" t="inlineStr">
        <is>
          <t>City</t>
        </is>
      </c>
      <c r="F218" t="inlineStr">
        <is>
          <t>StarMJ</t>
        </is>
      </c>
      <c r="G218" t="n">
        <v>12</v>
      </c>
      <c r="H218" t="n">
        <v>180</v>
      </c>
      <c r="I218" t="n">
        <v>120</v>
      </c>
      <c r="J218" t="n">
        <v>90</v>
      </c>
      <c r="K218" t="n">
        <v>11.351228</v>
      </c>
      <c r="L218" t="n">
        <v>56.058315</v>
      </c>
      <c r="M218" t="n">
        <v>0</v>
      </c>
      <c r="N218" t="n">
        <v>0</v>
      </c>
      <c r="O218" t="n">
        <v>11.351228</v>
      </c>
      <c r="P218" t="n">
        <v>56.058315</v>
      </c>
      <c r="Q218" t="n">
        <v>0</v>
      </c>
      <c r="R218" t="n">
        <v>0</v>
      </c>
      <c r="S218" t="n">
        <v>36</v>
      </c>
      <c r="T218" t="n">
        <v>0</v>
      </c>
      <c r="U218" t="n">
        <v>0</v>
      </c>
      <c r="V218" t="n">
        <v>0</v>
      </c>
      <c r="W218" t="n">
        <v>28.5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7.25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24</v>
      </c>
      <c r="CA218" t="n">
        <v>304</v>
      </c>
    </row>
    <row r="219">
      <c r="A219" t="inlineStr"/>
      <c r="B219" t="inlineStr">
        <is>
          <t>135RailExt</t>
        </is>
      </c>
      <c r="C219" t="n">
        <v>3</v>
      </c>
      <c r="D219" t="inlineStr">
        <is>
          <t>Geodis</t>
        </is>
      </c>
      <c r="E219" t="inlineStr">
        <is>
          <t>OB</t>
        </is>
      </c>
      <c r="F219" t="n">
        <v>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</row>
    <row r="220">
      <c r="A220" t="inlineStr"/>
      <c r="B220" t="inlineStr">
        <is>
          <t>136RailExt</t>
        </is>
      </c>
      <c r="C220" t="n">
        <v>3</v>
      </c>
      <c r="D220" t="inlineStr">
        <is>
          <t>Geodis</t>
        </is>
      </c>
      <c r="E220" t="inlineStr">
        <is>
          <t>IB</t>
        </is>
      </c>
      <c r="F220" t="n">
        <v>12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</row>
    <row r="221">
      <c r="A221" t="inlineStr"/>
      <c r="B221" t="inlineStr">
        <is>
          <t>137RailExt4</t>
        </is>
      </c>
      <c r="C221" t="inlineStr">
        <is>
          <t>Riverfront</t>
        </is>
      </c>
      <c r="D221" t="inlineStr">
        <is>
          <t>-</t>
        </is>
      </c>
      <c r="E221" t="inlineStr">
        <is>
          <t>Leb</t>
        </is>
      </c>
      <c r="F221" t="n">
        <v>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57</v>
      </c>
      <c r="CB221" t="n">
        <v>942</v>
      </c>
    </row>
    <row r="222">
      <c r="A222" t="inlineStr"/>
      <c r="B222" t="inlineStr">
        <is>
          <t>138RailExt4</t>
        </is>
      </c>
      <c r="C222" t="inlineStr">
        <is>
          <t>Riverfront</t>
        </is>
      </c>
      <c r="D222" t="inlineStr">
        <is>
          <t>-</t>
        </is>
      </c>
      <c r="E222" t="inlineStr">
        <is>
          <t>Leb</t>
        </is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80</v>
      </c>
    </row>
    <row r="223">
      <c r="A223" t="inlineStr"/>
      <c r="B223" t="inlineStr">
        <is>
          <t>139RailExt5</t>
        </is>
      </c>
      <c r="C223" t="inlineStr">
        <is>
          <t>Donelson</t>
        </is>
      </c>
      <c r="D223" t="inlineStr">
        <is>
          <t>-</t>
        </is>
      </c>
      <c r="E223" t="inlineStr">
        <is>
          <t>Hermi</t>
        </is>
      </c>
      <c r="F223" t="n">
        <v>12</v>
      </c>
      <c r="G223" t="n">
        <v>30</v>
      </c>
      <c r="H223" t="n">
        <v>30</v>
      </c>
      <c r="I223" t="n">
        <v>30</v>
      </c>
      <c r="J223" t="n">
        <v>30</v>
      </c>
      <c r="K223" t="n">
        <v>4.037437</v>
      </c>
      <c r="L223" t="n">
        <v>23.888889</v>
      </c>
      <c r="M223" t="n">
        <v>4.037437</v>
      </c>
      <c r="N223" t="n">
        <v>23.888889</v>
      </c>
      <c r="O223" t="n">
        <v>4.037437</v>
      </c>
      <c r="P223" t="n">
        <v>23.888889</v>
      </c>
      <c r="Q223" t="n">
        <v>4.037437</v>
      </c>
      <c r="R223" t="n">
        <v>23.888889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2.816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</v>
      </c>
      <c r="CB223" t="n">
        <v>11</v>
      </c>
    </row>
    <row r="224">
      <c r="A224" t="inlineStr"/>
      <c r="B224" t="inlineStr">
        <is>
          <t>140RailExt5</t>
        </is>
      </c>
      <c r="C224" t="inlineStr">
        <is>
          <t>Donelson</t>
        </is>
      </c>
      <c r="D224" t="inlineStr">
        <is>
          <t>-</t>
        </is>
      </c>
      <c r="E224" t="inlineStr">
        <is>
          <t>Hermi</t>
        </is>
      </c>
      <c r="F224" t="n">
        <v>12</v>
      </c>
      <c r="G224" t="n">
        <v>30</v>
      </c>
      <c r="H224" t="n">
        <v>30</v>
      </c>
      <c r="I224" t="n">
        <v>30</v>
      </c>
      <c r="J224" t="n">
        <v>30</v>
      </c>
      <c r="K224" t="n">
        <v>4.061383</v>
      </c>
      <c r="L224" t="n">
        <v>23.875624</v>
      </c>
      <c r="M224" t="n">
        <v>4.061383</v>
      </c>
      <c r="N224" t="n">
        <v>23.875624</v>
      </c>
      <c r="O224" t="n">
        <v>4.061383</v>
      </c>
      <c r="P224" t="n">
        <v>23.875624</v>
      </c>
      <c r="Q224" t="n">
        <v>4.061383</v>
      </c>
      <c r="R224" t="n">
        <v>23.875624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inlineStr"/>
      <c r="B225" t="inlineStr">
        <is>
          <t>141RailExt</t>
        </is>
      </c>
      <c r="C225" t="n">
        <v>1</v>
      </c>
      <c r="D225" t="inlineStr">
        <is>
          <t>VB</t>
        </is>
      </c>
      <c r="E225" t="inlineStr">
        <is>
          <t>-</t>
        </is>
      </c>
      <c r="F225" t="inlineStr">
        <is>
          <t>Airport</t>
        </is>
      </c>
      <c r="G225" t="n">
        <v>12</v>
      </c>
      <c r="H225" t="n">
        <v>15</v>
      </c>
      <c r="I225" t="n">
        <v>15</v>
      </c>
      <c r="J225" t="n">
        <v>15</v>
      </c>
      <c r="K225" t="n">
        <v>15</v>
      </c>
      <c r="L225" t="n">
        <v>11.9089</v>
      </c>
      <c r="M225" t="n">
        <v>95.680261</v>
      </c>
      <c r="N225" t="n">
        <v>11.9089</v>
      </c>
      <c r="O225" t="n">
        <v>95.680261</v>
      </c>
      <c r="P225" t="n">
        <v>11.9089</v>
      </c>
      <c r="Q225" t="n">
        <v>95.680261</v>
      </c>
      <c r="R225" t="n">
        <v>11.9089</v>
      </c>
      <c r="S225" t="n">
        <v>95.680261</v>
      </c>
      <c r="T225" t="n">
        <v>56</v>
      </c>
      <c r="U225" t="n">
        <v>0</v>
      </c>
      <c r="V225" t="n">
        <v>0</v>
      </c>
      <c r="W225" t="n">
        <v>0</v>
      </c>
      <c r="X225" t="n">
        <v>0</v>
      </c>
      <c r="Y225" t="n">
        <v>19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35.87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33</v>
      </c>
      <c r="CC225" t="n">
        <v>398</v>
      </c>
    </row>
    <row r="226">
      <c r="A226" t="inlineStr"/>
      <c r="B226" t="inlineStr">
        <is>
          <t>142RailExt</t>
        </is>
      </c>
      <c r="C226" t="n">
        <v>1</v>
      </c>
      <c r="D226" t="inlineStr">
        <is>
          <t>Airport</t>
        </is>
      </c>
      <c r="E226" t="inlineStr">
        <is>
          <t>-</t>
        </is>
      </c>
      <c r="F226" t="inlineStr">
        <is>
          <t>VB</t>
        </is>
      </c>
      <c r="G226" t="n">
        <v>12</v>
      </c>
      <c r="H226" t="n">
        <v>15</v>
      </c>
      <c r="I226" t="n">
        <v>15</v>
      </c>
      <c r="J226" t="n">
        <v>15</v>
      </c>
      <c r="K226" t="n">
        <v>15</v>
      </c>
      <c r="L226" t="n">
        <v>11.907587</v>
      </c>
      <c r="M226" t="n">
        <v>96.334834</v>
      </c>
      <c r="N226" t="n">
        <v>11.907587</v>
      </c>
      <c r="O226" t="n">
        <v>96.334834</v>
      </c>
      <c r="P226" t="n">
        <v>11.907587</v>
      </c>
      <c r="Q226" t="n">
        <v>96.334834</v>
      </c>
      <c r="R226" t="n">
        <v>11.907587</v>
      </c>
      <c r="S226" t="n">
        <v>96.334834</v>
      </c>
      <c r="T226" t="n">
        <v>64</v>
      </c>
      <c r="U226" t="n">
        <v>0</v>
      </c>
      <c r="V226" t="n">
        <v>0</v>
      </c>
      <c r="W226" t="n">
        <v>0</v>
      </c>
      <c r="X226" t="n">
        <v>0</v>
      </c>
      <c r="Y226" t="n">
        <v>41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21.5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35</v>
      </c>
      <c r="CC226" t="n">
        <v>459</v>
      </c>
    </row>
    <row r="227">
      <c r="A227" t="inlineStr"/>
      <c r="B227" t="inlineStr">
        <is>
          <t>143RailExt</t>
        </is>
      </c>
      <c r="C227" t="n">
        <v>2</v>
      </c>
      <c r="D227" t="inlineStr">
        <is>
          <t>Germantown</t>
        </is>
      </c>
      <c r="E227" t="inlineStr">
        <is>
          <t>OB</t>
        </is>
      </c>
      <c r="F227" t="n">
        <v>12</v>
      </c>
      <c r="G227" t="n">
        <v>30</v>
      </c>
      <c r="H227" t="n">
        <v>30</v>
      </c>
      <c r="I227" t="n">
        <v>30</v>
      </c>
      <c r="J227" t="n">
        <v>30</v>
      </c>
      <c r="K227" t="n">
        <v>1.842913</v>
      </c>
      <c r="L227" t="n">
        <v>45.50389</v>
      </c>
      <c r="M227" t="n">
        <v>1.842913</v>
      </c>
      <c r="N227" t="n">
        <v>45.50389</v>
      </c>
      <c r="O227" t="n">
        <v>1.842913</v>
      </c>
      <c r="P227" t="n">
        <v>45.50389</v>
      </c>
      <c r="Q227" t="n">
        <v>1.842913</v>
      </c>
      <c r="R227" t="n">
        <v>45.50389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inlineStr"/>
      <c r="B228" t="inlineStr">
        <is>
          <t>144RailExt</t>
        </is>
      </c>
      <c r="C228" t="n">
        <v>2</v>
      </c>
      <c r="D228" t="inlineStr">
        <is>
          <t>Germantown</t>
        </is>
      </c>
      <c r="E228" t="inlineStr">
        <is>
          <t>IB</t>
        </is>
      </c>
      <c r="F228" t="n">
        <v>12</v>
      </c>
      <c r="G228" t="n">
        <v>30</v>
      </c>
      <c r="H228" t="n">
        <v>30</v>
      </c>
      <c r="I228" t="n">
        <v>30</v>
      </c>
      <c r="J228" t="n">
        <v>30</v>
      </c>
      <c r="K228" t="n">
        <v>1.843293</v>
      </c>
      <c r="L228" t="n">
        <v>45.258904</v>
      </c>
      <c r="M228" t="n">
        <v>1.843293</v>
      </c>
      <c r="N228" t="n">
        <v>45.258904</v>
      </c>
      <c r="O228" t="n">
        <v>1.843293</v>
      </c>
      <c r="P228" t="n">
        <v>45.258904</v>
      </c>
      <c r="Q228" t="n">
        <v>1.843293</v>
      </c>
      <c r="R228" t="n">
        <v>45.258904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inlineStr"/>
      <c r="B229" t="inlineStr">
        <is>
          <t>145BRT_CU5_Corridor</t>
        </is>
      </c>
      <c r="C229" t="inlineStr">
        <is>
          <t>iB</t>
        </is>
      </c>
      <c r="D229" t="n">
        <v>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</row>
    <row r="230">
      <c r="A230" t="inlineStr"/>
      <c r="B230" t="inlineStr">
        <is>
          <t>146BRT_CU5_Corridor</t>
        </is>
      </c>
      <c r="C230" t="inlineStr">
        <is>
          <t>oB</t>
        </is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</row>
    <row r="231">
      <c r="A231" t="inlineStr"/>
      <c r="B231" t="inlineStr">
        <is>
          <t>147Rte</t>
        </is>
      </c>
      <c r="C231" t="n">
        <v>112</v>
      </c>
      <c r="D231" t="inlineStr">
        <is>
          <t>FTA</t>
        </is>
      </c>
      <c r="E231" t="inlineStr">
        <is>
          <t>Red</t>
        </is>
      </c>
      <c r="F231" t="inlineStr">
        <is>
          <t>Route</t>
        </is>
      </c>
      <c r="G231" t="inlineStr">
        <is>
          <t>NS</t>
        </is>
      </c>
      <c r="H231" t="n">
        <v>3</v>
      </c>
      <c r="I231" t="n">
        <v>30</v>
      </c>
      <c r="J231" t="n">
        <v>30</v>
      </c>
      <c r="K231" t="n">
        <v>48</v>
      </c>
      <c r="L231" t="n">
        <v>112</v>
      </c>
      <c r="M231" t="n">
        <v>7.689681</v>
      </c>
      <c r="N231" t="n">
        <v>16.66189</v>
      </c>
      <c r="O231" t="n">
        <v>7.689681</v>
      </c>
      <c r="P231" t="n">
        <v>16.880582</v>
      </c>
      <c r="Q231" t="n">
        <v>7.689681</v>
      </c>
      <c r="R231" t="n">
        <v>18.952593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</row>
    <row r="232">
      <c r="A232" t="inlineStr"/>
      <c r="B232" t="inlineStr">
        <is>
          <t>148Rte</t>
        </is>
      </c>
      <c r="C232" t="n">
        <v>79</v>
      </c>
      <c r="D232" t="inlineStr">
        <is>
          <t>Skyline</t>
        </is>
      </c>
      <c r="E232" t="inlineStr">
        <is>
          <t>iB</t>
        </is>
      </c>
      <c r="F232" t="n">
        <v>1</v>
      </c>
      <c r="G232" t="n">
        <v>36</v>
      </c>
      <c r="H232" t="n">
        <v>28</v>
      </c>
      <c r="I232" t="n">
        <v>30</v>
      </c>
      <c r="J232" t="n">
        <v>165</v>
      </c>
      <c r="K232" t="n">
        <v>79</v>
      </c>
      <c r="L232" t="n">
        <v>6.797602</v>
      </c>
      <c r="M232" t="n">
        <v>33.10312</v>
      </c>
      <c r="N232" t="n">
        <v>6.797602</v>
      </c>
      <c r="O232" t="n">
        <v>28.006561</v>
      </c>
      <c r="P232" t="n">
        <v>6.797602</v>
      </c>
      <c r="Q232" t="n">
        <v>29.736066</v>
      </c>
      <c r="R232" t="n">
        <v>6.797602</v>
      </c>
      <c r="S232" t="n">
        <v>23.177471</v>
      </c>
      <c r="T232" t="n">
        <v>309.217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7.763</v>
      </c>
      <c r="AI232" t="n">
        <v>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6.5</v>
      </c>
      <c r="AW232" t="n">
        <v>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7</v>
      </c>
      <c r="CA232" t="n">
        <v>98</v>
      </c>
    </row>
    <row r="233">
      <c r="A233" t="inlineStr"/>
      <c r="B233" t="inlineStr">
        <is>
          <t>149Rte</t>
        </is>
      </c>
      <c r="C233" t="n">
        <v>79</v>
      </c>
      <c r="D233" t="inlineStr">
        <is>
          <t>Skyline</t>
        </is>
      </c>
      <c r="E233" t="inlineStr">
        <is>
          <t>oB</t>
        </is>
      </c>
      <c r="F233" t="n">
        <v>1</v>
      </c>
      <c r="G233" t="n">
        <v>36</v>
      </c>
      <c r="H233" t="n">
        <v>28</v>
      </c>
      <c r="I233" t="n">
        <v>30</v>
      </c>
      <c r="J233" t="n">
        <v>165</v>
      </c>
      <c r="K233" t="n">
        <v>79</v>
      </c>
      <c r="L233" t="n">
        <v>7.52821</v>
      </c>
      <c r="M233" t="n">
        <v>29.076975</v>
      </c>
      <c r="N233" t="n">
        <v>7.52821</v>
      </c>
      <c r="O233" t="n">
        <v>28.144545</v>
      </c>
      <c r="P233" t="n">
        <v>7.52821</v>
      </c>
      <c r="Q233" t="n">
        <v>32.780662</v>
      </c>
      <c r="R233" t="n">
        <v>7.52821</v>
      </c>
      <c r="S233" t="n">
        <v>24.55471</v>
      </c>
      <c r="T233" t="n">
        <v>335.889</v>
      </c>
      <c r="U233" t="n">
        <v>1</v>
      </c>
      <c r="V233" t="n">
        <v>0</v>
      </c>
      <c r="W233" t="n">
        <v>0</v>
      </c>
      <c r="X233" t="n">
        <v>0.217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</v>
      </c>
      <c r="AI233" t="n">
        <v>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130.333</v>
      </c>
      <c r="AX233" t="n">
        <v>0</v>
      </c>
      <c r="AY233" t="n">
        <v>0</v>
      </c>
      <c r="AZ233" t="n">
        <v>1.285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8</v>
      </c>
      <c r="BZ233" t="n">
        <v>106</v>
      </c>
      <c r="CA233" t="n">
        <v>0</v>
      </c>
      <c r="CB233" t="n">
        <v>0</v>
      </c>
      <c r="CC233" t="n">
        <v>49</v>
      </c>
      <c r="CD233" t="n">
        <v>1062</v>
      </c>
    </row>
    <row r="234">
      <c r="A234" t="inlineStr"/>
      <c r="B234" t="inlineStr">
        <is>
          <t>150Rte</t>
        </is>
      </c>
      <c r="C234" t="n">
        <v>95</v>
      </c>
      <c r="D234" t="inlineStr">
        <is>
          <t>Spring</t>
        </is>
      </c>
      <c r="E234" t="inlineStr">
        <is>
          <t>Hill</t>
        </is>
      </c>
      <c r="F234" t="inlineStr">
        <is>
          <t>VB</t>
        </is>
      </c>
      <c r="G234" t="inlineStr">
        <is>
          <t>Exp</t>
        </is>
      </c>
      <c r="H234" t="n">
        <v>6</v>
      </c>
      <c r="I234" t="n">
        <v>45</v>
      </c>
      <c r="J234" t="n">
        <v>95</v>
      </c>
      <c r="K234" t="inlineStr">
        <is>
          <t>43.785130177.540520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</row>
    <row r="235">
      <c r="A235" t="inlineStr"/>
      <c r="B235" t="inlineStr">
        <is>
          <t>151Rte</t>
        </is>
      </c>
      <c r="C235" t="n">
        <v>95</v>
      </c>
      <c r="D235" t="inlineStr">
        <is>
          <t>Spring</t>
        </is>
      </c>
      <c r="E235" t="inlineStr">
        <is>
          <t>Hill</t>
        </is>
      </c>
      <c r="F235" t="inlineStr">
        <is>
          <t>VB</t>
        </is>
      </c>
      <c r="G235" t="inlineStr">
        <is>
          <t>Exp</t>
        </is>
      </c>
      <c r="H235" t="n">
        <v>6</v>
      </c>
      <c r="I235" t="n">
        <v>40</v>
      </c>
      <c r="J235" t="n">
        <v>95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42.704876187.568123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inlineStr"/>
      <c r="B236" t="inlineStr">
        <is>
          <t>152BRT_CU1_Corridor</t>
        </is>
      </c>
      <c r="C236" t="inlineStr">
        <is>
          <t>oB</t>
        </is>
      </c>
      <c r="D236" t="n">
        <v>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27</v>
      </c>
      <c r="BZ236" t="n">
        <v>459</v>
      </c>
    </row>
    <row r="237">
      <c r="A237" t="inlineStr"/>
      <c r="B237" t="inlineStr">
        <is>
          <t>153BRT_CU1_Corridor</t>
        </is>
      </c>
      <c r="C237" t="inlineStr">
        <is>
          <t>iB</t>
        </is>
      </c>
      <c r="D237" t="n">
        <v>9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71</v>
      </c>
      <c r="BY237" t="n">
        <v>1121</v>
      </c>
    </row>
    <row r="238">
      <c r="A238" t="inlineStr"/>
      <c r="B238" t="inlineStr">
        <is>
          <t>154Rte</t>
        </is>
      </c>
      <c r="C238" t="n">
        <v>55</v>
      </c>
      <c r="D238" t="inlineStr">
        <is>
          <t>MURFREESBORO</t>
        </is>
      </c>
      <c r="E238" t="inlineStr">
        <is>
          <t>PIKE</t>
        </is>
      </c>
      <c r="F238" t="n">
        <v>1</v>
      </c>
      <c r="G238" t="n">
        <v>10</v>
      </c>
      <c r="H238" t="n">
        <v>10</v>
      </c>
      <c r="I238" t="n">
        <v>10</v>
      </c>
      <c r="J238" t="n">
        <v>30</v>
      </c>
      <c r="K238" t="n">
        <v>55</v>
      </c>
      <c r="L238" t="n">
        <v>12.690196</v>
      </c>
      <c r="M238" t="n">
        <v>54.972249</v>
      </c>
      <c r="N238" t="n">
        <v>12.690196</v>
      </c>
      <c r="O238" t="n">
        <v>53.608288</v>
      </c>
      <c r="P238" t="n">
        <v>12.690196</v>
      </c>
      <c r="Q238" t="n">
        <v>78.662775</v>
      </c>
      <c r="R238" t="n">
        <v>12.690196</v>
      </c>
      <c r="S238" t="n">
        <v>47.470468</v>
      </c>
      <c r="T238" t="inlineStr">
        <is>
          <t>2565226.614.740.333</t>
        </is>
      </c>
      <c r="U238" t="inlineStr">
        <is>
          <t>052.2111.63</t>
        </is>
      </c>
      <c r="V238" t="n">
        <v>0</v>
      </c>
      <c r="W238" t="n">
        <v>0</v>
      </c>
      <c r="X238" t="n">
        <v>3.818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0803.45.532</t>
        </is>
      </c>
      <c r="AD238" t="n">
        <v>0</v>
      </c>
      <c r="AE238" t="n">
        <v>0</v>
      </c>
      <c r="AF238" t="n">
        <v>43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0362.87.625</t>
        </is>
      </c>
      <c r="AP238" t="n">
        <v>0</v>
      </c>
      <c r="AQ238" t="inlineStr">
        <is>
          <t>0227.3357.9</t>
        </is>
      </c>
      <c r="AR238" t="n">
        <v>0</v>
      </c>
      <c r="AS238" t="n">
        <v>0</v>
      </c>
      <c r="AT238" t="n">
        <v>253.3</v>
      </c>
      <c r="AU238" t="n">
        <v>0</v>
      </c>
      <c r="AV238" t="n">
        <v>0</v>
      </c>
      <c r="AW238" t="n">
        <v>0</v>
      </c>
      <c r="AX238" t="n">
        <v>0</v>
      </c>
      <c r="AY238" t="n">
        <v>155.9</v>
      </c>
      <c r="AZ238" t="n">
        <v>1</v>
      </c>
      <c r="BA238" t="n">
        <v>0</v>
      </c>
      <c r="BB238" t="n">
        <v>0</v>
      </c>
      <c r="BC238" t="n">
        <v>37.3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493</v>
      </c>
      <c r="BN238" t="n">
        <v>5506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66</v>
      </c>
      <c r="BY238" t="n">
        <v>981</v>
      </c>
    </row>
    <row r="239">
      <c r="A239" t="inlineStr"/>
      <c r="B239" t="inlineStr">
        <is>
          <t>155Rte</t>
        </is>
      </c>
      <c r="C239" t="n">
        <v>55</v>
      </c>
      <c r="D239" t="inlineStr">
        <is>
          <t>MURFREESBORO</t>
        </is>
      </c>
      <c r="E239" t="inlineStr">
        <is>
          <t>PIKE</t>
        </is>
      </c>
      <c r="F239" t="n">
        <v>1</v>
      </c>
      <c r="G239" t="n">
        <v>10</v>
      </c>
      <c r="H239" t="n">
        <v>10</v>
      </c>
      <c r="I239" t="n">
        <v>10</v>
      </c>
      <c r="J239" t="n">
        <v>30</v>
      </c>
      <c r="K239" t="n">
        <v>55</v>
      </c>
      <c r="L239" t="n">
        <v>13.997395</v>
      </c>
      <c r="M239" t="n">
        <v>92.026338</v>
      </c>
      <c r="N239" t="n">
        <v>13.997395</v>
      </c>
      <c r="O239" t="n">
        <v>62.159133</v>
      </c>
      <c r="P239" t="n">
        <v>13.997395</v>
      </c>
      <c r="Q239" t="n">
        <v>66.470021</v>
      </c>
      <c r="R239" t="n">
        <v>13.997395</v>
      </c>
      <c r="S239" t="n">
        <v>50.882949</v>
      </c>
      <c r="T239" t="n">
        <v>2743301.2</v>
      </c>
      <c r="U239" t="n">
        <v>0</v>
      </c>
      <c r="V239" t="n">
        <v>0</v>
      </c>
      <c r="W239" t="inlineStr">
        <is>
          <t>079.78305.4</t>
        </is>
      </c>
      <c r="X239" t="n">
        <v>0</v>
      </c>
      <c r="Y239" t="n">
        <v>0</v>
      </c>
      <c r="Z239" t="n">
        <v>306.2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0674.13.787</t>
        </is>
      </c>
      <c r="AF239" t="n">
        <v>0</v>
      </c>
      <c r="AG239" t="n">
        <v>0</v>
      </c>
      <c r="AH239" t="n">
        <v>210.9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0419.22.843</t>
        </is>
      </c>
      <c r="AR239" t="n">
        <v>0</v>
      </c>
      <c r="AS239" t="inlineStr">
        <is>
          <t>0326.713.61</t>
        </is>
      </c>
      <c r="AT239" t="n">
        <v>0</v>
      </c>
      <c r="AU239" t="n">
        <v>0</v>
      </c>
      <c r="AV239" t="n">
        <v>5.358</v>
      </c>
      <c r="AW239" t="n">
        <v>0</v>
      </c>
      <c r="AX239" t="n">
        <v>0</v>
      </c>
      <c r="AY239" t="n">
        <v>0</v>
      </c>
      <c r="AZ239" t="n">
        <v>0</v>
      </c>
      <c r="BA239" t="n">
        <v>85.23</v>
      </c>
      <c r="BB239" t="n">
        <v>0</v>
      </c>
      <c r="BC239" t="n">
        <v>0</v>
      </c>
      <c r="BD239" t="n">
        <v>0</v>
      </c>
      <c r="BE239" t="n">
        <v>0</v>
      </c>
      <c r="BF239" t="n">
        <v>8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576</v>
      </c>
      <c r="BQ239" t="n">
        <v>6038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</row>
    <row r="240">
      <c r="A240" t="inlineStr">
        <is>
          <t xml:space="preserve">
</t>
        </is>
      </c>
      <c r="B240" t="inlineStr">
        <is>
          <t>232Rte</t>
        </is>
      </c>
      <c r="C240" t="n">
        <v>18</v>
      </c>
      <c r="D240" t="inlineStr">
        <is>
          <t>Airport</t>
        </is>
      </c>
      <c r="E240" t="inlineStr">
        <is>
          <t>Local</t>
        </is>
      </c>
      <c r="F240" t="inlineStr">
        <is>
          <t>OB</t>
        </is>
      </c>
      <c r="G240" t="n">
        <v>1</v>
      </c>
      <c r="H240" t="n">
        <v>60</v>
      </c>
      <c r="I240" t="n">
        <v>120</v>
      </c>
      <c r="J240" t="n">
        <v>18</v>
      </c>
      <c r="K240" t="n">
        <v>8.104023</v>
      </c>
      <c r="L240" t="n">
        <v>31.98792</v>
      </c>
      <c r="M240" t="n">
        <v>8.104023</v>
      </c>
      <c r="N240" t="n">
        <v>31.574146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18052.247.7434.280</t>
        </is>
      </c>
      <c r="T240" t="inlineStr">
        <is>
          <t>02.3486.7663.6236.206</t>
        </is>
      </c>
      <c r="U240" t="n">
        <v>0.25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084.996.7152.058</t>
        </is>
      </c>
      <c r="AA240" t="n">
        <v>0</v>
      </c>
      <c r="AB240" t="inlineStr">
        <is>
          <t>00.4790.9651.544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16</v>
      </c>
      <c r="BO240" t="n">
        <v>233</v>
      </c>
    </row>
    <row r="241">
      <c r="A241" t="inlineStr">
        <is>
          <t xml:space="preserve">
</t>
        </is>
      </c>
      <c r="B241" t="inlineStr">
        <is>
          <t>233Rte</t>
        </is>
      </c>
      <c r="C241" t="n">
        <v>18</v>
      </c>
      <c r="D241" t="inlineStr">
        <is>
          <t>Airport</t>
        </is>
      </c>
      <c r="E241" t="inlineStr">
        <is>
          <t>Local</t>
        </is>
      </c>
      <c r="F241" t="inlineStr">
        <is>
          <t>IB</t>
        </is>
      </c>
      <c r="G241" t="n">
        <v>1</v>
      </c>
      <c r="H241" t="n">
        <v>120</v>
      </c>
      <c r="I241" t="n">
        <v>80</v>
      </c>
      <c r="J241" t="n">
        <v>18</v>
      </c>
      <c r="K241" t="n">
        <v>0</v>
      </c>
      <c r="L241" t="n">
        <v>0</v>
      </c>
      <c r="M241" t="n">
        <v>8.178716</v>
      </c>
      <c r="N241" t="n">
        <v>32.645152</v>
      </c>
      <c r="O241" t="n">
        <v>8.178716</v>
      </c>
      <c r="P241" t="n">
        <v>34.11226</v>
      </c>
      <c r="Q241" t="n">
        <v>0</v>
      </c>
      <c r="R241" t="n">
        <v>0</v>
      </c>
      <c r="S241" t="n">
        <v>238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091.105.9960.556</t>
        </is>
      </c>
      <c r="AI241" t="n">
        <v>0</v>
      </c>
      <c r="AJ241" t="n">
        <v>0</v>
      </c>
      <c r="AK241" t="inlineStr">
        <is>
          <t>180.5000.250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095.868.3142.375</t>
        </is>
      </c>
      <c r="AS241" t="inlineStr">
        <is>
          <t>01.2857.9393.1802.716</t>
        </is>
      </c>
      <c r="AT241" t="n">
        <v>0.223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31</v>
      </c>
      <c r="BP241" t="n">
        <v>397</v>
      </c>
    </row>
    <row r="242">
      <c r="A242" t="inlineStr">
        <is>
          <t xml:space="preserve">
</t>
        </is>
      </c>
      <c r="B242" t="inlineStr">
        <is>
          <t>236Rte</t>
        </is>
      </c>
      <c r="C242" t="n">
        <v>95</v>
      </c>
      <c r="D242" t="inlineStr">
        <is>
          <t>Spring</t>
        </is>
      </c>
      <c r="E242" t="inlineStr">
        <is>
          <t>Hill</t>
        </is>
      </c>
      <c r="F242" t="inlineStr">
        <is>
          <t>Exp</t>
        </is>
      </c>
      <c r="G242" t="inlineStr">
        <is>
          <t>OB</t>
        </is>
      </c>
      <c r="H242" t="n">
        <v>6</v>
      </c>
      <c r="I242" t="n">
        <v>120</v>
      </c>
      <c r="J242" t="n">
        <v>95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40.306675129.846763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inlineStr"/>
      <c r="B243" t="inlineStr">
        <is>
          <t>END</t>
        </is>
      </c>
      <c r="C243" t="inlineStr">
        <is>
          <t>TRANSIT</t>
        </is>
      </c>
      <c r="D243" t="inlineStr">
        <is>
          <t>REPORTING</t>
        </is>
      </c>
      <c r="E243" t="inlineStr">
        <is>
          <t>-</t>
        </is>
      </c>
      <c r="F243" t="inlineStr">
        <is>
          <t>Sat,</t>
        </is>
      </c>
      <c r="G243" t="inlineStr">
        <is>
          <t>May</t>
        </is>
      </c>
      <c r="H243" t="n">
        <v>11</v>
      </c>
      <c r="I243" t="n">
        <v>2024</v>
      </c>
      <c r="J243" t="inlineStr">
        <is>
          <t>(20:40:09)</t>
        </is>
      </c>
      <c r="K243" t="inlineStr">
        <is>
          <t xml:space="preserve">
</t>
        </is>
      </c>
      <c r="L243" t="n">
        <v>55.28232</v>
      </c>
      <c r="M243" t="n">
        <v>0</v>
      </c>
      <c r="N243" t="n">
        <v>0</v>
      </c>
      <c r="O243" t="n">
        <v>16.726143</v>
      </c>
      <c r="P243" t="n">
        <v>50.209901</v>
      </c>
      <c r="Q243" t="n">
        <v>0</v>
      </c>
      <c r="R243" t="n">
        <v>0</v>
      </c>
      <c r="S243" t="n">
        <v>26</v>
      </c>
      <c r="T243" t="n">
        <v>0</v>
      </c>
      <c r="U243" t="n">
        <v>16.5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5</v>
      </c>
      <c r="AZ243" t="n">
        <v>0</v>
      </c>
      <c r="BA243" t="n">
        <v>0</v>
      </c>
      <c r="BB243" t="n">
        <v>0</v>
      </c>
      <c r="BC243" t="n">
        <v>2.5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13</v>
      </c>
      <c r="CA243" t="n">
        <v>243</v>
      </c>
    </row>
    <row r="244">
      <c r="B244" t="inlineStr">
        <is>
          <t>238Rte</t>
        </is>
      </c>
      <c r="C244" t="n">
        <v>87</v>
      </c>
      <c r="D244" t="inlineStr">
        <is>
          <t>Gallatin</t>
        </is>
      </c>
      <c r="E244" t="inlineStr">
        <is>
          <t>Comm</t>
        </is>
      </c>
      <c r="F244" t="inlineStr">
        <is>
          <t>Bus</t>
        </is>
      </c>
      <c r="G244" t="n">
        <v>7</v>
      </c>
      <c r="H244" t="n">
        <v>90</v>
      </c>
      <c r="I244" t="n">
        <v>87</v>
      </c>
      <c r="J244" t="n">
        <v>30.292349</v>
      </c>
      <c r="K244" t="n">
        <v>87.810265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B245" t="inlineStr">
        <is>
          <t>239Rte</t>
        </is>
      </c>
      <c r="C245" t="n">
        <v>92</v>
      </c>
      <c r="D245" t="inlineStr">
        <is>
          <t>Bus</t>
        </is>
      </c>
      <c r="E245" t="inlineStr">
        <is>
          <t>IB</t>
        </is>
      </c>
      <c r="F245" t="n">
        <v>7</v>
      </c>
      <c r="G245" t="n">
        <v>90</v>
      </c>
      <c r="H245" t="n">
        <v>92</v>
      </c>
      <c r="I245" t="n">
        <v>25.562178</v>
      </c>
      <c r="J245" t="n">
        <v>81.08481399999999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</row>
    <row r="246">
      <c r="B246" t="inlineStr">
        <is>
          <t>240Rte</t>
        </is>
      </c>
      <c r="C246" t="n">
        <v>91</v>
      </c>
      <c r="D246" t="inlineStr">
        <is>
          <t>Franklin/Brentwood</t>
        </is>
      </c>
      <c r="E246" t="n">
        <v>6</v>
      </c>
      <c r="F246" t="n">
        <v>60</v>
      </c>
      <c r="G246" t="n">
        <v>91</v>
      </c>
      <c r="H246" t="n">
        <v>25.172152</v>
      </c>
      <c r="I246" t="n">
        <v>89.062927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</row>
    <row r="247">
      <c r="B247" t="inlineStr">
        <is>
          <t>241Rte</t>
        </is>
      </c>
      <c r="C247" t="n">
        <v>95</v>
      </c>
      <c r="D247" t="inlineStr">
        <is>
          <t>Spring</t>
        </is>
      </c>
      <c r="E247" t="inlineStr">
        <is>
          <t>Hill</t>
        </is>
      </c>
      <c r="F247" t="inlineStr">
        <is>
          <t>Exp</t>
        </is>
      </c>
      <c r="G247" t="inlineStr">
        <is>
          <t>IB</t>
        </is>
      </c>
      <c r="H247" t="n">
        <v>6</v>
      </c>
      <c r="I247" t="n">
        <v>90</v>
      </c>
      <c r="J247" t="n">
        <v>95</v>
      </c>
      <c r="K247" t="inlineStr">
        <is>
          <t>41.620670139.275732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</row>
    <row r="248">
      <c r="B248" t="inlineStr">
        <is>
          <t>242Rte</t>
        </is>
      </c>
      <c r="C248" t="n">
        <v>6</v>
      </c>
      <c r="D248" t="inlineStr">
        <is>
          <t>Lebanon</t>
        </is>
      </c>
      <c r="E248" t="inlineStr">
        <is>
          <t>Rd</t>
        </is>
      </c>
      <c r="F248" t="inlineStr">
        <is>
          <t>OB</t>
        </is>
      </c>
      <c r="G248" t="n">
        <v>1</v>
      </c>
      <c r="H248" t="n">
        <v>25</v>
      </c>
      <c r="I248" t="n">
        <v>60</v>
      </c>
      <c r="J248" t="n">
        <v>25</v>
      </c>
      <c r="K248" t="n">
        <v>6</v>
      </c>
      <c r="L248" t="n">
        <v>14.764641</v>
      </c>
      <c r="M248" t="n">
        <v>55.625392</v>
      </c>
      <c r="N248" t="n">
        <v>14.764641</v>
      </c>
      <c r="O248" t="n">
        <v>55.910753</v>
      </c>
      <c r="P248" t="n">
        <v>14.764641</v>
      </c>
      <c r="Q248" t="n">
        <v>66.314301</v>
      </c>
      <c r="R248" t="n">
        <v>0</v>
      </c>
      <c r="S248" t="n">
        <v>0</v>
      </c>
      <c r="T248" t="inlineStr">
        <is>
          <t>50086.2918.154.224</t>
        </is>
      </c>
      <c r="U248" t="inlineStr">
        <is>
          <t>03.14212.3510.1112.80</t>
        </is>
      </c>
      <c r="V248" t="n">
        <v>0.789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050.764.8510.367</t>
        </is>
      </c>
      <c r="AB248" t="n">
        <v>0</v>
      </c>
      <c r="AC248" t="inlineStr">
        <is>
          <t>02.2570.4011.058</t>
        </is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0178.913.162.103</t>
        </is>
      </c>
      <c r="AK248" t="inlineStr">
        <is>
          <t>08.83620.15</t>
        </is>
      </c>
      <c r="AL248" t="n">
        <v>0.461</v>
      </c>
      <c r="AM248" t="n">
        <v>68.38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170</v>
      </c>
      <c r="BI248" t="n">
        <v>2283</v>
      </c>
    </row>
    <row r="249">
      <c r="B249" t="inlineStr">
        <is>
          <t>243Rte</t>
        </is>
      </c>
      <c r="C249" t="n">
        <v>6</v>
      </c>
      <c r="D249" t="inlineStr">
        <is>
          <t>Lebanon</t>
        </is>
      </c>
      <c r="E249" t="inlineStr">
        <is>
          <t>Rd</t>
        </is>
      </c>
      <c r="F249" t="inlineStr">
        <is>
          <t>IB</t>
        </is>
      </c>
      <c r="G249" t="n">
        <v>1</v>
      </c>
      <c r="H249" t="n">
        <v>25</v>
      </c>
      <c r="I249" t="n">
        <v>90</v>
      </c>
      <c r="J249" t="n">
        <v>25</v>
      </c>
      <c r="K249" t="n">
        <v>6</v>
      </c>
      <c r="L249" t="n">
        <v>14.944394</v>
      </c>
      <c r="M249" t="n">
        <v>68.95531699999999</v>
      </c>
      <c r="N249" t="n">
        <v>14.944394</v>
      </c>
      <c r="O249" t="n">
        <v>59.57379</v>
      </c>
      <c r="P249" t="n">
        <v>14.944394</v>
      </c>
      <c r="Q249" t="n">
        <v>61.219906</v>
      </c>
      <c r="R249" t="n">
        <v>0</v>
      </c>
      <c r="S249" t="n">
        <v>0</v>
      </c>
      <c r="T249" t="inlineStr">
        <is>
          <t>432111.61.983</t>
        </is>
      </c>
      <c r="U249" t="n">
        <v>0</v>
      </c>
      <c r="V249" t="n">
        <v>1.835</v>
      </c>
      <c r="W249" t="n">
        <v>18</v>
      </c>
      <c r="X249" t="n">
        <v>2.71</v>
      </c>
      <c r="Y249" t="n">
        <v>33.61</v>
      </c>
      <c r="Z249" t="n">
        <v>0</v>
      </c>
      <c r="AA249" t="n">
        <v>0</v>
      </c>
      <c r="AB249" t="n">
        <v>0</v>
      </c>
      <c r="AC249" t="n">
        <v>0</v>
      </c>
      <c r="AD249" t="inlineStr">
        <is>
          <t>028.592.9070.500</t>
        </is>
      </c>
      <c r="AE249" t="n">
        <v>0</v>
      </c>
      <c r="AF249" t="n">
        <v>0</v>
      </c>
      <c r="AG249" t="n">
        <v>3</v>
      </c>
      <c r="AH249" t="n">
        <v>0.315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0153.619.12</t>
        </is>
      </c>
      <c r="AP249" t="n">
        <v>0</v>
      </c>
      <c r="AQ249" t="inlineStr">
        <is>
          <t>018.1418.139.7186.964</t>
        </is>
      </c>
      <c r="AR249" t="n">
        <v>1.475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98</v>
      </c>
      <c r="BN249" t="n">
        <v>1265</v>
      </c>
    </row>
    <row r="250">
      <c r="B250" t="inlineStr">
        <is>
          <t>244Rte</t>
        </is>
      </c>
      <c r="C250" t="n">
        <v>27</v>
      </c>
      <c r="D250" t="inlineStr">
        <is>
          <t>Old</t>
        </is>
      </c>
      <c r="E250" t="inlineStr">
        <is>
          <t>Hickory</t>
        </is>
      </c>
      <c r="F250" t="inlineStr">
        <is>
          <t>OB</t>
        </is>
      </c>
      <c r="G250" t="n">
        <v>1</v>
      </c>
      <c r="H250" t="n">
        <v>90</v>
      </c>
      <c r="I250" t="n">
        <v>90</v>
      </c>
      <c r="J250" t="n">
        <v>90</v>
      </c>
      <c r="K250" t="n">
        <v>90</v>
      </c>
      <c r="L250" t="n">
        <v>27</v>
      </c>
      <c r="M250" t="n">
        <v>24.898283</v>
      </c>
      <c r="N250" t="n">
        <v>93.352403</v>
      </c>
      <c r="O250" t="n">
        <v>24.898283</v>
      </c>
      <c r="P250" t="n">
        <v>89.01405800000001</v>
      </c>
      <c r="Q250" t="inlineStr">
        <is>
          <t>24.898283101.604061</t>
        </is>
      </c>
      <c r="R250" t="n">
        <v>24.898283</v>
      </c>
      <c r="S250" t="n">
        <v>82.059889</v>
      </c>
      <c r="T250" t="n">
        <v>23</v>
      </c>
      <c r="U250" t="n">
        <v>2</v>
      </c>
      <c r="V250" t="n">
        <v>2.5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8</v>
      </c>
      <c r="AI250" t="n">
        <v>0.5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5</v>
      </c>
      <c r="AW250" t="n">
        <v>0.5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2.5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7</v>
      </c>
      <c r="BY250" t="n">
        <v>151</v>
      </c>
    </row>
    <row r="251">
      <c r="B251" t="inlineStr">
        <is>
          <t>245Rte</t>
        </is>
      </c>
      <c r="C251" t="n">
        <v>27</v>
      </c>
      <c r="D251" t="inlineStr">
        <is>
          <t>Old</t>
        </is>
      </c>
      <c r="E251" t="inlineStr">
        <is>
          <t>Hickory</t>
        </is>
      </c>
      <c r="F251" t="inlineStr">
        <is>
          <t>IB</t>
        </is>
      </c>
      <c r="G251" t="n">
        <v>1</v>
      </c>
      <c r="H251" t="n">
        <v>90</v>
      </c>
      <c r="I251" t="n">
        <v>90</v>
      </c>
      <c r="J251" t="n">
        <v>90</v>
      </c>
      <c r="K251" t="n">
        <v>90</v>
      </c>
      <c r="L251" t="n">
        <v>27</v>
      </c>
      <c r="M251" t="inlineStr">
        <is>
          <t>25.979723106.741974</t>
        </is>
      </c>
      <c r="N251" t="n">
        <v>25.979723</v>
      </c>
      <c r="O251" t="n">
        <v>94.62105099999999</v>
      </c>
      <c r="P251" t="inlineStr">
        <is>
          <t>25.979723101.305664</t>
        </is>
      </c>
      <c r="Q251" t="n">
        <v>25.979723</v>
      </c>
      <c r="R251" t="n">
        <v>84.15553199999999</v>
      </c>
      <c r="S251" t="n">
        <v>558.782</v>
      </c>
      <c r="T251" t="n">
        <v>2.5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15.93</v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>
        <is>
          <t>011.200.2690.500</t>
        </is>
      </c>
      <c r="AU251" t="n">
        <v>0</v>
      </c>
      <c r="AV251" t="n">
        <v>0.5629999999999999</v>
      </c>
      <c r="AW251" t="n">
        <v>0.269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inlineStr">
        <is>
          <t>09.5001.3330.333</t>
        </is>
      </c>
      <c r="BE251" t="n">
        <v>0</v>
      </c>
      <c r="BF251" t="inlineStr">
        <is>
          <t>00.3330.533</t>
        </is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16</v>
      </c>
      <c r="BP251" t="n">
        <v>338</v>
      </c>
    </row>
    <row r="252">
      <c r="B252" t="inlineStr">
        <is>
          <t>246CrossTownAirportNB</t>
        </is>
      </c>
      <c r="C252" t="n">
        <v>2</v>
      </c>
      <c r="D252" t="n">
        <v>30</v>
      </c>
      <c r="E252" t="n">
        <v>30</v>
      </c>
      <c r="F252" t="n">
        <v>30</v>
      </c>
      <c r="G252" t="n">
        <v>60</v>
      </c>
      <c r="H252" t="n">
        <v>16.143602</v>
      </c>
      <c r="I252" t="n">
        <v>74.888974</v>
      </c>
      <c r="J252" t="n">
        <v>16.143602</v>
      </c>
      <c r="K252" t="n">
        <v>72.45146099999999</v>
      </c>
      <c r="L252" t="n">
        <v>16.143602</v>
      </c>
      <c r="M252" t="n">
        <v>75.723399</v>
      </c>
      <c r="N252" t="n">
        <v>16.143602</v>
      </c>
      <c r="O252" t="n">
        <v>68.506604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</row>
    <row r="256">
      <c r="B256" t="inlineStr">
        <is>
          <t>END</t>
        </is>
      </c>
      <c r="C256" t="inlineStr">
        <is>
          <t>TRANSIT</t>
        </is>
      </c>
      <c r="D256" t="inlineStr">
        <is>
          <t>REPORTING</t>
        </is>
      </c>
      <c r="E256" t="inlineStr">
        <is>
          <t>-</t>
        </is>
      </c>
      <c r="F256" t="inlineStr">
        <is>
          <t>Fri,</t>
        </is>
      </c>
      <c r="G256" t="inlineStr">
        <is>
          <t>Jun</t>
        </is>
      </c>
      <c r="H256" t="n">
        <v>5</v>
      </c>
      <c r="I256" t="n">
        <v>2020</v>
      </c>
      <c r="J256" t="inlineStr">
        <is>
          <t>(14:59:12)</t>
        </is>
      </c>
    </row>
    <row r="257">
      <c r="B257" t="inlineStr">
        <is>
          <t>END</t>
        </is>
      </c>
      <c r="C257" t="inlineStr">
        <is>
          <t>TRANSIT</t>
        </is>
      </c>
      <c r="D257" t="inlineStr">
        <is>
          <t>REPORTING</t>
        </is>
      </c>
      <c r="E257" t="inlineStr">
        <is>
          <t>-</t>
        </is>
      </c>
      <c r="F257" t="inlineStr">
        <is>
          <t>Sat,</t>
        </is>
      </c>
      <c r="G257" t="inlineStr">
        <is>
          <t>May</t>
        </is>
      </c>
      <c r="H257" t="n">
        <v>16</v>
      </c>
      <c r="I257" t="n">
        <v>2020</v>
      </c>
      <c r="J257" t="inlineStr">
        <is>
          <t>(01:49:48)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A10" zoomScaleNormal="100" workbookViewId="0">
      <selection activeCell="E3" sqref="E3"/>
    </sheetView>
  </sheetViews>
  <sheetFormatPr baseColWidth="8" defaultRowHeight="15"/>
  <cols>
    <col width="17.5703125" bestFit="1" customWidth="1" style="71" min="1" max="1"/>
    <col width="14.7109375" bestFit="1" customWidth="1" style="128" min="2" max="2"/>
    <col width="35.85546875" bestFit="1" customWidth="1" style="128" min="4" max="4"/>
    <col width="17.5703125" bestFit="1" customWidth="1" style="128" min="5" max="5"/>
    <col width="11.140625" bestFit="1" customWidth="1" style="128" min="6" max="6"/>
    <col width="25.7109375" bestFit="1" customWidth="1" style="128" min="7" max="7"/>
  </cols>
  <sheetData>
    <row r="1">
      <c r="A1" s="71" t="inlineStr">
        <is>
          <t>Model Rte txt+A36</t>
        </is>
      </c>
      <c r="B1" s="131" t="inlineStr">
        <is>
          <t>Model Rte num</t>
        </is>
      </c>
      <c r="C1" t="inlineStr">
        <is>
          <t>Modelid</t>
        </is>
      </c>
      <c r="D1" t="inlineStr">
        <is>
          <t>Model Rte Name</t>
        </is>
      </c>
      <c r="E1" t="inlineStr">
        <is>
          <t>Ridership Oct 2023</t>
        </is>
      </c>
      <c r="F1" s="132" t="inlineStr">
        <is>
          <t>Daily_20</t>
        </is>
      </c>
      <c r="G1" s="134" t="inlineStr">
        <is>
          <t>Daily_22</t>
        </is>
      </c>
    </row>
    <row r="2">
      <c r="A2" s="135" t="n">
        <v>3</v>
      </c>
      <c r="B2" s="131" t="n">
        <v>3</v>
      </c>
      <c r="C2" t="n">
        <v>35</v>
      </c>
      <c r="D2" t="inlineStr">
        <is>
          <t>Rte 3 West End (Bellevue) IB</t>
        </is>
      </c>
      <c r="E2" t="n">
        <v>55372</v>
      </c>
      <c r="F2" s="132" t="n">
        <v>2768.6</v>
      </c>
      <c r="G2" s="134" t="n">
        <v>2516.909090909091</v>
      </c>
    </row>
    <row r="3">
      <c r="A3" s="135" t="n">
        <v>4</v>
      </c>
      <c r="B3" s="131" t="n">
        <v>4</v>
      </c>
      <c r="C3" t="n">
        <v>17</v>
      </c>
      <c r="D3" t="inlineStr">
        <is>
          <t>Rte 4 Shelby IB</t>
        </is>
      </c>
      <c r="E3" t="n">
        <v>20703</v>
      </c>
      <c r="F3" s="132" t="n">
        <v>1035.15</v>
      </c>
      <c r="G3" s="134" t="n">
        <v>941.0454545454545</v>
      </c>
    </row>
    <row r="4">
      <c r="A4" s="135" t="n">
        <v>6</v>
      </c>
      <c r="B4" s="131" t="n">
        <v>6</v>
      </c>
      <c r="C4" t="n">
        <v>74</v>
      </c>
      <c r="D4" t="inlineStr">
        <is>
          <t>Rte 6 Lebanon Rd IB</t>
        </is>
      </c>
      <c r="E4" t="n">
        <v>18000</v>
      </c>
      <c r="F4" s="132" t="n">
        <v>900</v>
      </c>
      <c r="G4" s="134" t="n">
        <v>818.1818181818181</v>
      </c>
    </row>
    <row r="5">
      <c r="A5" s="135" t="n">
        <v>7</v>
      </c>
      <c r="B5" s="131" t="n">
        <v>7</v>
      </c>
      <c r="C5" t="n">
        <v>37</v>
      </c>
      <c r="D5" t="inlineStr">
        <is>
          <t>Rte 7 Hillsboro IB</t>
        </is>
      </c>
      <c r="E5" t="n">
        <v>40515</v>
      </c>
      <c r="F5" s="132" t="n">
        <v>2025.75</v>
      </c>
      <c r="G5" s="134" t="n">
        <v>1841.590909090909</v>
      </c>
    </row>
    <row r="6">
      <c r="A6" s="135" t="n">
        <v>8</v>
      </c>
      <c r="B6" s="131" t="n">
        <v>8</v>
      </c>
      <c r="C6" t="n">
        <v>32</v>
      </c>
      <c r="D6" t="inlineStr">
        <is>
          <t>Rte 8 8TH AVENUE SOUTH iB</t>
        </is>
      </c>
      <c r="E6" t="n">
        <v>20777</v>
      </c>
      <c r="F6" s="132" t="n">
        <v>1038.85</v>
      </c>
      <c r="G6" s="134" t="n">
        <v>944.4090909090909</v>
      </c>
    </row>
    <row r="7">
      <c r="A7" s="135" t="n">
        <v>9</v>
      </c>
      <c r="B7" s="131" t="n">
        <v>9</v>
      </c>
      <c r="C7" t="n">
        <v>51</v>
      </c>
      <c r="D7" t="inlineStr">
        <is>
          <t>Rte 9 MetroCenter IB</t>
        </is>
      </c>
      <c r="E7" t="n">
        <v>7713</v>
      </c>
      <c r="F7" s="132" t="n">
        <v>385.65</v>
      </c>
      <c r="G7" s="134" t="n">
        <v>350.5909090909091</v>
      </c>
    </row>
    <row r="8">
      <c r="A8" s="135" t="n">
        <v>14</v>
      </c>
      <c r="B8" s="131" t="n">
        <v>14</v>
      </c>
      <c r="C8" t="n">
        <v>29</v>
      </c>
      <c r="D8" t="inlineStr">
        <is>
          <t>Rte 14 WHITES CREEK iB</t>
        </is>
      </c>
      <c r="E8" t="n">
        <v>7352</v>
      </c>
      <c r="F8" s="132" t="n">
        <v>367.6</v>
      </c>
      <c r="G8" s="134" t="n">
        <v>334.1818181818182</v>
      </c>
    </row>
    <row r="9">
      <c r="A9" s="135" t="n">
        <v>17</v>
      </c>
      <c r="B9" s="131" t="n">
        <v>17</v>
      </c>
      <c r="C9" t="n">
        <v>2</v>
      </c>
      <c r="D9" t="inlineStr">
        <is>
          <t>Rte 17 12TH AVENUE SOUTH iB</t>
        </is>
      </c>
      <c r="E9" t="n">
        <v>14035</v>
      </c>
      <c r="F9" s="132" t="n">
        <v>701.75</v>
      </c>
      <c r="G9" s="134" t="n">
        <v>637.9545454545455</v>
      </c>
    </row>
    <row r="10">
      <c r="A10" s="135" t="n">
        <v>18</v>
      </c>
      <c r="B10" s="131" t="n">
        <v>18</v>
      </c>
      <c r="C10" t="n">
        <v>78</v>
      </c>
      <c r="D10" t="inlineStr">
        <is>
          <t>Rte 18 Airport Exp IB</t>
        </is>
      </c>
      <c r="E10" t="n">
        <v>14914</v>
      </c>
      <c r="F10" s="132" t="n">
        <v>745.7</v>
      </c>
      <c r="G10" s="134" t="n">
        <v>677.9090909090909</v>
      </c>
    </row>
    <row r="11">
      <c r="A11" s="135" t="n">
        <v>19</v>
      </c>
      <c r="B11" s="131" t="n">
        <v>19</v>
      </c>
      <c r="C11" t="n">
        <v>49</v>
      </c>
      <c r="D11" t="inlineStr">
        <is>
          <t>Rte 19 Herman IB</t>
        </is>
      </c>
      <c r="E11" t="n">
        <v>21026</v>
      </c>
      <c r="F11" s="132" t="n">
        <v>1051.3</v>
      </c>
      <c r="G11" s="134" t="n">
        <v>955.7272727272727</v>
      </c>
    </row>
    <row r="12">
      <c r="A12" s="135" t="n">
        <v>22</v>
      </c>
      <c r="B12" s="131" t="n">
        <v>22</v>
      </c>
      <c r="C12" t="n">
        <v>60</v>
      </c>
      <c r="D12" t="inlineStr">
        <is>
          <t>Rte 22 Bordeaux (Kings Ln) IB</t>
        </is>
      </c>
      <c r="E12" t="n">
        <v>33119</v>
      </c>
      <c r="F12" s="132" t="n">
        <v>1655.95</v>
      </c>
      <c r="G12" s="134" t="n">
        <v>1505.409090909091</v>
      </c>
    </row>
    <row r="13">
      <c r="A13" s="135" t="n">
        <v>23</v>
      </c>
      <c r="B13" s="131" t="n">
        <v>23</v>
      </c>
      <c r="C13" t="n">
        <v>15</v>
      </c>
      <c r="D13" t="inlineStr">
        <is>
          <t>Rte 23 Dickerson Pike IB</t>
        </is>
      </c>
      <c r="E13" t="n">
        <v>59191</v>
      </c>
      <c r="F13" s="132" t="n">
        <v>2959.55</v>
      </c>
      <c r="G13" s="134" t="n">
        <v>2690.5</v>
      </c>
    </row>
    <row r="14">
      <c r="A14" s="135" t="n">
        <v>28</v>
      </c>
      <c r="B14" s="131" t="n">
        <v>28</v>
      </c>
      <c r="C14" t="n">
        <v>21</v>
      </c>
      <c r="D14" t="inlineStr">
        <is>
          <t>Rte 28 Meridian IB</t>
        </is>
      </c>
      <c r="E14" t="n">
        <v>6059</v>
      </c>
      <c r="F14" s="132" t="n">
        <v>302.95</v>
      </c>
      <c r="G14" s="134" t="n">
        <v>275.4090909090909</v>
      </c>
    </row>
    <row r="15">
      <c r="A15" s="135" t="n">
        <v>29</v>
      </c>
      <c r="B15" s="131" t="n">
        <v>29</v>
      </c>
      <c r="C15" t="n">
        <v>47</v>
      </c>
      <c r="D15" t="inlineStr">
        <is>
          <t>Rte 29 Jefferson IB</t>
        </is>
      </c>
      <c r="E15" t="n">
        <v>15204</v>
      </c>
      <c r="F15" s="132" t="n">
        <v>760.2</v>
      </c>
      <c r="G15" s="134" t="n">
        <v>691.0909090909091</v>
      </c>
    </row>
    <row r="16">
      <c r="A16" s="135" t="n">
        <v>34</v>
      </c>
      <c r="B16" s="131" t="n">
        <v>34</v>
      </c>
      <c r="C16" t="n">
        <v>79</v>
      </c>
      <c r="D16" t="inlineStr">
        <is>
          <t>Rte 34 Opry Mills IB</t>
        </is>
      </c>
      <c r="E16" t="n">
        <v>8048</v>
      </c>
      <c r="F16" s="132" t="n">
        <v>402.4</v>
      </c>
      <c r="G16" s="134" t="n">
        <v>365.8181818181818</v>
      </c>
    </row>
    <row r="17">
      <c r="A17" s="135" t="n">
        <v>41</v>
      </c>
      <c r="B17" s="131" t="n">
        <v>41</v>
      </c>
      <c r="C17" t="n">
        <v>46</v>
      </c>
      <c r="D17" t="inlineStr">
        <is>
          <t>Rte 41 Golden Valley IB AM</t>
        </is>
      </c>
      <c r="E17" t="n">
        <v>1362</v>
      </c>
      <c r="F17" s="132" t="n">
        <v>68.09999999999999</v>
      </c>
      <c r="G17" s="134" t="n">
        <v>61.90909090909091</v>
      </c>
    </row>
    <row r="18">
      <c r="A18" s="135" t="n">
        <v>42</v>
      </c>
      <c r="B18" s="131" t="n">
        <v>42</v>
      </c>
      <c r="C18" t="n">
        <v>24</v>
      </c>
      <c r="D18" t="inlineStr">
        <is>
          <t>Rte 42 St. Cecilia/Cumberland IB</t>
        </is>
      </c>
      <c r="E18" t="n">
        <v>8859</v>
      </c>
      <c r="F18" s="132" t="n">
        <v>442.95</v>
      </c>
      <c r="G18" s="134" t="n">
        <v>402.6818181818182</v>
      </c>
    </row>
    <row r="19">
      <c r="A19" s="135" t="n">
        <v>50</v>
      </c>
      <c r="B19" s="131" t="n">
        <v>50</v>
      </c>
      <c r="C19" t="n">
        <v>41</v>
      </c>
      <c r="D19" t="inlineStr">
        <is>
          <t>Rte 50 CHARLOTTE PIKE iB</t>
        </is>
      </c>
      <c r="E19" t="n">
        <v>55943</v>
      </c>
      <c r="F19" s="132" t="n">
        <v>2797.15</v>
      </c>
      <c r="G19" s="134" t="n">
        <v>2542.863636363636</v>
      </c>
    </row>
    <row r="20">
      <c r="A20" s="135" t="n">
        <v>52</v>
      </c>
      <c r="B20" s="131" t="n">
        <v>52</v>
      </c>
      <c r="C20" t="n">
        <v>5</v>
      </c>
      <c r="D20" t="inlineStr">
        <is>
          <t>Rte 52 NOLENSVILLE PIKE (Hick) iB</t>
        </is>
      </c>
      <c r="E20" t="n">
        <v>79725</v>
      </c>
      <c r="F20" s="132" t="n">
        <v>3986.25</v>
      </c>
      <c r="G20" s="134" t="n">
        <v>3623.863636363636</v>
      </c>
    </row>
    <row r="21">
      <c r="A21" s="135" t="n">
        <v>55</v>
      </c>
      <c r="B21" s="131" t="n">
        <v>55</v>
      </c>
      <c r="C21" t="n">
        <v>155</v>
      </c>
      <c r="D21" t="inlineStr">
        <is>
          <t>Rte 55 MURFREESBORO PIKE iB</t>
        </is>
      </c>
      <c r="E21" t="n">
        <v>128246</v>
      </c>
      <c r="F21" s="132" t="n">
        <v>6412.3</v>
      </c>
      <c r="G21" s="134" t="n">
        <v>5829.363636363636</v>
      </c>
    </row>
    <row r="22">
      <c r="A22" s="135" t="n">
        <v>56</v>
      </c>
      <c r="B22" s="131" t="n">
        <v>56</v>
      </c>
      <c r="C22" t="n">
        <v>81</v>
      </c>
      <c r="D22" t="inlineStr">
        <is>
          <t>Rte 56 Gallatin Rd BRTmix IB</t>
        </is>
      </c>
      <c r="E22" t="n">
        <v>98359</v>
      </c>
      <c r="F22" s="132" t="n">
        <v>4917.95</v>
      </c>
      <c r="G22" s="134" t="n">
        <v>4470.863636363636</v>
      </c>
    </row>
    <row r="23">
      <c r="A23" s="135" t="n">
        <v>64</v>
      </c>
      <c r="B23" s="131" t="n">
        <v>64</v>
      </c>
      <c r="C23" t="n">
        <v>31</v>
      </c>
      <c r="D23" t="inlineStr">
        <is>
          <t>Rte 64 STAR DOWNTOWN SHUTTLE</t>
        </is>
      </c>
      <c r="E23" t="n">
        <v>202</v>
      </c>
      <c r="F23" s="132" t="n">
        <v>10.1</v>
      </c>
      <c r="G23" s="134" t="n">
        <v>9.181818181818182</v>
      </c>
    </row>
    <row r="24">
      <c r="A24" s="135" t="n">
        <v>70</v>
      </c>
      <c r="B24" s="131" t="n">
        <v>70</v>
      </c>
      <c r="C24" t="n">
        <v>95</v>
      </c>
      <c r="D24" t="inlineStr">
        <is>
          <t>Rte 70 Belevue Conn IB</t>
        </is>
      </c>
      <c r="E24" t="n">
        <v>933</v>
      </c>
      <c r="F24" s="132" t="n">
        <v>46.65</v>
      </c>
      <c r="G24" s="134" t="n">
        <v>42.40909090909091</v>
      </c>
    </row>
    <row r="25">
      <c r="A25" s="135" t="n">
        <v>75</v>
      </c>
      <c r="B25" s="131" t="n">
        <v>75</v>
      </c>
      <c r="C25" t="n">
        <v>23</v>
      </c>
      <c r="D25" t="inlineStr">
        <is>
          <t>Rte 75 Midtown CCW Loop</t>
        </is>
      </c>
      <c r="E25" t="n">
        <v>2808</v>
      </c>
      <c r="F25" s="132" t="n">
        <v>140.4</v>
      </c>
      <c r="G25" s="134" t="n">
        <v>127.6363636363636</v>
      </c>
    </row>
    <row r="26">
      <c r="A26" s="135" t="n">
        <v>76</v>
      </c>
      <c r="B26" s="131" t="n">
        <v>76</v>
      </c>
      <c r="C26" t="n">
        <v>54</v>
      </c>
      <c r="D26" t="inlineStr">
        <is>
          <t>Rte 76 Madison Conn</t>
        </is>
      </c>
      <c r="E26" t="n">
        <v>7641</v>
      </c>
      <c r="F26" s="132" t="n">
        <v>382.05</v>
      </c>
      <c r="G26" s="134" t="n">
        <v>347.3181818181818</v>
      </c>
    </row>
    <row r="27">
      <c r="A27" s="135" t="n">
        <v>77</v>
      </c>
      <c r="B27" s="131" t="n">
        <v>77</v>
      </c>
      <c r="C27" t="n">
        <v>88</v>
      </c>
      <c r="D27" t="inlineStr">
        <is>
          <t>Rte 77 THOMPSON - WEDGEWOOD ccw</t>
        </is>
      </c>
      <c r="E27" t="n">
        <v>7347</v>
      </c>
      <c r="F27" s="132" t="n">
        <v>367.35</v>
      </c>
      <c r="G27" s="134" t="n">
        <v>333.9545454545454</v>
      </c>
    </row>
    <row r="28">
      <c r="A28" s="135" t="n">
        <v>79</v>
      </c>
      <c r="B28" s="131" t="n">
        <v>79</v>
      </c>
      <c r="C28" t="n">
        <v>148</v>
      </c>
      <c r="D28" t="inlineStr">
        <is>
          <t>Rte 79 Skyline iB</t>
        </is>
      </c>
      <c r="E28" t="n">
        <v>4967</v>
      </c>
      <c r="F28" s="132" t="n">
        <v>248.35</v>
      </c>
      <c r="G28" s="134" t="n">
        <v>225.7727272727273</v>
      </c>
    </row>
    <row r="29">
      <c r="A29" s="135" t="n">
        <v>84</v>
      </c>
      <c r="B29" s="131" t="n">
        <v>84</v>
      </c>
      <c r="C29" t="n">
        <v>67</v>
      </c>
      <c r="D29" t="inlineStr">
        <is>
          <t>Rte 84 Murfreesboro Express IB</t>
        </is>
      </c>
      <c r="E29" t="n">
        <v>2805</v>
      </c>
      <c r="F29" s="132" t="n">
        <v>140.25</v>
      </c>
      <c r="G29" s="134" t="n">
        <v>127.5</v>
      </c>
    </row>
    <row r="30">
      <c r="A30" s="135" t="n">
        <v>86</v>
      </c>
      <c r="B30" s="131" t="n">
        <v>86</v>
      </c>
      <c r="C30" t="n">
        <v>68</v>
      </c>
      <c r="D30" t="inlineStr">
        <is>
          <t>Rte 86 Smyrna Lavergne Exp IB</t>
        </is>
      </c>
      <c r="E30" t="n">
        <v>1036</v>
      </c>
      <c r="F30" s="132" t="n">
        <v>51.8</v>
      </c>
      <c r="G30" s="134" t="n">
        <v>47.09090909090909</v>
      </c>
    </row>
    <row r="31">
      <c r="A31" s="135" t="n">
        <v>87</v>
      </c>
      <c r="B31" s="131" t="n">
        <v>87</v>
      </c>
      <c r="C31" t="n">
        <v>86</v>
      </c>
      <c r="D31" t="inlineStr">
        <is>
          <t>Rte 87 Gallatin Comm Bus IB</t>
        </is>
      </c>
      <c r="E31" t="n">
        <v>1701</v>
      </c>
      <c r="F31" s="132" t="n">
        <v>85.05</v>
      </c>
      <c r="G31" s="134" t="n">
        <v>77.31818181818181</v>
      </c>
    </row>
    <row r="32">
      <c r="A32" s="135" t="n">
        <v>89</v>
      </c>
      <c r="B32" s="131" t="n">
        <v>89</v>
      </c>
      <c r="C32" t="n">
        <v>57</v>
      </c>
      <c r="D32" t="inlineStr">
        <is>
          <t>Rte 89 Spgfield/Joelton Exp OB</t>
        </is>
      </c>
      <c r="E32" t="n">
        <v>506</v>
      </c>
      <c r="F32" s="132" t="n">
        <v>25.3</v>
      </c>
      <c r="G32" s="134" t="n">
        <v>23</v>
      </c>
    </row>
    <row r="33">
      <c r="A33" s="135" t="n">
        <v>90</v>
      </c>
      <c r="B33" s="131" t="n">
        <v>90</v>
      </c>
      <c r="C33" t="n">
        <v>132</v>
      </c>
      <c r="D33" t="inlineStr">
        <is>
          <t>Rte 90 Music City Star iB</t>
        </is>
      </c>
      <c r="E33" t="n">
        <v>8785</v>
      </c>
      <c r="F33" s="132" t="n">
        <v>439.25</v>
      </c>
      <c r="G33" s="134" t="n">
        <v>399.3181818181818</v>
      </c>
    </row>
    <row r="34">
      <c r="A34" s="135" t="n">
        <v>93</v>
      </c>
      <c r="B34" s="131" t="n">
        <v>93</v>
      </c>
      <c r="C34" t="n">
        <v>36</v>
      </c>
      <c r="D34" t="inlineStr">
        <is>
          <t>Rte 93 MCS West End Shuttle</t>
        </is>
      </c>
      <c r="E34" t="n">
        <v>2670</v>
      </c>
      <c r="F34" s="132" t="n">
        <v>133.5</v>
      </c>
      <c r="G34" s="134" t="n">
        <v>121.3636363636364</v>
      </c>
    </row>
    <row r="35">
      <c r="A35" s="135" t="n">
        <v>95</v>
      </c>
      <c r="B35" s="131" t="n">
        <v>95</v>
      </c>
      <c r="C35" t="n">
        <v>72</v>
      </c>
      <c r="D35" t="inlineStr">
        <is>
          <t>Rte 95 Spring Hill Exp IB</t>
        </is>
      </c>
      <c r="E35" t="n">
        <v>1136</v>
      </c>
      <c r="F35" s="132" t="n">
        <v>56.8</v>
      </c>
      <c r="G35" s="134" t="n">
        <v>51.63636363636363</v>
      </c>
    </row>
    <row r="36">
      <c r="D36" t="inlineStr">
        <is>
          <t>Rover</t>
        </is>
      </c>
      <c r="E36" t="n">
        <v>9187</v>
      </c>
      <c r="F36" s="132" t="n">
        <v>459.35</v>
      </c>
      <c r="G36" s="134" t="n">
        <v>417.5909090909091</v>
      </c>
    </row>
    <row r="37">
      <c r="D37" t="inlineStr">
        <is>
          <t>FTA</t>
        </is>
      </c>
      <c r="E37" t="n">
        <v>12084</v>
      </c>
      <c r="F37" s="132" t="n">
        <v>604.2</v>
      </c>
      <c r="G37" s="134" t="n">
        <v>549.2727272727273</v>
      </c>
    </row>
    <row r="38">
      <c r="D38" t="inlineStr">
        <is>
          <t>Mule</t>
        </is>
      </c>
      <c r="F38" s="132" t="n"/>
    </row>
    <row r="39">
      <c r="F39" s="132" t="n"/>
    </row>
    <row r="40">
      <c r="A40" s="136" t="n"/>
      <c r="B40" s="129" t="n"/>
      <c r="C40" s="129" t="n"/>
      <c r="D40" s="129" t="inlineStr">
        <is>
          <t>TOTAL</t>
        </is>
      </c>
      <c r="E40" s="130" t="n">
        <v>778330</v>
      </c>
      <c r="F40" s="130" t="n">
        <v>38916.50000000001</v>
      </c>
      <c r="G40" s="134" t="n">
        <v>35378.63636363637</v>
      </c>
    </row>
    <row r="41">
      <c r="F41" s="133" t="n">
        <v>38916.5</v>
      </c>
      <c r="G41" s="134" t="inlineStr">
        <is>
          <t>check monthly weekday/20</t>
        </is>
      </c>
    </row>
    <row r="42">
      <c r="F42" s="127">
        <f>E40/20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J2" sqref="J2"/>
    </sheetView>
  </sheetViews>
  <sheetFormatPr baseColWidth="8" defaultRowHeight="15"/>
  <cols>
    <col width="9.140625" customWidth="1" style="128" min="5" max="5"/>
  </cols>
  <sheetData>
    <row r="1">
      <c r="B1" t="inlineStr">
        <is>
          <t>Route</t>
        </is>
      </c>
      <c r="C1" t="inlineStr">
        <is>
          <t>Mode</t>
        </is>
      </c>
      <c r="D1" t="inlineStr">
        <is>
          <t>Route Name</t>
        </is>
      </c>
      <c r="F1" t="inlineStr">
        <is>
          <t>AM</t>
        </is>
      </c>
      <c r="G1" t="inlineStr">
        <is>
          <t>MD</t>
        </is>
      </c>
      <c r="H1" t="inlineStr">
        <is>
          <t>PM</t>
        </is>
      </c>
      <c r="I1" t="inlineStr">
        <is>
          <t>OP   |</t>
        </is>
      </c>
      <c r="J1" t="inlineStr">
        <is>
          <t>T</t>
        </is>
      </c>
      <c r="K1" t="inlineStr">
        <is>
          <t>otal</t>
        </is>
      </c>
      <c r="M1" t="inlineStr">
        <is>
          <t>text</t>
        </is>
      </c>
      <c r="N1" t="inlineStr">
        <is>
          <t>Boarding</t>
        </is>
      </c>
    </row>
    <row r="2">
      <c r="B2">
        <f>TrnStat.asc!B54</f>
        <v/>
      </c>
      <c r="C2">
        <f>TrnStat.asc!C54</f>
        <v/>
      </c>
      <c r="D2">
        <f>TrnStat.asc!D54</f>
        <v/>
      </c>
      <c r="E2">
        <f>TrnStat.asc!E54</f>
        <v/>
      </c>
      <c r="F2">
        <f>TrnStat.asc!F54</f>
        <v/>
      </c>
      <c r="G2">
        <f>TrnStat.asc!G54</f>
        <v/>
      </c>
      <c r="H2">
        <f>TrnStat.asc!H54</f>
        <v/>
      </c>
      <c r="I2">
        <f>TrnStat.asc!I54</f>
        <v/>
      </c>
      <c r="J2">
        <f>TrnStat.asc!J54</f>
        <v/>
      </c>
      <c r="K2">
        <f>TrnStat.asc!K54</f>
        <v/>
      </c>
      <c r="M2">
        <f>IF(ISNUMBER(K2),K2,CONCATENATE(LEFT(K2,2),RIGHT(K2,3)))</f>
        <v/>
      </c>
      <c r="N2">
        <f>VALUE(M2)</f>
        <v/>
      </c>
    </row>
    <row r="3">
      <c r="B3">
        <f>TrnStat.asc!B55</f>
        <v/>
      </c>
      <c r="C3">
        <f>TrnStat.asc!C55</f>
        <v/>
      </c>
      <c r="D3">
        <f>TrnStat.asc!D55</f>
        <v/>
      </c>
      <c r="E3">
        <f>TrnStat.asc!E55</f>
        <v/>
      </c>
      <c r="F3">
        <f>TrnStat.asc!F55</f>
        <v/>
      </c>
      <c r="G3">
        <f>TrnStat.asc!G55</f>
        <v/>
      </c>
      <c r="H3">
        <f>TrnStat.asc!H55</f>
        <v/>
      </c>
      <c r="I3">
        <f>TrnStat.asc!I55</f>
        <v/>
      </c>
      <c r="J3">
        <f>TrnStat.asc!J55</f>
        <v/>
      </c>
      <c r="K3">
        <f>TrnStat.asc!K55</f>
        <v/>
      </c>
      <c r="M3">
        <f>IF(ISNUMBER(K3),K3,CONCATENATE(LEFT(K3,2),RIGHT(K3,3)))</f>
        <v/>
      </c>
      <c r="N3">
        <f>VALUE(M3)</f>
        <v/>
      </c>
    </row>
    <row r="4">
      <c r="B4">
        <f>TrnStat.asc!B56</f>
        <v/>
      </c>
      <c r="C4">
        <f>TrnStat.asc!C56</f>
        <v/>
      </c>
      <c r="D4">
        <f>TrnStat.asc!D56</f>
        <v/>
      </c>
      <c r="E4">
        <f>TrnStat.asc!E56</f>
        <v/>
      </c>
      <c r="F4">
        <f>TrnStat.asc!F56</f>
        <v/>
      </c>
      <c r="G4">
        <f>TrnStat.asc!G56</f>
        <v/>
      </c>
      <c r="H4">
        <f>TrnStat.asc!H56</f>
        <v/>
      </c>
      <c r="I4">
        <f>TrnStat.asc!I56</f>
        <v/>
      </c>
      <c r="J4">
        <f>TrnStat.asc!J56</f>
        <v/>
      </c>
      <c r="K4">
        <f>TrnStat.asc!K56</f>
        <v/>
      </c>
      <c r="M4">
        <f>IF(ISNUMBER(K4),K4,CONCATENATE(LEFT(K4,2),RIGHT(K4,3)))</f>
        <v/>
      </c>
      <c r="N4">
        <f>VALUE(M4)</f>
        <v/>
      </c>
    </row>
    <row r="5">
      <c r="B5">
        <f>TrnStat.asc!B57</f>
        <v/>
      </c>
      <c r="C5">
        <f>TrnStat.asc!C57</f>
        <v/>
      </c>
      <c r="D5">
        <f>TrnStat.asc!D57</f>
        <v/>
      </c>
      <c r="E5">
        <f>TrnStat.asc!E57</f>
        <v/>
      </c>
      <c r="F5">
        <f>TrnStat.asc!F57</f>
        <v/>
      </c>
      <c r="G5">
        <f>TrnStat.asc!G57</f>
        <v/>
      </c>
      <c r="H5">
        <f>TrnStat.asc!H57</f>
        <v/>
      </c>
      <c r="I5">
        <f>TrnStat.asc!I57</f>
        <v/>
      </c>
      <c r="J5">
        <f>TrnStat.asc!J57</f>
        <v/>
      </c>
      <c r="K5">
        <f>TrnStat.asc!K57</f>
        <v/>
      </c>
      <c r="M5">
        <f>IF(ISNUMBER(K5),K5,CONCATENATE(LEFT(K5,2),RIGHT(K5,3)))</f>
        <v/>
      </c>
      <c r="N5">
        <f>VALUE(M5)</f>
        <v/>
      </c>
    </row>
    <row r="6">
      <c r="B6">
        <f>TrnStat.asc!B58</f>
        <v/>
      </c>
      <c r="C6">
        <f>TrnStat.asc!C58</f>
        <v/>
      </c>
      <c r="D6">
        <f>TrnStat.asc!D58</f>
        <v/>
      </c>
      <c r="E6">
        <f>TrnStat.asc!E58</f>
        <v/>
      </c>
      <c r="F6">
        <f>TrnStat.asc!F58</f>
        <v/>
      </c>
      <c r="G6">
        <f>TrnStat.asc!G58</f>
        <v/>
      </c>
      <c r="H6">
        <f>TrnStat.asc!H58</f>
        <v/>
      </c>
      <c r="I6">
        <f>TrnStat.asc!I58</f>
        <v/>
      </c>
      <c r="J6">
        <f>TrnStat.asc!J58</f>
        <v/>
      </c>
      <c r="K6">
        <f>TrnStat.asc!K58</f>
        <v/>
      </c>
      <c r="M6">
        <f>IF(ISNUMBER(K6),K6,CONCATENATE(LEFT(K6,2),RIGHT(K6,3)))</f>
        <v/>
      </c>
      <c r="N6">
        <f>VALUE(M6)</f>
        <v/>
      </c>
    </row>
    <row r="7">
      <c r="B7">
        <f>TrnStat.asc!B59</f>
        <v/>
      </c>
      <c r="C7">
        <f>TrnStat.asc!C59</f>
        <v/>
      </c>
      <c r="D7">
        <f>TrnStat.asc!D59</f>
        <v/>
      </c>
      <c r="E7">
        <f>TrnStat.asc!E59</f>
        <v/>
      </c>
      <c r="F7">
        <f>TrnStat.asc!F59</f>
        <v/>
      </c>
      <c r="G7">
        <f>TrnStat.asc!G59</f>
        <v/>
      </c>
      <c r="H7">
        <f>TrnStat.asc!H59</f>
        <v/>
      </c>
      <c r="I7">
        <f>TrnStat.asc!I59</f>
        <v/>
      </c>
      <c r="J7">
        <f>TrnStat.asc!J59</f>
        <v/>
      </c>
      <c r="K7">
        <f>TrnStat.asc!K59</f>
        <v/>
      </c>
      <c r="M7">
        <f>IF(ISNUMBER(K7),K7,CONCATENATE(LEFT(K7,2),RIGHT(K7,3)))</f>
        <v/>
      </c>
      <c r="N7">
        <f>VALUE(M7)</f>
        <v/>
      </c>
    </row>
    <row r="8">
      <c r="B8">
        <f>TrnStat.asc!B60</f>
        <v/>
      </c>
      <c r="C8">
        <f>TrnStat.asc!C60</f>
        <v/>
      </c>
      <c r="D8">
        <f>TrnStat.asc!D60</f>
        <v/>
      </c>
      <c r="E8">
        <f>TrnStat.asc!E60</f>
        <v/>
      </c>
      <c r="F8">
        <f>TrnStat.asc!F60</f>
        <v/>
      </c>
      <c r="G8">
        <f>TrnStat.asc!G60</f>
        <v/>
      </c>
      <c r="H8">
        <f>TrnStat.asc!H60</f>
        <v/>
      </c>
      <c r="I8">
        <f>TrnStat.asc!I60</f>
        <v/>
      </c>
      <c r="J8">
        <f>TrnStat.asc!J60</f>
        <v/>
      </c>
      <c r="K8">
        <f>TrnStat.asc!K60</f>
        <v/>
      </c>
      <c r="M8">
        <f>IF(ISNUMBER(K8),K8,CONCATENATE(LEFT(K8,2),RIGHT(K8,3)))</f>
        <v/>
      </c>
      <c r="N8">
        <f>VALUE(M8)</f>
        <v/>
      </c>
    </row>
    <row r="9">
      <c r="B9">
        <f>TrnStat.asc!B61</f>
        <v/>
      </c>
      <c r="C9">
        <f>TrnStat.asc!C61</f>
        <v/>
      </c>
      <c r="D9">
        <f>TrnStat.asc!D61</f>
        <v/>
      </c>
      <c r="E9">
        <f>TrnStat.asc!E61</f>
        <v/>
      </c>
      <c r="F9">
        <f>TrnStat.asc!F61</f>
        <v/>
      </c>
      <c r="G9">
        <f>TrnStat.asc!G61</f>
        <v/>
      </c>
      <c r="H9">
        <f>TrnStat.asc!H61</f>
        <v/>
      </c>
      <c r="I9">
        <f>TrnStat.asc!I61</f>
        <v/>
      </c>
      <c r="J9">
        <f>TrnStat.asc!J61</f>
        <v/>
      </c>
      <c r="K9">
        <f>TrnStat.asc!K61</f>
        <v/>
      </c>
      <c r="M9">
        <f>IF(ISNUMBER(K9),K9,CONCATENATE(LEFT(K9,2),RIGHT(K9,3)))</f>
        <v/>
      </c>
      <c r="N9">
        <f>VALUE(M9)</f>
        <v/>
      </c>
    </row>
    <row r="10">
      <c r="B10">
        <f>TrnStat.asc!B62</f>
        <v/>
      </c>
      <c r="C10">
        <f>TrnStat.asc!C62</f>
        <v/>
      </c>
      <c r="D10">
        <f>TrnStat.asc!D62</f>
        <v/>
      </c>
      <c r="E10">
        <f>TrnStat.asc!E62</f>
        <v/>
      </c>
      <c r="F10">
        <f>TrnStat.asc!F62</f>
        <v/>
      </c>
      <c r="G10">
        <f>TrnStat.asc!G62</f>
        <v/>
      </c>
      <c r="H10">
        <f>TrnStat.asc!H62</f>
        <v/>
      </c>
      <c r="I10">
        <f>TrnStat.asc!I62</f>
        <v/>
      </c>
      <c r="J10">
        <f>TrnStat.asc!J62</f>
        <v/>
      </c>
      <c r="K10">
        <f>TrnStat.asc!K62</f>
        <v/>
      </c>
      <c r="M10">
        <f>IF(ISNUMBER(K10),K10,CONCATENATE(LEFT(K10,2),RIGHT(K10,3)))</f>
        <v/>
      </c>
      <c r="N10">
        <f>VALUE(M10)</f>
        <v/>
      </c>
    </row>
    <row r="11">
      <c r="B11">
        <f>TrnStat.asc!B63</f>
        <v/>
      </c>
      <c r="C11">
        <f>TrnStat.asc!C63</f>
        <v/>
      </c>
      <c r="D11">
        <f>TrnStat.asc!D63</f>
        <v/>
      </c>
      <c r="E11">
        <f>TrnStat.asc!E63</f>
        <v/>
      </c>
      <c r="F11">
        <f>TrnStat.asc!F63</f>
        <v/>
      </c>
      <c r="G11">
        <f>TrnStat.asc!G63</f>
        <v/>
      </c>
      <c r="H11">
        <f>TrnStat.asc!H63</f>
        <v/>
      </c>
      <c r="I11">
        <f>TrnStat.asc!I63</f>
        <v/>
      </c>
      <c r="J11">
        <f>TrnStat.asc!J63</f>
        <v/>
      </c>
      <c r="K11">
        <f>TrnStat.asc!K63</f>
        <v/>
      </c>
      <c r="M11">
        <f>IF(ISNUMBER(K11),K11,CONCATENATE(LEFT(K11,2),RIGHT(K11,3)))</f>
        <v/>
      </c>
      <c r="N11">
        <f>VALUE(M11)</f>
        <v/>
      </c>
    </row>
    <row r="12">
      <c r="B12">
        <f>TrnStat.asc!B64</f>
        <v/>
      </c>
      <c r="C12">
        <f>TrnStat.asc!C64</f>
        <v/>
      </c>
      <c r="D12">
        <f>TrnStat.asc!D64</f>
        <v/>
      </c>
      <c r="E12">
        <f>TrnStat.asc!E64</f>
        <v/>
      </c>
      <c r="F12">
        <f>TrnStat.asc!F64</f>
        <v/>
      </c>
      <c r="G12">
        <f>TrnStat.asc!G64</f>
        <v/>
      </c>
      <c r="H12">
        <f>TrnStat.asc!H64</f>
        <v/>
      </c>
      <c r="I12">
        <f>TrnStat.asc!I64</f>
        <v/>
      </c>
      <c r="J12">
        <f>TrnStat.asc!J64</f>
        <v/>
      </c>
      <c r="K12">
        <f>TrnStat.asc!K64</f>
        <v/>
      </c>
      <c r="M12">
        <f>IF(ISNUMBER(K12),K12,CONCATENATE(LEFT(K12,2),RIGHT(K12,3)))</f>
        <v/>
      </c>
      <c r="N12">
        <f>VALUE(M12)</f>
        <v/>
      </c>
    </row>
    <row r="13">
      <c r="B13">
        <f>TrnStat.asc!B65</f>
        <v/>
      </c>
      <c r="C13">
        <f>TrnStat.asc!C65</f>
        <v/>
      </c>
      <c r="D13">
        <f>TrnStat.asc!D65</f>
        <v/>
      </c>
      <c r="E13">
        <f>TrnStat.asc!E65</f>
        <v/>
      </c>
      <c r="F13">
        <f>TrnStat.asc!F65</f>
        <v/>
      </c>
      <c r="G13">
        <f>TrnStat.asc!G65</f>
        <v/>
      </c>
      <c r="H13">
        <f>TrnStat.asc!H65</f>
        <v/>
      </c>
      <c r="I13">
        <f>TrnStat.asc!I65</f>
        <v/>
      </c>
      <c r="J13">
        <f>TrnStat.asc!J65</f>
        <v/>
      </c>
      <c r="K13">
        <f>TrnStat.asc!K65</f>
        <v/>
      </c>
      <c r="M13">
        <f>IF(ISNUMBER(K13),K13,CONCATENATE(LEFT(K13,2),RIGHT(K13,3)))</f>
        <v/>
      </c>
      <c r="N13">
        <f>VALUE(M13)</f>
        <v/>
      </c>
    </row>
    <row r="14">
      <c r="B14">
        <f>TrnStat.asc!B66</f>
        <v/>
      </c>
      <c r="C14">
        <f>TrnStat.asc!C66</f>
        <v/>
      </c>
      <c r="D14">
        <f>TrnStat.asc!D66</f>
        <v/>
      </c>
      <c r="E14">
        <f>TrnStat.asc!E66</f>
        <v/>
      </c>
      <c r="F14">
        <f>TrnStat.asc!F66</f>
        <v/>
      </c>
      <c r="G14">
        <f>TrnStat.asc!G66</f>
        <v/>
      </c>
      <c r="H14">
        <f>TrnStat.asc!H66</f>
        <v/>
      </c>
      <c r="I14">
        <f>TrnStat.asc!I66</f>
        <v/>
      </c>
      <c r="J14">
        <f>TrnStat.asc!J66</f>
        <v/>
      </c>
      <c r="K14">
        <f>TrnStat.asc!K66</f>
        <v/>
      </c>
      <c r="M14">
        <f>IF(ISNUMBER(K14),K14,CONCATENATE(LEFT(K14,2),RIGHT(K14,3)))</f>
        <v/>
      </c>
      <c r="N14">
        <f>VALUE(M14)</f>
        <v/>
      </c>
    </row>
    <row r="15">
      <c r="B15">
        <f>TrnStat.asc!B67</f>
        <v/>
      </c>
      <c r="C15">
        <f>TrnStat.asc!C67</f>
        <v/>
      </c>
      <c r="D15">
        <f>TrnStat.asc!D67</f>
        <v/>
      </c>
      <c r="E15">
        <f>TrnStat.asc!E67</f>
        <v/>
      </c>
      <c r="F15">
        <f>TrnStat.asc!F67</f>
        <v/>
      </c>
      <c r="G15">
        <f>TrnStat.asc!G67</f>
        <v/>
      </c>
      <c r="H15">
        <f>TrnStat.asc!H67</f>
        <v/>
      </c>
      <c r="I15">
        <f>TrnStat.asc!I67</f>
        <v/>
      </c>
      <c r="J15">
        <f>TrnStat.asc!J67</f>
        <v/>
      </c>
      <c r="K15">
        <f>TrnStat.asc!K67</f>
        <v/>
      </c>
      <c r="M15">
        <f>IF(ISNUMBER(K15),K15,CONCATENATE(LEFT(K15,2),RIGHT(K15,3)))</f>
        <v/>
      </c>
      <c r="N15">
        <f>VALUE(M15)</f>
        <v/>
      </c>
    </row>
    <row r="16">
      <c r="B16">
        <f>TrnStat.asc!B68</f>
        <v/>
      </c>
      <c r="C16">
        <f>TrnStat.asc!C68</f>
        <v/>
      </c>
      <c r="D16">
        <f>TrnStat.asc!D68</f>
        <v/>
      </c>
      <c r="E16">
        <f>TrnStat.asc!E68</f>
        <v/>
      </c>
      <c r="F16">
        <f>TrnStat.asc!F68</f>
        <v/>
      </c>
      <c r="G16">
        <f>TrnStat.asc!G68</f>
        <v/>
      </c>
      <c r="H16">
        <f>TrnStat.asc!H68</f>
        <v/>
      </c>
      <c r="I16">
        <f>TrnStat.asc!I68</f>
        <v/>
      </c>
      <c r="J16">
        <f>TrnStat.asc!J68</f>
        <v/>
      </c>
      <c r="K16">
        <f>TrnStat.asc!K68</f>
        <v/>
      </c>
      <c r="M16">
        <f>IF(ISNUMBER(K16),K16,CONCATENATE(LEFT(K16,2),RIGHT(K16,3)))</f>
        <v/>
      </c>
      <c r="N16">
        <f>VALUE(M16)</f>
        <v/>
      </c>
    </row>
    <row r="17">
      <c r="B17">
        <f>TrnStat.asc!B69</f>
        <v/>
      </c>
      <c r="C17">
        <f>TrnStat.asc!C69</f>
        <v/>
      </c>
      <c r="D17">
        <f>TrnStat.asc!D69</f>
        <v/>
      </c>
      <c r="E17">
        <f>TrnStat.asc!E69</f>
        <v/>
      </c>
      <c r="F17">
        <f>TrnStat.asc!F69</f>
        <v/>
      </c>
      <c r="G17">
        <f>TrnStat.asc!G69</f>
        <v/>
      </c>
      <c r="H17">
        <f>TrnStat.asc!H69</f>
        <v/>
      </c>
      <c r="I17">
        <f>TrnStat.asc!I69</f>
        <v/>
      </c>
      <c r="J17">
        <f>TrnStat.asc!J69</f>
        <v/>
      </c>
      <c r="K17">
        <f>TrnStat.asc!K69</f>
        <v/>
      </c>
      <c r="M17">
        <f>IF(ISNUMBER(K17),K17,CONCATENATE(LEFT(K17,2),RIGHT(K17,3)))</f>
        <v/>
      </c>
      <c r="N17">
        <f>VALUE(M17)</f>
        <v/>
      </c>
    </row>
    <row r="18">
      <c r="B18">
        <f>TrnStat.asc!B70</f>
        <v/>
      </c>
      <c r="C18">
        <f>TrnStat.asc!C70</f>
        <v/>
      </c>
      <c r="D18">
        <f>TrnStat.asc!D70</f>
        <v/>
      </c>
      <c r="E18">
        <f>TrnStat.asc!E70</f>
        <v/>
      </c>
      <c r="F18">
        <f>TrnStat.asc!F70</f>
        <v/>
      </c>
      <c r="G18">
        <f>TrnStat.asc!G70</f>
        <v/>
      </c>
      <c r="H18">
        <f>TrnStat.asc!H70</f>
        <v/>
      </c>
      <c r="I18">
        <f>TrnStat.asc!I70</f>
        <v/>
      </c>
      <c r="J18">
        <f>TrnStat.asc!J70</f>
        <v/>
      </c>
      <c r="K18">
        <f>TrnStat.asc!K70</f>
        <v/>
      </c>
      <c r="M18">
        <f>IF(ISNUMBER(K18),K18,CONCATENATE(LEFT(K18,2),RIGHT(K18,3)))</f>
        <v/>
      </c>
      <c r="N18">
        <f>VALUE(M18)</f>
        <v/>
      </c>
    </row>
    <row r="19">
      <c r="B19">
        <f>TrnStat.asc!B71</f>
        <v/>
      </c>
      <c r="C19">
        <f>TrnStat.asc!C71</f>
        <v/>
      </c>
      <c r="D19">
        <f>TrnStat.asc!D71</f>
        <v/>
      </c>
      <c r="E19">
        <f>TrnStat.asc!E71</f>
        <v/>
      </c>
      <c r="F19">
        <f>TrnStat.asc!F71</f>
        <v/>
      </c>
      <c r="G19">
        <f>TrnStat.asc!G71</f>
        <v/>
      </c>
      <c r="H19">
        <f>TrnStat.asc!H71</f>
        <v/>
      </c>
      <c r="I19">
        <f>TrnStat.asc!I71</f>
        <v/>
      </c>
      <c r="J19">
        <f>TrnStat.asc!J71</f>
        <v/>
      </c>
      <c r="K19">
        <f>TrnStat.asc!K71</f>
        <v/>
      </c>
      <c r="M19">
        <f>IF(ISNUMBER(K19),K19,CONCATENATE(LEFT(K19,2),RIGHT(K19,3)))</f>
        <v/>
      </c>
      <c r="N19">
        <f>VALUE(M19)</f>
        <v/>
      </c>
    </row>
    <row r="20">
      <c r="B20">
        <f>TrnStat.asc!B72</f>
        <v/>
      </c>
      <c r="C20">
        <f>TrnStat.asc!C72</f>
        <v/>
      </c>
      <c r="D20">
        <f>TrnStat.asc!D72</f>
        <v/>
      </c>
      <c r="E20">
        <f>TrnStat.asc!E72</f>
        <v/>
      </c>
      <c r="F20">
        <f>TrnStat.asc!F72</f>
        <v/>
      </c>
      <c r="G20">
        <f>TrnStat.asc!G72</f>
        <v/>
      </c>
      <c r="H20">
        <f>TrnStat.asc!H72</f>
        <v/>
      </c>
      <c r="I20">
        <f>TrnStat.asc!I72</f>
        <v/>
      </c>
      <c r="J20">
        <f>TrnStat.asc!J72</f>
        <v/>
      </c>
      <c r="K20">
        <f>TrnStat.asc!K72</f>
        <v/>
      </c>
      <c r="M20">
        <f>IF(ISNUMBER(K20),K20,CONCATENATE(LEFT(K20,2),RIGHT(K20,3)))</f>
        <v/>
      </c>
      <c r="N20">
        <f>VALUE(M20)</f>
        <v/>
      </c>
    </row>
    <row r="21">
      <c r="B21">
        <f>TrnStat.asc!B73</f>
        <v/>
      </c>
      <c r="C21">
        <f>TrnStat.asc!C73</f>
        <v/>
      </c>
      <c r="D21">
        <f>TrnStat.asc!D73</f>
        <v/>
      </c>
      <c r="E21">
        <f>TrnStat.asc!E73</f>
        <v/>
      </c>
      <c r="F21">
        <f>TrnStat.asc!F73</f>
        <v/>
      </c>
      <c r="G21">
        <f>TrnStat.asc!G73</f>
        <v/>
      </c>
      <c r="H21">
        <f>TrnStat.asc!H73</f>
        <v/>
      </c>
      <c r="I21">
        <f>TrnStat.asc!I73</f>
        <v/>
      </c>
      <c r="J21">
        <f>TrnStat.asc!J73</f>
        <v/>
      </c>
      <c r="K21">
        <f>TrnStat.asc!K73</f>
        <v/>
      </c>
      <c r="M21">
        <f>IF(ISNUMBER(K21),K21,CONCATENATE(LEFT(K21,2),RIGHT(K21,3)))</f>
        <v/>
      </c>
      <c r="N21">
        <f>VALUE(M21)</f>
        <v/>
      </c>
    </row>
    <row r="22">
      <c r="B22">
        <f>TrnStat.asc!B74</f>
        <v/>
      </c>
      <c r="C22">
        <f>TrnStat.asc!C74</f>
        <v/>
      </c>
      <c r="D22">
        <f>TrnStat.asc!D74</f>
        <v/>
      </c>
      <c r="E22">
        <f>TrnStat.asc!E74</f>
        <v/>
      </c>
      <c r="F22">
        <f>TrnStat.asc!F74</f>
        <v/>
      </c>
      <c r="G22">
        <f>TrnStat.asc!G74</f>
        <v/>
      </c>
      <c r="H22">
        <f>TrnStat.asc!H74</f>
        <v/>
      </c>
      <c r="I22">
        <f>TrnStat.asc!I74</f>
        <v/>
      </c>
      <c r="J22">
        <f>TrnStat.asc!J74</f>
        <v/>
      </c>
      <c r="K22">
        <f>TrnStat.asc!K74</f>
        <v/>
      </c>
      <c r="M22">
        <f>IF(ISNUMBER(K22),K22,CONCATENATE(LEFT(K22,2),RIGHT(K22,3)))</f>
        <v/>
      </c>
      <c r="N22">
        <f>VALUE(M22)</f>
        <v/>
      </c>
    </row>
    <row r="23">
      <c r="B23">
        <f>TrnStat.asc!B75</f>
        <v/>
      </c>
      <c r="C23">
        <f>TrnStat.asc!C75</f>
        <v/>
      </c>
      <c r="D23">
        <f>TrnStat.asc!D75</f>
        <v/>
      </c>
      <c r="E23">
        <f>TrnStat.asc!E75</f>
        <v/>
      </c>
      <c r="F23">
        <f>TrnStat.asc!F75</f>
        <v/>
      </c>
      <c r="G23">
        <f>TrnStat.asc!G75</f>
        <v/>
      </c>
      <c r="H23">
        <f>TrnStat.asc!H75</f>
        <v/>
      </c>
      <c r="I23">
        <f>TrnStat.asc!I75</f>
        <v/>
      </c>
      <c r="J23">
        <f>TrnStat.asc!J75</f>
        <v/>
      </c>
      <c r="K23">
        <f>TrnStat.asc!K75</f>
        <v/>
      </c>
      <c r="M23">
        <f>IF(ISNUMBER(K23),K23,CONCATENATE(LEFT(K23,2),RIGHT(K23,3)))</f>
        <v/>
      </c>
      <c r="N23">
        <f>VALUE(M23)</f>
        <v/>
      </c>
    </row>
    <row r="24">
      <c r="B24">
        <f>TrnStat.asc!B76</f>
        <v/>
      </c>
      <c r="C24">
        <f>TrnStat.asc!C76</f>
        <v/>
      </c>
      <c r="D24">
        <f>TrnStat.asc!D76</f>
        <v/>
      </c>
      <c r="E24">
        <f>TrnStat.asc!E76</f>
        <v/>
      </c>
      <c r="F24">
        <f>TrnStat.asc!F76</f>
        <v/>
      </c>
      <c r="G24">
        <f>TrnStat.asc!G76</f>
        <v/>
      </c>
      <c r="H24">
        <f>TrnStat.asc!H76</f>
        <v/>
      </c>
      <c r="I24">
        <f>TrnStat.asc!I76</f>
        <v/>
      </c>
      <c r="J24">
        <f>TrnStat.asc!J76</f>
        <v/>
      </c>
      <c r="K24">
        <f>TrnStat.asc!K76</f>
        <v/>
      </c>
      <c r="M24">
        <f>IF(ISNUMBER(K24),K24,CONCATENATE(LEFT(K24,2),RIGHT(K24,3)))</f>
        <v/>
      </c>
      <c r="N24">
        <f>VALUE(M24)</f>
        <v/>
      </c>
    </row>
    <row r="25">
      <c r="B25">
        <f>TrnStat.asc!B77</f>
        <v/>
      </c>
      <c r="C25">
        <f>TrnStat.asc!C77</f>
        <v/>
      </c>
      <c r="D25">
        <f>TrnStat.asc!D77</f>
        <v/>
      </c>
      <c r="E25">
        <f>TrnStat.asc!E77</f>
        <v/>
      </c>
      <c r="F25">
        <f>TrnStat.asc!F77</f>
        <v/>
      </c>
      <c r="G25">
        <f>TrnStat.asc!G77</f>
        <v/>
      </c>
      <c r="H25">
        <f>TrnStat.asc!H77</f>
        <v/>
      </c>
      <c r="I25">
        <f>TrnStat.asc!I77</f>
        <v/>
      </c>
      <c r="J25">
        <f>TrnStat.asc!J77</f>
        <v/>
      </c>
      <c r="K25">
        <f>TrnStat.asc!K77</f>
        <v/>
      </c>
      <c r="M25">
        <f>IF(ISNUMBER(K25),K25,CONCATENATE(LEFT(K25,2),RIGHT(K25,3)))</f>
        <v/>
      </c>
      <c r="N25">
        <f>VALUE(M25)</f>
        <v/>
      </c>
    </row>
    <row r="26">
      <c r="B26">
        <f>TrnStat.asc!B78</f>
        <v/>
      </c>
      <c r="C26">
        <f>TrnStat.asc!C78</f>
        <v/>
      </c>
      <c r="D26">
        <f>TrnStat.asc!D78</f>
        <v/>
      </c>
      <c r="E26">
        <f>TrnStat.asc!E78</f>
        <v/>
      </c>
      <c r="F26">
        <f>TrnStat.asc!F78</f>
        <v/>
      </c>
      <c r="G26">
        <f>TrnStat.asc!G78</f>
        <v/>
      </c>
      <c r="H26">
        <f>TrnStat.asc!H78</f>
        <v/>
      </c>
      <c r="I26">
        <f>TrnStat.asc!I78</f>
        <v/>
      </c>
      <c r="J26">
        <f>TrnStat.asc!J78</f>
        <v/>
      </c>
      <c r="K26">
        <f>TrnStat.asc!K78</f>
        <v/>
      </c>
      <c r="M26">
        <f>IF(ISNUMBER(K26),K26,CONCATENATE(LEFT(K26,2),RIGHT(K26,3)))</f>
        <v/>
      </c>
      <c r="N26">
        <f>VALUE(M26)</f>
        <v/>
      </c>
    </row>
    <row r="27">
      <c r="B27">
        <f>TrnStat.asc!B79</f>
        <v/>
      </c>
      <c r="C27">
        <f>TrnStat.asc!C79</f>
        <v/>
      </c>
      <c r="D27">
        <f>TrnStat.asc!D79</f>
        <v/>
      </c>
      <c r="E27">
        <f>TrnStat.asc!E79</f>
        <v/>
      </c>
      <c r="F27">
        <f>TrnStat.asc!F79</f>
        <v/>
      </c>
      <c r="G27">
        <f>TrnStat.asc!G79</f>
        <v/>
      </c>
      <c r="H27">
        <f>TrnStat.asc!H79</f>
        <v/>
      </c>
      <c r="I27">
        <f>TrnStat.asc!I79</f>
        <v/>
      </c>
      <c r="J27">
        <f>TrnStat.asc!J79</f>
        <v/>
      </c>
      <c r="K27">
        <f>TrnStat.asc!K79</f>
        <v/>
      </c>
      <c r="M27">
        <f>IF(ISNUMBER(K27),K27,CONCATENATE(LEFT(K27,2),RIGHT(K27,3)))</f>
        <v/>
      </c>
      <c r="N27">
        <f>VALUE(M27)</f>
        <v/>
      </c>
    </row>
    <row r="28">
      <c r="B28">
        <f>TrnStat.asc!B80</f>
        <v/>
      </c>
      <c r="C28">
        <f>TrnStat.asc!C80</f>
        <v/>
      </c>
      <c r="D28">
        <f>TrnStat.asc!D80</f>
        <v/>
      </c>
      <c r="E28">
        <f>TrnStat.asc!E80</f>
        <v/>
      </c>
      <c r="F28">
        <f>TrnStat.asc!F80</f>
        <v/>
      </c>
      <c r="G28">
        <f>TrnStat.asc!G80</f>
        <v/>
      </c>
      <c r="H28">
        <f>TrnStat.asc!H80</f>
        <v/>
      </c>
      <c r="I28">
        <f>TrnStat.asc!I80</f>
        <v/>
      </c>
      <c r="J28">
        <f>TrnStat.asc!J80</f>
        <v/>
      </c>
      <c r="K28">
        <f>TrnStat.asc!K80</f>
        <v/>
      </c>
      <c r="M28">
        <f>IF(ISNUMBER(K28),K28,CONCATENATE(LEFT(K28,2),RIGHT(K28,3)))</f>
        <v/>
      </c>
      <c r="N28">
        <f>VALUE(M28)</f>
        <v/>
      </c>
    </row>
    <row r="29">
      <c r="B29">
        <f>TrnStat.asc!B81</f>
        <v/>
      </c>
      <c r="C29">
        <f>TrnStat.asc!C81</f>
        <v/>
      </c>
      <c r="D29">
        <f>TrnStat.asc!D81</f>
        <v/>
      </c>
      <c r="E29">
        <f>TrnStat.asc!E81</f>
        <v/>
      </c>
      <c r="F29">
        <f>TrnStat.asc!F81</f>
        <v/>
      </c>
      <c r="G29">
        <f>TrnStat.asc!G81</f>
        <v/>
      </c>
      <c r="H29">
        <f>TrnStat.asc!H81</f>
        <v/>
      </c>
      <c r="I29">
        <f>TrnStat.asc!I81</f>
        <v/>
      </c>
      <c r="J29">
        <f>TrnStat.asc!J81</f>
        <v/>
      </c>
      <c r="K29">
        <f>TrnStat.asc!K81</f>
        <v/>
      </c>
      <c r="M29">
        <f>IF(ISNUMBER(K29),K29,CONCATENATE(LEFT(K29,2),RIGHT(K29,3)))</f>
        <v/>
      </c>
      <c r="N29">
        <f>VALUE(M29)</f>
        <v/>
      </c>
    </row>
    <row r="30">
      <c r="B30">
        <f>TrnStat.asc!B82</f>
        <v/>
      </c>
      <c r="C30">
        <f>TrnStat.asc!C82</f>
        <v/>
      </c>
      <c r="D30">
        <f>TrnStat.asc!D82</f>
        <v/>
      </c>
      <c r="E30">
        <f>TrnStat.asc!E82</f>
        <v/>
      </c>
      <c r="F30">
        <f>TrnStat.asc!F82</f>
        <v/>
      </c>
      <c r="G30">
        <f>TrnStat.asc!G82</f>
        <v/>
      </c>
      <c r="H30">
        <f>TrnStat.asc!H82</f>
        <v/>
      </c>
      <c r="I30">
        <f>TrnStat.asc!I82</f>
        <v/>
      </c>
      <c r="J30">
        <f>TrnStat.asc!J82</f>
        <v/>
      </c>
      <c r="K30">
        <f>TrnStat.asc!K82</f>
        <v/>
      </c>
      <c r="M30">
        <f>IF(ISNUMBER(K30),K30,CONCATENATE(LEFT(K30,2),RIGHT(K30,3)))</f>
        <v/>
      </c>
      <c r="N30">
        <f>VALUE(M30)</f>
        <v/>
      </c>
    </row>
    <row r="31">
      <c r="B31">
        <f>TrnStat.asc!B83</f>
        <v/>
      </c>
      <c r="C31">
        <f>TrnStat.asc!C83</f>
        <v/>
      </c>
      <c r="D31">
        <f>TrnStat.asc!D83</f>
        <v/>
      </c>
      <c r="E31">
        <f>TrnStat.asc!E83</f>
        <v/>
      </c>
      <c r="F31">
        <f>TrnStat.asc!F83</f>
        <v/>
      </c>
      <c r="G31">
        <f>TrnStat.asc!G83</f>
        <v/>
      </c>
      <c r="H31">
        <f>TrnStat.asc!H83</f>
        <v/>
      </c>
      <c r="I31">
        <f>TrnStat.asc!I83</f>
        <v/>
      </c>
      <c r="J31">
        <f>TrnStat.asc!J83</f>
        <v/>
      </c>
      <c r="K31">
        <f>TrnStat.asc!K83</f>
        <v/>
      </c>
      <c r="M31">
        <f>IF(ISNUMBER(K31),K31,CONCATENATE(LEFT(K31,2),RIGHT(K31,3)))</f>
        <v/>
      </c>
      <c r="N31">
        <f>VALUE(M31)</f>
        <v/>
      </c>
    </row>
    <row r="32">
      <c r="B32">
        <f>TrnStat.asc!B84</f>
        <v/>
      </c>
      <c r="C32">
        <f>TrnStat.asc!C84</f>
        <v/>
      </c>
      <c r="D32">
        <f>TrnStat.asc!D84</f>
        <v/>
      </c>
      <c r="E32">
        <f>TrnStat.asc!E84</f>
        <v/>
      </c>
      <c r="F32">
        <f>TrnStat.asc!F84</f>
        <v/>
      </c>
      <c r="G32">
        <f>TrnStat.asc!G84</f>
        <v/>
      </c>
      <c r="H32">
        <f>TrnStat.asc!H84</f>
        <v/>
      </c>
      <c r="I32">
        <f>TrnStat.asc!I84</f>
        <v/>
      </c>
      <c r="J32">
        <f>TrnStat.asc!J84</f>
        <v/>
      </c>
      <c r="K32">
        <f>TrnStat.asc!K84</f>
        <v/>
      </c>
      <c r="M32">
        <f>IF(ISNUMBER(K32),K32,CONCATENATE(LEFT(K32,2),RIGHT(K32,3)))</f>
        <v/>
      </c>
      <c r="N32">
        <f>VALUE(M32)</f>
        <v/>
      </c>
    </row>
    <row r="33">
      <c r="B33">
        <f>TrnStat.asc!B85</f>
        <v/>
      </c>
      <c r="C33">
        <f>TrnStat.asc!C85</f>
        <v/>
      </c>
      <c r="D33">
        <f>TrnStat.asc!D85</f>
        <v/>
      </c>
      <c r="E33">
        <f>TrnStat.asc!E85</f>
        <v/>
      </c>
      <c r="F33">
        <f>TrnStat.asc!F85</f>
        <v/>
      </c>
      <c r="G33">
        <f>TrnStat.asc!G85</f>
        <v/>
      </c>
      <c r="H33">
        <f>TrnStat.asc!H85</f>
        <v/>
      </c>
      <c r="I33">
        <f>TrnStat.asc!I85</f>
        <v/>
      </c>
      <c r="J33">
        <f>TrnStat.asc!J85</f>
        <v/>
      </c>
      <c r="K33">
        <f>TrnStat.asc!K85</f>
        <v/>
      </c>
      <c r="M33">
        <f>IF(ISNUMBER(K33),K33,CONCATENATE(LEFT(K33,2),RIGHT(K33,3)))</f>
        <v/>
      </c>
      <c r="N33">
        <f>VALUE(M33)</f>
        <v/>
      </c>
    </row>
    <row r="34">
      <c r="B34">
        <f>TrnStat.asc!B86</f>
        <v/>
      </c>
      <c r="C34">
        <f>TrnStat.asc!C86</f>
        <v/>
      </c>
      <c r="D34">
        <f>TrnStat.asc!D86</f>
        <v/>
      </c>
      <c r="E34">
        <f>TrnStat.asc!E86</f>
        <v/>
      </c>
      <c r="F34">
        <f>TrnStat.asc!F86</f>
        <v/>
      </c>
      <c r="G34">
        <f>TrnStat.asc!G86</f>
        <v/>
      </c>
      <c r="H34">
        <f>TrnStat.asc!H86</f>
        <v/>
      </c>
      <c r="I34">
        <f>TrnStat.asc!I86</f>
        <v/>
      </c>
      <c r="J34">
        <f>TrnStat.asc!J86</f>
        <v/>
      </c>
      <c r="K34">
        <f>TrnStat.asc!K86</f>
        <v/>
      </c>
      <c r="M34">
        <f>IF(ISNUMBER(K34),K34,CONCATENATE(LEFT(K34,2),RIGHT(K34,3)))</f>
        <v/>
      </c>
      <c r="N34">
        <f>VALUE(M34)</f>
        <v/>
      </c>
    </row>
    <row r="35">
      <c r="B35">
        <f>TrnStat.asc!B87</f>
        <v/>
      </c>
      <c r="C35">
        <f>TrnStat.asc!C87</f>
        <v/>
      </c>
      <c r="D35">
        <f>TrnStat.asc!D87</f>
        <v/>
      </c>
      <c r="E35">
        <f>TrnStat.asc!E87</f>
        <v/>
      </c>
      <c r="F35">
        <f>TrnStat.asc!F87</f>
        <v/>
      </c>
      <c r="G35">
        <f>TrnStat.asc!G87</f>
        <v/>
      </c>
      <c r="H35">
        <f>TrnStat.asc!H87</f>
        <v/>
      </c>
      <c r="I35">
        <f>TrnStat.asc!I87</f>
        <v/>
      </c>
      <c r="J35">
        <f>TrnStat.asc!J87</f>
        <v/>
      </c>
      <c r="K35">
        <f>TrnStat.asc!K87</f>
        <v/>
      </c>
      <c r="M35">
        <f>IF(ISNUMBER(K35),K35,CONCATENATE(LEFT(K35,2),RIGHT(K35,3)))</f>
        <v/>
      </c>
      <c r="N35">
        <f>VALUE(M35)</f>
        <v/>
      </c>
    </row>
    <row r="36">
      <c r="B36">
        <f>TrnStat.asc!B88</f>
        <v/>
      </c>
      <c r="C36">
        <f>TrnStat.asc!C88</f>
        <v/>
      </c>
      <c r="D36">
        <f>TrnStat.asc!D88</f>
        <v/>
      </c>
      <c r="E36">
        <f>TrnStat.asc!E88</f>
        <v/>
      </c>
      <c r="F36">
        <f>TrnStat.asc!F88</f>
        <v/>
      </c>
      <c r="G36">
        <f>TrnStat.asc!G88</f>
        <v/>
      </c>
      <c r="H36">
        <f>TrnStat.asc!H88</f>
        <v/>
      </c>
      <c r="I36">
        <f>TrnStat.asc!I88</f>
        <v/>
      </c>
      <c r="J36">
        <f>TrnStat.asc!J88</f>
        <v/>
      </c>
      <c r="K36">
        <f>TrnStat.asc!K88</f>
        <v/>
      </c>
      <c r="M36">
        <f>IF(ISNUMBER(K36),K36,CONCATENATE(LEFT(K36,2),RIGHT(K36,3)))</f>
        <v/>
      </c>
      <c r="N36">
        <f>VALUE(M36)</f>
        <v/>
      </c>
    </row>
    <row r="37">
      <c r="B37">
        <f>TrnStat.asc!B89</f>
        <v/>
      </c>
      <c r="C37">
        <f>TrnStat.asc!C89</f>
        <v/>
      </c>
      <c r="D37">
        <f>TrnStat.asc!D89</f>
        <v/>
      </c>
      <c r="E37">
        <f>TrnStat.asc!E89</f>
        <v/>
      </c>
      <c r="F37">
        <f>TrnStat.asc!F89</f>
        <v/>
      </c>
      <c r="G37">
        <f>TrnStat.asc!G89</f>
        <v/>
      </c>
      <c r="H37">
        <f>TrnStat.asc!H89</f>
        <v/>
      </c>
      <c r="I37">
        <f>TrnStat.asc!I89</f>
        <v/>
      </c>
      <c r="J37">
        <f>TrnStat.asc!J89</f>
        <v/>
      </c>
      <c r="K37">
        <f>TrnStat.asc!K89</f>
        <v/>
      </c>
      <c r="M37">
        <f>IF(ISNUMBER(K37),K37,CONCATENATE(LEFT(K37,2),RIGHT(K37,3)))</f>
        <v/>
      </c>
      <c r="N37">
        <f>VALUE(M37)</f>
        <v/>
      </c>
    </row>
    <row r="38">
      <c r="B38">
        <f>TrnStat.asc!B90</f>
        <v/>
      </c>
      <c r="C38">
        <f>TrnStat.asc!C90</f>
        <v/>
      </c>
      <c r="D38">
        <f>TrnStat.asc!D90</f>
        <v/>
      </c>
      <c r="E38">
        <f>TrnStat.asc!E90</f>
        <v/>
      </c>
      <c r="F38">
        <f>TrnStat.asc!F90</f>
        <v/>
      </c>
      <c r="G38">
        <f>TrnStat.asc!G90</f>
        <v/>
      </c>
      <c r="H38">
        <f>TrnStat.asc!H90</f>
        <v/>
      </c>
      <c r="I38">
        <f>TrnStat.asc!I90</f>
        <v/>
      </c>
      <c r="J38">
        <f>TrnStat.asc!J90</f>
        <v/>
      </c>
      <c r="K38">
        <f>TrnStat.asc!K90</f>
        <v/>
      </c>
      <c r="M38">
        <f>IF(ISNUMBER(K38),K38,CONCATENATE(LEFT(K38,2),RIGHT(K38,3)))</f>
        <v/>
      </c>
      <c r="N38">
        <f>VALUE(M38)</f>
        <v/>
      </c>
    </row>
    <row r="39">
      <c r="B39">
        <f>TrnStat.asc!B91</f>
        <v/>
      </c>
      <c r="C39">
        <f>TrnStat.asc!C91</f>
        <v/>
      </c>
      <c r="D39">
        <f>TrnStat.asc!D91</f>
        <v/>
      </c>
      <c r="E39">
        <f>TrnStat.asc!E91</f>
        <v/>
      </c>
      <c r="F39">
        <f>TrnStat.asc!F91</f>
        <v/>
      </c>
      <c r="G39">
        <f>TrnStat.asc!G91</f>
        <v/>
      </c>
      <c r="H39">
        <f>TrnStat.asc!H91</f>
        <v/>
      </c>
      <c r="I39">
        <f>TrnStat.asc!I91</f>
        <v/>
      </c>
      <c r="J39">
        <f>TrnStat.asc!J91</f>
        <v/>
      </c>
      <c r="K39">
        <f>TrnStat.asc!K91</f>
        <v/>
      </c>
      <c r="M39">
        <f>IF(ISNUMBER(K39),K39,CONCATENATE(LEFT(K39,2),RIGHT(K39,3)))</f>
        <v/>
      </c>
      <c r="N39">
        <f>VALUE(M39)</f>
        <v/>
      </c>
    </row>
    <row r="40">
      <c r="B40">
        <f>TrnStat.asc!B92</f>
        <v/>
      </c>
      <c r="C40">
        <f>TrnStat.asc!C92</f>
        <v/>
      </c>
      <c r="D40">
        <f>TrnStat.asc!D92</f>
        <v/>
      </c>
      <c r="E40">
        <f>TrnStat.asc!E92</f>
        <v/>
      </c>
      <c r="F40">
        <f>TrnStat.asc!F92</f>
        <v/>
      </c>
      <c r="G40">
        <f>TrnStat.asc!G92</f>
        <v/>
      </c>
      <c r="H40">
        <f>TrnStat.asc!H92</f>
        <v/>
      </c>
      <c r="I40">
        <f>TrnStat.asc!I92</f>
        <v/>
      </c>
      <c r="J40">
        <f>TrnStat.asc!J92</f>
        <v/>
      </c>
      <c r="K40">
        <f>TrnStat.asc!K92</f>
        <v/>
      </c>
      <c r="M40">
        <f>IF(ISNUMBER(K40),K40,CONCATENATE(LEFT(K40,2),RIGHT(K40,3)))</f>
        <v/>
      </c>
      <c r="N40">
        <f>VALUE(M40)</f>
        <v/>
      </c>
    </row>
    <row r="41">
      <c r="B41">
        <f>TrnStat.asc!B93</f>
        <v/>
      </c>
      <c r="C41">
        <f>TrnStat.asc!C93</f>
        <v/>
      </c>
      <c r="D41">
        <f>TrnStat.asc!D93</f>
        <v/>
      </c>
      <c r="E41">
        <f>TrnStat.asc!E93</f>
        <v/>
      </c>
      <c r="F41">
        <f>TrnStat.asc!F93</f>
        <v/>
      </c>
      <c r="G41">
        <f>TrnStat.asc!G93</f>
        <v/>
      </c>
      <c r="H41">
        <f>TrnStat.asc!H93</f>
        <v/>
      </c>
      <c r="I41">
        <f>TrnStat.asc!I93</f>
        <v/>
      </c>
      <c r="J41">
        <f>TrnStat.asc!J93</f>
        <v/>
      </c>
      <c r="K41">
        <f>TrnStat.asc!K93</f>
        <v/>
      </c>
      <c r="M41">
        <f>IF(ISNUMBER(K41),K41,CONCATENATE(LEFT(K41,2),RIGHT(K41,3)))</f>
        <v/>
      </c>
      <c r="N41">
        <f>VALUE(M41)</f>
        <v/>
      </c>
    </row>
    <row r="42">
      <c r="B42">
        <f>TrnStat.asc!B94</f>
        <v/>
      </c>
      <c r="C42">
        <f>TrnStat.asc!C94</f>
        <v/>
      </c>
      <c r="D42">
        <f>TrnStat.asc!D94</f>
        <v/>
      </c>
      <c r="E42">
        <f>TrnStat.asc!E94</f>
        <v/>
      </c>
      <c r="F42">
        <f>TrnStat.asc!F94</f>
        <v/>
      </c>
      <c r="G42">
        <f>TrnStat.asc!G94</f>
        <v/>
      </c>
      <c r="H42">
        <f>TrnStat.asc!H94</f>
        <v/>
      </c>
      <c r="I42">
        <f>TrnStat.asc!I94</f>
        <v/>
      </c>
      <c r="J42">
        <f>TrnStat.asc!J94</f>
        <v/>
      </c>
      <c r="K42">
        <f>TrnStat.asc!K94</f>
        <v/>
      </c>
      <c r="M42">
        <f>IF(ISNUMBER(K42),K42,CONCATENATE(LEFT(K42,2),RIGHT(K42,3)))</f>
        <v/>
      </c>
      <c r="N42">
        <f>VALUE(M42)</f>
        <v/>
      </c>
    </row>
    <row r="43">
      <c r="B43">
        <f>TrnStat.asc!B95</f>
        <v/>
      </c>
      <c r="C43">
        <f>TrnStat.asc!C95</f>
        <v/>
      </c>
      <c r="D43">
        <f>TrnStat.asc!D95</f>
        <v/>
      </c>
      <c r="E43">
        <f>TrnStat.asc!E95</f>
        <v/>
      </c>
      <c r="F43">
        <f>TrnStat.asc!F95</f>
        <v/>
      </c>
      <c r="G43">
        <f>TrnStat.asc!G95</f>
        <v/>
      </c>
      <c r="H43">
        <f>TrnStat.asc!H95</f>
        <v/>
      </c>
      <c r="I43">
        <f>TrnStat.asc!I95</f>
        <v/>
      </c>
      <c r="J43">
        <f>TrnStat.asc!J95</f>
        <v/>
      </c>
      <c r="K43">
        <f>TrnStat.asc!K95</f>
        <v/>
      </c>
      <c r="M43">
        <f>IF(ISNUMBER(K43),K43,CONCATENATE(LEFT(K43,2),RIGHT(K43,3)))</f>
        <v/>
      </c>
      <c r="N43">
        <f>VALUE(M43)</f>
        <v/>
      </c>
    </row>
    <row r="44">
      <c r="B44">
        <f>TrnStat.asc!B96</f>
        <v/>
      </c>
      <c r="C44">
        <f>TrnStat.asc!C96</f>
        <v/>
      </c>
      <c r="D44">
        <f>TrnStat.asc!D96</f>
        <v/>
      </c>
      <c r="E44">
        <f>TrnStat.asc!E96</f>
        <v/>
      </c>
      <c r="F44">
        <f>TrnStat.asc!F96</f>
        <v/>
      </c>
      <c r="G44">
        <f>TrnStat.asc!G96</f>
        <v/>
      </c>
      <c r="H44">
        <f>TrnStat.asc!H96</f>
        <v/>
      </c>
      <c r="I44">
        <f>TrnStat.asc!I96</f>
        <v/>
      </c>
      <c r="J44">
        <f>TrnStat.asc!J96</f>
        <v/>
      </c>
      <c r="K44">
        <f>TrnStat.asc!K96</f>
        <v/>
      </c>
      <c r="M44">
        <f>IF(ISNUMBER(K44),K44,CONCATENATE(LEFT(K44,2),RIGHT(K44,3)))</f>
        <v/>
      </c>
      <c r="N44">
        <f>VALUE(M44)</f>
        <v/>
      </c>
    </row>
    <row r="45">
      <c r="B45">
        <f>TrnStat.asc!B97</f>
        <v/>
      </c>
      <c r="C45">
        <f>TrnStat.asc!C97</f>
        <v/>
      </c>
      <c r="D45">
        <f>TrnStat.asc!D97</f>
        <v/>
      </c>
      <c r="E45">
        <f>TrnStat.asc!E97</f>
        <v/>
      </c>
      <c r="F45">
        <f>TrnStat.asc!F97</f>
        <v/>
      </c>
      <c r="G45">
        <f>TrnStat.asc!G97</f>
        <v/>
      </c>
      <c r="H45">
        <f>TrnStat.asc!H97</f>
        <v/>
      </c>
      <c r="I45">
        <f>TrnStat.asc!I97</f>
        <v/>
      </c>
      <c r="J45">
        <f>TrnStat.asc!J97</f>
        <v/>
      </c>
      <c r="K45">
        <f>TrnStat.asc!K97</f>
        <v/>
      </c>
      <c r="M45">
        <f>IF(ISNUMBER(K45),K45,CONCATENATE(LEFT(K45,2),RIGHT(K45,3)))</f>
        <v/>
      </c>
      <c r="N45">
        <f>VALUE(M45)</f>
        <v/>
      </c>
    </row>
    <row r="46">
      <c r="B46">
        <f>TrnStat.asc!B98</f>
        <v/>
      </c>
      <c r="C46">
        <f>TrnStat.asc!C98</f>
        <v/>
      </c>
      <c r="D46">
        <f>TrnStat.asc!D98</f>
        <v/>
      </c>
      <c r="E46">
        <f>TrnStat.asc!E98</f>
        <v/>
      </c>
      <c r="F46">
        <f>TrnStat.asc!F98</f>
        <v/>
      </c>
      <c r="G46">
        <f>TrnStat.asc!G98</f>
        <v/>
      </c>
      <c r="H46">
        <f>TrnStat.asc!H98</f>
        <v/>
      </c>
      <c r="I46">
        <f>TrnStat.asc!I98</f>
        <v/>
      </c>
      <c r="J46">
        <f>TrnStat.asc!J98</f>
        <v/>
      </c>
      <c r="K46">
        <f>TrnStat.asc!K98</f>
        <v/>
      </c>
      <c r="M46">
        <f>IF(ISNUMBER(K46),K46,CONCATENATE(LEFT(K46,2),RIGHT(K46,3)))</f>
        <v/>
      </c>
      <c r="N46">
        <f>VALUE(M46)</f>
        <v/>
      </c>
    </row>
    <row r="47">
      <c r="B47">
        <f>TrnStat.asc!B99</f>
        <v/>
      </c>
      <c r="C47">
        <f>TrnStat.asc!C99</f>
        <v/>
      </c>
      <c r="D47">
        <f>TrnStat.asc!D99</f>
        <v/>
      </c>
      <c r="E47">
        <f>TrnStat.asc!E99</f>
        <v/>
      </c>
      <c r="F47">
        <f>TrnStat.asc!F99</f>
        <v/>
      </c>
      <c r="G47">
        <f>TrnStat.asc!G99</f>
        <v/>
      </c>
      <c r="H47">
        <f>TrnStat.asc!H99</f>
        <v/>
      </c>
      <c r="I47">
        <f>TrnStat.asc!I99</f>
        <v/>
      </c>
      <c r="J47">
        <f>TrnStat.asc!J99</f>
        <v/>
      </c>
      <c r="K47">
        <f>TrnStat.asc!K99</f>
        <v/>
      </c>
      <c r="M47">
        <f>IF(ISNUMBER(K47),K47,CONCATENATE(LEFT(K47,2),RIGHT(K47,3)))</f>
        <v/>
      </c>
      <c r="N47">
        <f>VALUE(M47)</f>
        <v/>
      </c>
    </row>
    <row r="48">
      <c r="B48">
        <f>TrnStat.asc!B100</f>
        <v/>
      </c>
      <c r="C48">
        <f>TrnStat.asc!C100</f>
        <v/>
      </c>
      <c r="D48">
        <f>TrnStat.asc!D100</f>
        <v/>
      </c>
      <c r="E48">
        <f>TrnStat.asc!E100</f>
        <v/>
      </c>
      <c r="F48">
        <f>TrnStat.asc!F100</f>
        <v/>
      </c>
      <c r="G48">
        <f>TrnStat.asc!G100</f>
        <v/>
      </c>
      <c r="H48">
        <f>TrnStat.asc!H100</f>
        <v/>
      </c>
      <c r="I48">
        <f>TrnStat.asc!I100</f>
        <v/>
      </c>
      <c r="J48">
        <f>TrnStat.asc!J100</f>
        <v/>
      </c>
      <c r="K48">
        <f>TrnStat.asc!K100</f>
        <v/>
      </c>
      <c r="M48">
        <f>IF(ISNUMBER(K48),K48,CONCATENATE(LEFT(K48,2),RIGHT(K48,3)))</f>
        <v/>
      </c>
      <c r="N48">
        <f>VALUE(M48)</f>
        <v/>
      </c>
    </row>
    <row r="49">
      <c r="B49">
        <f>TrnStat.asc!B101</f>
        <v/>
      </c>
      <c r="C49">
        <f>TrnStat.asc!C101</f>
        <v/>
      </c>
      <c r="D49">
        <f>TrnStat.asc!D101</f>
        <v/>
      </c>
      <c r="E49">
        <f>TrnStat.asc!E101</f>
        <v/>
      </c>
      <c r="F49">
        <f>TrnStat.asc!F101</f>
        <v/>
      </c>
      <c r="G49">
        <f>TrnStat.asc!G101</f>
        <v/>
      </c>
      <c r="H49">
        <f>TrnStat.asc!H101</f>
        <v/>
      </c>
      <c r="I49">
        <f>TrnStat.asc!I101</f>
        <v/>
      </c>
      <c r="J49">
        <f>TrnStat.asc!J101</f>
        <v/>
      </c>
      <c r="K49">
        <f>TrnStat.asc!K101</f>
        <v/>
      </c>
      <c r="M49">
        <f>IF(ISNUMBER(K49),K49,CONCATENATE(LEFT(K49,2),RIGHT(K49,3)))</f>
        <v/>
      </c>
      <c r="N49">
        <f>VALUE(M49)</f>
        <v/>
      </c>
    </row>
    <row r="50">
      <c r="B50">
        <f>TrnStat.asc!B102</f>
        <v/>
      </c>
      <c r="C50">
        <f>TrnStat.asc!C102</f>
        <v/>
      </c>
      <c r="D50">
        <f>TrnStat.asc!D102</f>
        <v/>
      </c>
      <c r="E50">
        <f>TrnStat.asc!E102</f>
        <v/>
      </c>
      <c r="F50">
        <f>TrnStat.asc!F102</f>
        <v/>
      </c>
      <c r="G50">
        <f>TrnStat.asc!G102</f>
        <v/>
      </c>
      <c r="H50">
        <f>TrnStat.asc!H102</f>
        <v/>
      </c>
      <c r="I50">
        <f>TrnStat.asc!I102</f>
        <v/>
      </c>
      <c r="J50">
        <f>TrnStat.asc!J102</f>
        <v/>
      </c>
      <c r="K50">
        <f>TrnStat.asc!K102</f>
        <v/>
      </c>
      <c r="M50">
        <f>IF(ISNUMBER(K50),K50,CONCATENATE(LEFT(K50,2),RIGHT(K50,3)))</f>
        <v/>
      </c>
      <c r="N50">
        <f>VALUE(M50)</f>
        <v/>
      </c>
    </row>
    <row r="51">
      <c r="B51">
        <f>TrnStat.asc!B103</f>
        <v/>
      </c>
      <c r="C51">
        <f>TrnStat.asc!C103</f>
        <v/>
      </c>
      <c r="D51">
        <f>TrnStat.asc!D103</f>
        <v/>
      </c>
      <c r="E51">
        <f>TrnStat.asc!E103</f>
        <v/>
      </c>
      <c r="F51">
        <f>TrnStat.asc!F103</f>
        <v/>
      </c>
      <c r="G51">
        <f>TrnStat.asc!G103</f>
        <v/>
      </c>
      <c r="H51">
        <f>TrnStat.asc!H103</f>
        <v/>
      </c>
      <c r="I51">
        <f>TrnStat.asc!I103</f>
        <v/>
      </c>
      <c r="J51">
        <f>TrnStat.asc!J103</f>
        <v/>
      </c>
      <c r="K51">
        <f>TrnStat.asc!K103</f>
        <v/>
      </c>
      <c r="M51">
        <f>IF(ISNUMBER(K51),K51,CONCATENATE(LEFT(K51,2),RIGHT(K51,3)))</f>
        <v/>
      </c>
      <c r="N51">
        <f>VALUE(M51)</f>
        <v/>
      </c>
    </row>
    <row r="52">
      <c r="B52">
        <f>TrnStat.asc!B104</f>
        <v/>
      </c>
      <c r="C52">
        <f>TrnStat.asc!C104</f>
        <v/>
      </c>
      <c r="D52">
        <f>TrnStat.asc!D104</f>
        <v/>
      </c>
      <c r="E52">
        <f>TrnStat.asc!E104</f>
        <v/>
      </c>
      <c r="F52">
        <f>TrnStat.asc!F104</f>
        <v/>
      </c>
      <c r="G52">
        <f>TrnStat.asc!G104</f>
        <v/>
      </c>
      <c r="H52">
        <f>TrnStat.asc!H104</f>
        <v/>
      </c>
      <c r="I52">
        <f>TrnStat.asc!I104</f>
        <v/>
      </c>
      <c r="J52">
        <f>TrnStat.asc!J104</f>
        <v/>
      </c>
      <c r="K52">
        <f>TrnStat.asc!K104</f>
        <v/>
      </c>
      <c r="M52">
        <f>IF(ISNUMBER(K52),K52,CONCATENATE(LEFT(K52,2),RIGHT(K52,3)))</f>
        <v/>
      </c>
      <c r="N52">
        <f>VALUE(M52)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I46" sqref="I46"/>
    </sheetView>
  </sheetViews>
  <sheetFormatPr baseColWidth="8" defaultRowHeight="15"/>
  <cols>
    <col width="6.28515625" bestFit="1" customWidth="1" style="128" min="1" max="1"/>
  </cols>
  <sheetData>
    <row r="1">
      <c r="A1" t="inlineStr">
        <is>
          <t>Rte ID</t>
        </is>
      </c>
      <c r="B1" t="inlineStr">
        <is>
          <t>Route Name</t>
        </is>
      </c>
    </row>
    <row r="2">
      <c r="A2" s="120" t="n">
        <v>3</v>
      </c>
      <c r="B2" t="inlineStr">
        <is>
          <t>Rte 3 West End (Bellevue) IB</t>
        </is>
      </c>
    </row>
    <row r="3">
      <c r="A3" s="120" t="n">
        <v>4</v>
      </c>
      <c r="B3" t="inlineStr">
        <is>
          <t>Rte 4 Shelby IB</t>
        </is>
      </c>
    </row>
    <row r="4">
      <c r="A4" s="120" t="n">
        <v>6</v>
      </c>
      <c r="B4" t="inlineStr">
        <is>
          <t>Rte 6 Lebanon Rd IB</t>
        </is>
      </c>
    </row>
    <row r="5">
      <c r="A5" s="120" t="n">
        <v>7</v>
      </c>
      <c r="B5" t="inlineStr">
        <is>
          <t>Rte 7 Hillsboro IB</t>
        </is>
      </c>
    </row>
    <row r="6">
      <c r="A6" s="120" t="n">
        <v>8</v>
      </c>
      <c r="B6" t="inlineStr">
        <is>
          <t>Rte 8 8TH AVENUE SOUTH iB</t>
        </is>
      </c>
    </row>
    <row r="7">
      <c r="A7" s="120" t="n">
        <v>9</v>
      </c>
      <c r="B7" t="inlineStr">
        <is>
          <t>Rte 9 MetroCenter IB</t>
        </is>
      </c>
    </row>
    <row r="8">
      <c r="A8" s="120" t="n">
        <v>14</v>
      </c>
      <c r="B8" t="inlineStr">
        <is>
          <t>Rte 14 WHITES CREEK iB</t>
        </is>
      </c>
    </row>
    <row r="9">
      <c r="A9" s="120" t="n">
        <v>17</v>
      </c>
      <c r="B9" t="inlineStr">
        <is>
          <t>Rte 17 12TH AVENUE SOUTH iB</t>
        </is>
      </c>
    </row>
    <row r="10">
      <c r="A10" s="120" t="n">
        <v>18</v>
      </c>
      <c r="B10" t="inlineStr">
        <is>
          <t>Rte 18 Airport Exp IB</t>
        </is>
      </c>
    </row>
    <row r="11">
      <c r="A11" s="120" t="n">
        <v>19</v>
      </c>
      <c r="B11" t="inlineStr">
        <is>
          <t>Rte 19 Herman IB</t>
        </is>
      </c>
    </row>
    <row r="12">
      <c r="A12" s="120" t="n">
        <v>22</v>
      </c>
      <c r="B12" t="inlineStr">
        <is>
          <t>Rte 22 Bordeaux (Kings Ln) IB</t>
        </is>
      </c>
    </row>
    <row r="13">
      <c r="A13" s="120" t="n">
        <v>23</v>
      </c>
      <c r="B13" t="inlineStr">
        <is>
          <t>Rte 23 Dickerson Pike IB</t>
        </is>
      </c>
    </row>
    <row r="14">
      <c r="A14" s="120" t="n">
        <v>28</v>
      </c>
      <c r="B14" t="inlineStr">
        <is>
          <t>Rte 28 Meridian IB</t>
        </is>
      </c>
    </row>
    <row r="15">
      <c r="A15" s="120" t="n">
        <v>29</v>
      </c>
      <c r="B15" t="inlineStr">
        <is>
          <t>Rte 29 Jefferson IB</t>
        </is>
      </c>
    </row>
    <row r="16">
      <c r="A16" s="120" t="n">
        <v>34</v>
      </c>
      <c r="B16" t="inlineStr">
        <is>
          <t>Rte 34 Opry Mills IB</t>
        </is>
      </c>
    </row>
    <row r="17">
      <c r="A17" s="120" t="n">
        <v>41</v>
      </c>
      <c r="B17" t="inlineStr">
        <is>
          <t>Rte 41 Golden Valley IB AM</t>
        </is>
      </c>
    </row>
    <row r="18">
      <c r="A18" s="120" t="n">
        <v>42</v>
      </c>
      <c r="B18" t="inlineStr">
        <is>
          <t>Rte 42 St. Cecilia/Cumberland IB</t>
        </is>
      </c>
    </row>
    <row r="19">
      <c r="A19" s="120" t="n">
        <v>50</v>
      </c>
      <c r="B19" t="inlineStr">
        <is>
          <t>Rte 50 CHARLOTTE PIKE iB</t>
        </is>
      </c>
    </row>
    <row r="20">
      <c r="A20" s="120" t="n">
        <v>52</v>
      </c>
      <c r="B20" t="inlineStr">
        <is>
          <t>Rte 52 NOLENSVILLE PIKE (Hick) iB</t>
        </is>
      </c>
    </row>
    <row r="21">
      <c r="A21" s="120" t="n">
        <v>55</v>
      </c>
      <c r="B21" t="inlineStr">
        <is>
          <t>Rte 55 MURFREESBORO PIKE iB</t>
        </is>
      </c>
    </row>
    <row r="22">
      <c r="A22" s="120" t="n">
        <v>56</v>
      </c>
      <c r="B22" t="inlineStr">
        <is>
          <t>Rte 56 Gallatin Rd BRTmix IB</t>
        </is>
      </c>
    </row>
    <row r="23">
      <c r="A23" s="120" t="n">
        <v>64</v>
      </c>
      <c r="B23" t="inlineStr">
        <is>
          <t>Rte 64 STAR DOWNTOWN SHUTTLE</t>
        </is>
      </c>
    </row>
    <row r="24">
      <c r="A24" s="120" t="n">
        <v>70</v>
      </c>
      <c r="B24" t="inlineStr">
        <is>
          <t>Rte 70 Belevue Conn IB</t>
        </is>
      </c>
    </row>
    <row r="25">
      <c r="A25" s="120" t="n">
        <v>75</v>
      </c>
      <c r="B25" t="inlineStr">
        <is>
          <t>Rte 75 Midtown CCW Loop</t>
        </is>
      </c>
    </row>
    <row r="26">
      <c r="A26" s="120" t="n">
        <v>76</v>
      </c>
      <c r="B26" t="inlineStr">
        <is>
          <t>Rte 76 Madison Conn</t>
        </is>
      </c>
    </row>
    <row r="27">
      <c r="A27" s="120" t="n">
        <v>77</v>
      </c>
      <c r="B27" t="inlineStr">
        <is>
          <t>Rte 77 THOMPSON - WEDGEWOOD ccw</t>
        </is>
      </c>
    </row>
    <row r="28">
      <c r="A28" s="120" t="n">
        <v>79</v>
      </c>
      <c r="B28" t="inlineStr">
        <is>
          <t>Rte 79 Skyline iB</t>
        </is>
      </c>
    </row>
    <row r="29">
      <c r="A29" s="120" t="n">
        <v>84</v>
      </c>
      <c r="B29" t="inlineStr">
        <is>
          <t>Rte 84 Murfreesboro Express IB</t>
        </is>
      </c>
    </row>
    <row r="30">
      <c r="A30" s="120" t="n">
        <v>86</v>
      </c>
      <c r="B30" t="inlineStr">
        <is>
          <t>Rte 86 Smyrna Lavergne Exp IB</t>
        </is>
      </c>
    </row>
    <row r="31">
      <c r="A31" s="120" t="n">
        <v>87</v>
      </c>
      <c r="B31" t="inlineStr">
        <is>
          <t>Rte 87 Gallatin Comm Bus IB</t>
        </is>
      </c>
    </row>
    <row r="32">
      <c r="A32" s="120" t="n">
        <v>89</v>
      </c>
      <c r="B32" t="inlineStr">
        <is>
          <t>Rte 89 Spgfield/Joelton Exp OB</t>
        </is>
      </c>
    </row>
    <row r="33">
      <c r="A33" s="120" t="n">
        <v>90</v>
      </c>
      <c r="B33" t="inlineStr">
        <is>
          <t>Rte 90 Music City Star iB</t>
        </is>
      </c>
    </row>
    <row r="34">
      <c r="A34" s="120" t="n">
        <v>93</v>
      </c>
      <c r="B34" t="inlineStr">
        <is>
          <t>Rte 93 MCS West End Shuttle</t>
        </is>
      </c>
    </row>
    <row r="35">
      <c r="A35" s="120" t="n">
        <v>95</v>
      </c>
      <c r="B35" t="inlineStr">
        <is>
          <t>Rte 95 Spring Hill Exp IB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selection activeCell="U1" sqref="U1:Y1048576"/>
    </sheetView>
  </sheetViews>
  <sheetFormatPr baseColWidth="8" defaultRowHeight="15"/>
  <cols>
    <col width="19.140625" bestFit="1" customWidth="1" style="128" min="2" max="2"/>
    <col width="32.7109375" bestFit="1" customWidth="1" style="128" min="3" max="3"/>
    <col width="10.5703125" bestFit="1" customWidth="1" style="139" min="10" max="10"/>
    <col width="33" bestFit="1" customWidth="1" style="139" min="11" max="11"/>
    <col width="9.140625" customWidth="1" style="139" min="12" max="14"/>
  </cols>
  <sheetData>
    <row r="1">
      <c r="A1" s="82" t="inlineStr">
        <is>
          <t>Route Id</t>
        </is>
      </c>
      <c r="B1" s="82" t="inlineStr">
        <is>
          <t>Route Name (Temp)</t>
        </is>
      </c>
      <c r="C1" s="82" t="inlineStr">
        <is>
          <t>Route Name</t>
        </is>
      </c>
      <c r="D1" s="81" t="inlineStr">
        <is>
          <t>Mode</t>
        </is>
      </c>
      <c r="E1" s="81" t="inlineStr">
        <is>
          <t>Track</t>
        </is>
      </c>
      <c r="J1" s="139" t="inlineStr">
        <is>
          <t>RouteNum</t>
        </is>
      </c>
      <c r="K1" s="139" t="inlineStr">
        <is>
          <t>Route_Name</t>
        </is>
      </c>
      <c r="L1" s="139" t="inlineStr">
        <is>
          <t>modes</t>
        </is>
      </c>
      <c r="M1" s="139" t="inlineStr">
        <is>
          <t>Mode</t>
        </is>
      </c>
      <c r="N1" s="139" t="inlineStr">
        <is>
          <t>Track</t>
        </is>
      </c>
    </row>
    <row r="2">
      <c r="A2" s="139" t="n">
        <v>3</v>
      </c>
      <c r="B2">
        <f>VLOOKUP(A2,$J:$M,2,FALSE)</f>
        <v/>
      </c>
      <c r="C2">
        <f>IF(ISNUMBER(SEARCH("IB",B2)),LEFT(B2,LEN(B2)-3),IF(ISNUMBER(SEARCH("OB",B2)),LEFT(B2,LEN(B2)-3),B2))</f>
        <v/>
      </c>
      <c r="D2">
        <f>VLOOKUP($A2,$J:$M,4,FALSE)</f>
        <v/>
      </c>
      <c r="E2">
        <f>VLOOKUP($A2,$J:$N,5,FALSE)</f>
        <v/>
      </c>
      <c r="J2" s="139" t="n">
        <v>3</v>
      </c>
      <c r="K2" s="139" t="inlineStr">
        <is>
          <t>Rte 3 West End (White Bridge) IB</t>
        </is>
      </c>
      <c r="L2" s="139" t="n">
        <v>4</v>
      </c>
      <c r="M2" s="139" t="n">
        <v>1</v>
      </c>
      <c r="N2" s="139" t="n">
        <v>55</v>
      </c>
    </row>
    <row r="3">
      <c r="A3" s="139" t="n">
        <v>4</v>
      </c>
      <c r="B3">
        <f>VLOOKUP(A3,$J:$M,2,FALSE)</f>
        <v/>
      </c>
      <c r="C3">
        <f>IF(ISNUMBER(SEARCH("IB",B3)),LEFT(B3,LEN(B3)-3),IF(ISNUMBER(SEARCH("OB",B3)),LEFT(B3,LEN(B3)-3),B3))</f>
        <v/>
      </c>
      <c r="D3">
        <f>VLOOKUP($A3,$J:$M,4,FALSE)</f>
        <v/>
      </c>
      <c r="E3">
        <f>VLOOKUP($A3,$J:$N,5,FALSE)</f>
        <v/>
      </c>
      <c r="J3" s="139" t="n">
        <v>3</v>
      </c>
      <c r="K3" s="139" t="inlineStr">
        <is>
          <t>Rte 3 West End (Bellevue) IB</t>
        </is>
      </c>
      <c r="L3" s="139" t="n">
        <v>4</v>
      </c>
      <c r="M3" s="139" t="n">
        <v>1</v>
      </c>
      <c r="N3" s="139" t="n">
        <v>54</v>
      </c>
    </row>
    <row r="4">
      <c r="A4" s="139" t="n">
        <v>6</v>
      </c>
      <c r="B4">
        <f>VLOOKUP(A4,$J:$M,2,FALSE)</f>
        <v/>
      </c>
      <c r="C4">
        <f>IF(ISNUMBER(SEARCH("IB",B4)),LEFT(B4,LEN(B4)-3),IF(ISNUMBER(SEARCH("OB",B4)),LEFT(B4,LEN(B4)-3),B4))</f>
        <v/>
      </c>
      <c r="D4">
        <f>VLOOKUP($A4,$J:$M,4,FALSE)</f>
        <v/>
      </c>
      <c r="E4">
        <f>VLOOKUP($A4,$J:$N,5,FALSE)</f>
        <v/>
      </c>
      <c r="J4" s="139" t="n">
        <v>3</v>
      </c>
      <c r="K4" s="139" t="inlineStr">
        <is>
          <t>Rte 3 West End (Bellevue) oB</t>
        </is>
      </c>
      <c r="L4" s="139" t="n">
        <v>4</v>
      </c>
      <c r="M4" s="139" t="n">
        <v>1</v>
      </c>
      <c r="N4" s="139" t="n">
        <v>54</v>
      </c>
    </row>
    <row r="5">
      <c r="A5" s="139" t="n">
        <v>7</v>
      </c>
      <c r="B5">
        <f>VLOOKUP(A5,$J:$M,2,FALSE)</f>
        <v/>
      </c>
      <c r="C5">
        <f>IF(ISNUMBER(SEARCH("IB",B5)),LEFT(B5,LEN(B5)-3),IF(ISNUMBER(SEARCH("OB",B5)),LEFT(B5,LEN(B5)-3),B5))</f>
        <v/>
      </c>
      <c r="D5">
        <f>VLOOKUP($A5,$J:$M,4,FALSE)</f>
        <v/>
      </c>
      <c r="E5">
        <f>VLOOKUP($A5,$J:$N,5,FALSE)</f>
        <v/>
      </c>
      <c r="J5" s="139" t="n">
        <v>3</v>
      </c>
      <c r="K5" s="139" t="inlineStr">
        <is>
          <t>Rte 3 West End (White Bridge) OB</t>
        </is>
      </c>
      <c r="L5" s="139" t="n">
        <v>4</v>
      </c>
      <c r="M5" s="139" t="n">
        <v>1</v>
      </c>
      <c r="N5" s="139" t="n">
        <v>55</v>
      </c>
    </row>
    <row r="6">
      <c r="A6" s="139" t="n">
        <v>8</v>
      </c>
      <c r="B6">
        <f>VLOOKUP(A6,$J:$M,2,FALSE)</f>
        <v/>
      </c>
      <c r="C6">
        <f>IF(ISNUMBER(SEARCH("IB",B6)),LEFT(B6,LEN(B6)-3),IF(ISNUMBER(SEARCH("OB",B6)),LEFT(B6,LEN(B6)-3),B6))</f>
        <v/>
      </c>
      <c r="D6">
        <f>VLOOKUP($A6,$J:$M,4,FALSE)</f>
        <v/>
      </c>
      <c r="E6">
        <f>VLOOKUP($A6,$J:$N,5,FALSE)</f>
        <v/>
      </c>
      <c r="J6" s="139" t="n">
        <v>4</v>
      </c>
      <c r="K6" s="139" t="inlineStr">
        <is>
          <t>Rte 4 Shelby IB</t>
        </is>
      </c>
      <c r="L6" s="139" t="n">
        <v>4</v>
      </c>
      <c r="M6" s="139" t="n">
        <v>1</v>
      </c>
      <c r="N6" s="139" t="n">
        <v>57</v>
      </c>
    </row>
    <row r="7">
      <c r="A7" s="139" t="n">
        <v>9</v>
      </c>
      <c r="B7">
        <f>VLOOKUP(A7,$J:$M,2,FALSE)</f>
        <v/>
      </c>
      <c r="C7">
        <f>IF(ISNUMBER(SEARCH("IB",B7)),LEFT(B7,LEN(B7)-3),IF(ISNUMBER(SEARCH("OB",B7)),LEFT(B7,LEN(B7)-3),B7))</f>
        <v/>
      </c>
      <c r="D7">
        <f>VLOOKUP($A7,$J:$M,4,FALSE)</f>
        <v/>
      </c>
      <c r="E7">
        <f>VLOOKUP($A7,$J:$N,5,FALSE)</f>
        <v/>
      </c>
      <c r="J7" s="139" t="n">
        <v>4</v>
      </c>
      <c r="K7" s="139" t="inlineStr">
        <is>
          <t>Rte 4 Shelby OB</t>
        </is>
      </c>
      <c r="L7" s="139" t="n">
        <v>4</v>
      </c>
      <c r="M7" s="139" t="n">
        <v>1</v>
      </c>
      <c r="N7" s="139" t="n">
        <v>57</v>
      </c>
    </row>
    <row r="8">
      <c r="A8" s="139" t="n">
        <v>14</v>
      </c>
      <c r="B8">
        <f>VLOOKUP(A8,$J:$M,2,FALSE)</f>
        <v/>
      </c>
      <c r="C8">
        <f>IF(ISNUMBER(SEARCH("IB",B8)),LEFT(B8,LEN(B8)-3),IF(ISNUMBER(SEARCH("OB",B8)),LEFT(B8,LEN(B8)-3),B8))</f>
        <v/>
      </c>
      <c r="D8">
        <f>VLOOKUP($A8,$J:$M,4,FALSE)</f>
        <v/>
      </c>
      <c r="E8">
        <f>VLOOKUP($A8,$J:$N,5,FALSE)</f>
        <v/>
      </c>
      <c r="J8" s="139" t="n">
        <v>6</v>
      </c>
      <c r="K8" s="139" t="inlineStr">
        <is>
          <t>Rte 6 Lebanon Rd OB</t>
        </is>
      </c>
      <c r="L8" s="139" t="n">
        <v>4</v>
      </c>
      <c r="M8" s="139" t="n">
        <v>1</v>
      </c>
      <c r="N8" s="139" t="n">
        <v>67</v>
      </c>
    </row>
    <row r="9">
      <c r="A9" s="139" t="n">
        <v>17</v>
      </c>
      <c r="B9">
        <f>VLOOKUP(A9,$J:$M,2,FALSE)</f>
        <v/>
      </c>
      <c r="C9">
        <f>IF(ISNUMBER(SEARCH("IB",B9)),LEFT(B9,LEN(B9)-3),IF(ISNUMBER(SEARCH("OB",B9)),LEFT(B9,LEN(B9)-3),B9))</f>
        <v/>
      </c>
      <c r="D9">
        <f>VLOOKUP($A9,$J:$M,4,FALSE)</f>
        <v/>
      </c>
      <c r="E9">
        <f>VLOOKUP($A9,$J:$N,5,FALSE)</f>
        <v/>
      </c>
      <c r="J9" s="139" t="n">
        <v>6</v>
      </c>
      <c r="K9" s="139" t="inlineStr">
        <is>
          <t>Rte 6 Lebanon Rd IB</t>
        </is>
      </c>
      <c r="L9" s="139" t="n">
        <v>4</v>
      </c>
      <c r="M9" s="139" t="n">
        <v>1</v>
      </c>
      <c r="N9" s="139" t="n">
        <v>67</v>
      </c>
    </row>
    <row r="10">
      <c r="A10" s="139" t="n">
        <v>18</v>
      </c>
      <c r="B10">
        <f>VLOOKUP(A10,$J:$M,2,FALSE)</f>
        <v/>
      </c>
      <c r="C10">
        <f>IF(ISNUMBER(SEARCH("IB",B10)),LEFT(B10,LEN(B10)-3),IF(ISNUMBER(SEARCH("OB",B10)),LEFT(B10,LEN(B10)-3),B10))</f>
        <v/>
      </c>
      <c r="D10">
        <f>VLOOKUP($A10,$J:$M,4,FALSE)</f>
        <v/>
      </c>
      <c r="E10">
        <f>VLOOKUP($A10,$J:$N,5,FALSE)</f>
        <v/>
      </c>
      <c r="J10" s="139" t="n">
        <v>7</v>
      </c>
      <c r="K10" s="139" t="inlineStr">
        <is>
          <t>Rte 7 Hillsboro IB</t>
        </is>
      </c>
      <c r="L10" s="139" t="n">
        <v>4</v>
      </c>
      <c r="M10" s="139" t="n">
        <v>1</v>
      </c>
      <c r="N10" s="139" t="n">
        <v>68</v>
      </c>
    </row>
    <row r="11">
      <c r="A11" s="139" t="n">
        <v>19</v>
      </c>
      <c r="B11">
        <f>VLOOKUP(A11,$J:$M,2,FALSE)</f>
        <v/>
      </c>
      <c r="C11">
        <f>IF(ISNUMBER(SEARCH("IB",B11)),LEFT(B11,LEN(B11)-3),IF(ISNUMBER(SEARCH("OB",B11)),LEFT(B11,LEN(B11)-3),B11))</f>
        <v/>
      </c>
      <c r="D11">
        <f>VLOOKUP($A11,$J:$M,4,FALSE)</f>
        <v/>
      </c>
      <c r="E11">
        <f>VLOOKUP($A11,$J:$N,5,FALSE)</f>
        <v/>
      </c>
      <c r="J11" s="139" t="n">
        <v>7</v>
      </c>
      <c r="K11" s="139" t="inlineStr">
        <is>
          <t>Rte 7 Hillsboro OB</t>
        </is>
      </c>
      <c r="L11" s="139" t="n">
        <v>4</v>
      </c>
      <c r="M11" s="139" t="n">
        <v>1</v>
      </c>
      <c r="N11" s="139" t="n">
        <v>68</v>
      </c>
    </row>
    <row r="12">
      <c r="A12" s="139" t="n">
        <v>22</v>
      </c>
      <c r="B12">
        <f>VLOOKUP(A12,$J:$M,2,FALSE)</f>
        <v/>
      </c>
      <c r="C12">
        <f>IF(ISNUMBER(SEARCH("IB",B12)),LEFT(B12,LEN(B12)-3),IF(ISNUMBER(SEARCH("OB",B12)),LEFT(B12,LEN(B12)-3),B12))</f>
        <v/>
      </c>
      <c r="D12">
        <f>VLOOKUP($A12,$J:$M,4,FALSE)</f>
        <v/>
      </c>
      <c r="E12">
        <f>VLOOKUP($A12,$J:$N,5,FALSE)</f>
        <v/>
      </c>
      <c r="J12" s="139" t="n">
        <v>8</v>
      </c>
      <c r="K12" s="139" t="inlineStr">
        <is>
          <t>Rte 8 8TH AVENUE SOUTH iB</t>
        </is>
      </c>
      <c r="L12" s="139" t="n">
        <v>4</v>
      </c>
      <c r="M12" s="139" t="n">
        <v>1</v>
      </c>
      <c r="N12" s="139" t="n">
        <v>73</v>
      </c>
    </row>
    <row r="13">
      <c r="A13" s="139" t="n">
        <v>23</v>
      </c>
      <c r="B13">
        <f>VLOOKUP(A13,$J:$M,2,FALSE)</f>
        <v/>
      </c>
      <c r="C13">
        <f>IF(ISNUMBER(SEARCH("IB",B13)),LEFT(B13,LEN(B13)-3),IF(ISNUMBER(SEARCH("OB",B13)),LEFT(B13,LEN(B13)-3),B13))</f>
        <v/>
      </c>
      <c r="D13">
        <f>VLOOKUP($A13,$J:$M,4,FALSE)</f>
        <v/>
      </c>
      <c r="E13">
        <f>VLOOKUP($A13,$J:$N,5,FALSE)</f>
        <v/>
      </c>
      <c r="J13" s="139" t="n">
        <v>8</v>
      </c>
      <c r="K13" s="139" t="inlineStr">
        <is>
          <t>Rte 8 8TH AVENUE SOUTH oB</t>
        </is>
      </c>
      <c r="L13" s="139" t="n">
        <v>4</v>
      </c>
      <c r="M13" s="139" t="n">
        <v>1</v>
      </c>
      <c r="N13" s="139" t="n">
        <v>73</v>
      </c>
    </row>
    <row r="14">
      <c r="A14" s="139" t="n">
        <v>24</v>
      </c>
      <c r="B14">
        <f>VLOOKUP(A14,$J:$M,2,FALSE)</f>
        <v/>
      </c>
      <c r="C14">
        <f>IF(ISNUMBER(SEARCH("IB",B14)),LEFT(B14,LEN(B14)-3),IF(ISNUMBER(SEARCH("OB",B14)),LEFT(B14,LEN(B14)-3),B14))</f>
        <v/>
      </c>
      <c r="D14">
        <f>VLOOKUP($A14,$J:$M,4,FALSE)</f>
        <v/>
      </c>
      <c r="E14">
        <f>VLOOKUP($A14,$J:$N,5,FALSE)</f>
        <v/>
      </c>
      <c r="J14" s="139" t="n">
        <v>9</v>
      </c>
      <c r="K14" s="139" t="inlineStr">
        <is>
          <t>Rte 9 MetroCenter OB</t>
        </is>
      </c>
      <c r="L14" s="139" t="n">
        <v>4</v>
      </c>
      <c r="M14" s="139" t="n">
        <v>1</v>
      </c>
      <c r="N14" s="139" t="n">
        <v>78</v>
      </c>
    </row>
    <row r="15">
      <c r="A15" s="139" t="n">
        <v>28</v>
      </c>
      <c r="B15">
        <f>VLOOKUP(A15,$J:$M,2,FALSE)</f>
        <v/>
      </c>
      <c r="C15">
        <f>IF(ISNUMBER(SEARCH("IB",B15)),LEFT(B15,LEN(B15)-3),IF(ISNUMBER(SEARCH("OB",B15)),LEFT(B15,LEN(B15)-3),B15))</f>
        <v/>
      </c>
      <c r="D15">
        <f>VLOOKUP($A15,$J:$M,4,FALSE)</f>
        <v/>
      </c>
      <c r="E15">
        <f>VLOOKUP($A15,$J:$N,5,FALSE)</f>
        <v/>
      </c>
      <c r="J15" s="139" t="n">
        <v>9</v>
      </c>
      <c r="K15" s="139" t="inlineStr">
        <is>
          <t>Rte 9 MetroCenter IB</t>
        </is>
      </c>
      <c r="L15" s="139" t="n">
        <v>4</v>
      </c>
      <c r="M15" s="139" t="n">
        <v>1</v>
      </c>
      <c r="N15" s="139" t="n">
        <v>78</v>
      </c>
    </row>
    <row r="16">
      <c r="A16" s="139" t="n">
        <v>29</v>
      </c>
      <c r="B16">
        <f>VLOOKUP(A16,$J:$M,2,FALSE)</f>
        <v/>
      </c>
      <c r="C16">
        <f>IF(ISNUMBER(SEARCH("IB",B16)),LEFT(B16,LEN(B16)-3),IF(ISNUMBER(SEARCH("OB",B16)),LEFT(B16,LEN(B16)-3),B16))</f>
        <v/>
      </c>
      <c r="D16">
        <f>VLOOKUP($A16,$J:$M,4,FALSE)</f>
        <v/>
      </c>
      <c r="E16">
        <f>VLOOKUP($A16,$J:$N,5,FALSE)</f>
        <v/>
      </c>
      <c r="J16" s="139" t="n">
        <v>14</v>
      </c>
      <c r="K16" s="139" t="inlineStr">
        <is>
          <t>Rte 14 WHITES CREEK oB</t>
        </is>
      </c>
      <c r="L16" s="139" t="n">
        <v>4</v>
      </c>
      <c r="M16" s="139" t="n">
        <v>1</v>
      </c>
      <c r="N16" s="139" t="n">
        <v>42</v>
      </c>
    </row>
    <row r="17">
      <c r="A17" s="139" t="n">
        <v>34</v>
      </c>
      <c r="B17">
        <f>VLOOKUP(A17,$J:$M,2,FALSE)</f>
        <v/>
      </c>
      <c r="C17">
        <f>IF(ISNUMBER(SEARCH("IB",B17)),LEFT(B17,LEN(B17)-3),IF(ISNUMBER(SEARCH("OB",B17)),LEFT(B17,LEN(B17)-3),B17))</f>
        <v/>
      </c>
      <c r="D17">
        <f>VLOOKUP($A17,$J:$M,4,FALSE)</f>
        <v/>
      </c>
      <c r="E17">
        <f>VLOOKUP($A17,$J:$N,5,FALSE)</f>
        <v/>
      </c>
      <c r="J17" s="139" t="n">
        <v>14</v>
      </c>
      <c r="K17" s="139" t="inlineStr">
        <is>
          <t>Rte 14 WHITES CREEK iB</t>
        </is>
      </c>
      <c r="L17" s="139" t="n">
        <v>4</v>
      </c>
      <c r="M17" s="139" t="n">
        <v>1</v>
      </c>
      <c r="N17" s="139" t="n">
        <v>42</v>
      </c>
    </row>
    <row r="18">
      <c r="A18" s="139" t="n">
        <v>41</v>
      </c>
      <c r="B18">
        <f>VLOOKUP(A18,$J:$M,2,FALSE)</f>
        <v/>
      </c>
      <c r="C18">
        <f>IF(ISNUMBER(SEARCH("IB",B18)),LEFT(B18,LEN(B18)-3),IF(ISNUMBER(SEARCH("OB",B18)),LEFT(B18,LEN(B18)-3),B18))</f>
        <v/>
      </c>
      <c r="D18">
        <f>VLOOKUP($A18,$J:$M,4,FALSE)</f>
        <v/>
      </c>
      <c r="E18">
        <f>VLOOKUP($A18,$J:$N,5,FALSE)</f>
        <v/>
      </c>
      <c r="J18" s="139" t="n">
        <v>17</v>
      </c>
      <c r="K18" s="139" t="inlineStr">
        <is>
          <t>Rte 17 12TH AVENUE SOUTH iB</t>
        </is>
      </c>
      <c r="L18" s="139" t="n">
        <v>4</v>
      </c>
      <c r="M18" s="139" t="n">
        <v>1</v>
      </c>
      <c r="N18" s="139" t="n">
        <v>43</v>
      </c>
    </row>
    <row r="19">
      <c r="A19" s="139" t="n">
        <v>42</v>
      </c>
      <c r="B19">
        <f>VLOOKUP(A19,$J:$M,2,FALSE)</f>
        <v/>
      </c>
      <c r="C19">
        <f>IF(ISNUMBER(SEARCH("IB",B19)),LEFT(B19,LEN(B19)-3),IF(ISNUMBER(SEARCH("OB",B19)),LEFT(B19,LEN(B19)-3),B19))</f>
        <v/>
      </c>
      <c r="D19">
        <f>VLOOKUP($A19,$J:$M,4,FALSE)</f>
        <v/>
      </c>
      <c r="E19">
        <f>VLOOKUP($A19,$J:$N,5,FALSE)</f>
        <v/>
      </c>
      <c r="J19" s="139" t="n">
        <v>17</v>
      </c>
      <c r="K19" s="139" t="inlineStr">
        <is>
          <t>Rte 17 12TH AVENUE SOUTH oB</t>
        </is>
      </c>
      <c r="L19" s="139" t="n">
        <v>4</v>
      </c>
      <c r="M19" s="139" t="n">
        <v>1</v>
      </c>
      <c r="N19" s="139" t="n">
        <v>43</v>
      </c>
    </row>
    <row r="20">
      <c r="A20" s="139" t="n">
        <v>50</v>
      </c>
      <c r="B20">
        <f>VLOOKUP(A20,$J:$M,2,FALSE)</f>
        <v/>
      </c>
      <c r="C20">
        <f>IF(ISNUMBER(SEARCH("IB",B20)),LEFT(B20,LEN(B20)-3),IF(ISNUMBER(SEARCH("OB",B20)),LEFT(B20,LEN(B20)-3),B20))</f>
        <v/>
      </c>
      <c r="D20">
        <f>VLOOKUP($A20,$J:$M,4,FALSE)</f>
        <v/>
      </c>
      <c r="E20">
        <f>VLOOKUP($A20,$J:$N,5,FALSE)</f>
        <v/>
      </c>
      <c r="J20" s="139" t="n">
        <v>18</v>
      </c>
      <c r="K20" s="139" t="inlineStr">
        <is>
          <t>Rte 18 Airport Exp OB</t>
        </is>
      </c>
      <c r="L20" s="139" t="n">
        <v>5</v>
      </c>
      <c r="M20" s="139" t="n">
        <v>6</v>
      </c>
      <c r="N20" s="139" t="n">
        <v>44</v>
      </c>
    </row>
    <row r="21">
      <c r="A21" s="139" t="n">
        <v>52</v>
      </c>
      <c r="B21">
        <f>VLOOKUP(A21,$J:$M,2,FALSE)</f>
        <v/>
      </c>
      <c r="C21">
        <f>IF(ISNUMBER(SEARCH("IB",B21)),LEFT(B21,LEN(B21)-3),IF(ISNUMBER(SEARCH("OB",B21)),LEFT(B21,LEN(B21)-3),B21))</f>
        <v/>
      </c>
      <c r="D21">
        <f>VLOOKUP($A21,$J:$M,4,FALSE)</f>
        <v/>
      </c>
      <c r="E21">
        <f>VLOOKUP($A21,$J:$N,5,FALSE)</f>
        <v/>
      </c>
      <c r="J21" s="139" t="n">
        <v>18</v>
      </c>
      <c r="K21" s="139" t="inlineStr">
        <is>
          <t>Rte 18 Airport Local OB</t>
        </is>
      </c>
      <c r="L21" s="139" t="n">
        <v>4</v>
      </c>
      <c r="M21" s="139" t="n">
        <v>1</v>
      </c>
      <c r="N21" s="139" t="n">
        <v>45</v>
      </c>
    </row>
    <row r="22">
      <c r="A22" s="139" t="n">
        <v>55</v>
      </c>
      <c r="B22">
        <f>VLOOKUP(A22,$J:$M,2,FALSE)</f>
        <v/>
      </c>
      <c r="C22">
        <f>IF(ISNUMBER(SEARCH("IB",B22)),LEFT(B22,LEN(B22)-3),IF(ISNUMBER(SEARCH("OB",B22)),LEFT(B22,LEN(B22)-3),B22))</f>
        <v/>
      </c>
      <c r="D22">
        <f>VLOOKUP($A22,$J:$M,4,FALSE)</f>
        <v/>
      </c>
      <c r="E22">
        <f>VLOOKUP($A22,$J:$N,5,FALSE)</f>
        <v/>
      </c>
      <c r="J22" s="139" t="n">
        <v>18</v>
      </c>
      <c r="K22" s="139" t="inlineStr">
        <is>
          <t>Rte 18 Airport Local IB</t>
        </is>
      </c>
      <c r="L22" s="139" t="n">
        <v>4</v>
      </c>
      <c r="M22" s="139" t="n">
        <v>1</v>
      </c>
      <c r="N22" s="139" t="n">
        <v>45</v>
      </c>
    </row>
    <row r="23">
      <c r="A23" s="139" t="n">
        <v>56</v>
      </c>
      <c r="B23">
        <f>VLOOKUP(A23,$J:$M,2,FALSE)</f>
        <v/>
      </c>
      <c r="C23">
        <f>IF(ISNUMBER(SEARCH("IB",B23)),LEFT(B23,LEN(B23)-3),IF(ISNUMBER(SEARCH("OB",B23)),LEFT(B23,LEN(B23)-3),B23))</f>
        <v/>
      </c>
      <c r="D23">
        <f>VLOOKUP($A23,$J:$M,4,FALSE)</f>
        <v/>
      </c>
      <c r="E23">
        <f>VLOOKUP($A23,$J:$N,5,FALSE)</f>
        <v/>
      </c>
      <c r="J23" s="139" t="n">
        <v>18</v>
      </c>
      <c r="K23" s="139" t="inlineStr">
        <is>
          <t>Rte 18 Airport Exp IB</t>
        </is>
      </c>
      <c r="L23" s="139" t="n">
        <v>5</v>
      </c>
      <c r="M23" s="139" t="n">
        <v>6</v>
      </c>
      <c r="N23" s="139" t="n">
        <v>44</v>
      </c>
    </row>
    <row r="24">
      <c r="A24" s="139" t="n">
        <v>64</v>
      </c>
      <c r="B24">
        <f>VLOOKUP(A24,$J:$M,2,FALSE)</f>
        <v/>
      </c>
      <c r="C24">
        <f>IF(ISNUMBER(SEARCH("IB",B24)),LEFT(B24,LEN(B24)-3),IF(ISNUMBER(SEARCH("OB",B24)),LEFT(B24,LEN(B24)-3),B24))</f>
        <v/>
      </c>
      <c r="D24">
        <f>VLOOKUP($A24,$J:$M,4,FALSE)</f>
        <v/>
      </c>
      <c r="E24">
        <f>VLOOKUP($A24,$J:$N,5,FALSE)</f>
        <v/>
      </c>
      <c r="J24" s="139" t="n">
        <v>19</v>
      </c>
      <c r="K24" s="139" t="inlineStr">
        <is>
          <t>Rte 19 Herman IB</t>
        </is>
      </c>
      <c r="L24" s="139" t="n">
        <v>4</v>
      </c>
      <c r="M24" s="139" t="n">
        <v>1</v>
      </c>
      <c r="N24" s="139" t="n">
        <v>46</v>
      </c>
    </row>
    <row r="25">
      <c r="A25" s="139" t="n">
        <v>70</v>
      </c>
      <c r="B25">
        <f>VLOOKUP(A25,$J:$M,2,FALSE)</f>
        <v/>
      </c>
      <c r="C25">
        <f>IF(ISNUMBER(SEARCH("IB",B25)),LEFT(B25,LEN(B25)-3),IF(ISNUMBER(SEARCH("OB",B25)),LEFT(B25,LEN(B25)-3),B25))</f>
        <v/>
      </c>
      <c r="D25">
        <f>VLOOKUP($A25,$J:$M,4,FALSE)</f>
        <v/>
      </c>
      <c r="E25">
        <f>VLOOKUP($A25,$J:$N,5,FALSE)</f>
        <v/>
      </c>
      <c r="J25" s="139" t="n">
        <v>19</v>
      </c>
      <c r="K25" s="139" t="inlineStr">
        <is>
          <t>Rte 19 Herman OB</t>
        </is>
      </c>
      <c r="L25" s="139" t="n">
        <v>4</v>
      </c>
      <c r="M25" s="139" t="n">
        <v>1</v>
      </c>
      <c r="N25" s="139" t="n">
        <v>46</v>
      </c>
    </row>
    <row r="26">
      <c r="A26" s="139" t="n">
        <v>75</v>
      </c>
      <c r="B26">
        <f>VLOOKUP(A26,$J:$M,2,FALSE)</f>
        <v/>
      </c>
      <c r="C26">
        <f>IF(ISNUMBER(SEARCH("IB",B26)),LEFT(B26,LEN(B26)-3),IF(ISNUMBER(SEARCH("OB",B26)),LEFT(B26,LEN(B26)-3),B26))</f>
        <v/>
      </c>
      <c r="D26">
        <f>VLOOKUP($A26,$J:$M,4,FALSE)</f>
        <v/>
      </c>
      <c r="E26">
        <f>VLOOKUP($A26,$J:$N,5,FALSE)</f>
        <v/>
      </c>
      <c r="J26" s="139" t="n">
        <v>22</v>
      </c>
      <c r="K26" s="139" t="inlineStr">
        <is>
          <t>Rte 22 Bordeaux (Panaroma) IB</t>
        </is>
      </c>
      <c r="L26" s="139" t="n">
        <v>4</v>
      </c>
      <c r="M26" s="139" t="n">
        <v>1</v>
      </c>
      <c r="N26" s="139" t="n">
        <v>48</v>
      </c>
    </row>
    <row r="27">
      <c r="A27" s="139" t="n">
        <v>76</v>
      </c>
      <c r="B27">
        <f>VLOOKUP(A27,$J:$M,2,FALSE)</f>
        <v/>
      </c>
      <c r="C27">
        <f>IF(ISNUMBER(SEARCH("IB",B27)),LEFT(B27,LEN(B27)-3),IF(ISNUMBER(SEARCH("OB",B27)),LEFT(B27,LEN(B27)-3),B27))</f>
        <v/>
      </c>
      <c r="D27">
        <f>VLOOKUP($A27,$J:$M,4,FALSE)</f>
        <v/>
      </c>
      <c r="E27">
        <f>VLOOKUP($A27,$J:$N,5,FALSE)</f>
        <v/>
      </c>
      <c r="J27" s="139" t="n">
        <v>22</v>
      </c>
      <c r="K27" s="139" t="inlineStr">
        <is>
          <t>Rte 22 Bordeaux (Panaroma) OB</t>
        </is>
      </c>
      <c r="L27" s="139" t="n">
        <v>4</v>
      </c>
      <c r="M27" s="139" t="n">
        <v>1</v>
      </c>
      <c r="N27" s="139" t="n">
        <v>48</v>
      </c>
    </row>
    <row r="28">
      <c r="A28" s="139" t="n">
        <v>77</v>
      </c>
      <c r="B28">
        <f>VLOOKUP(A28,$J:$M,2,FALSE)</f>
        <v/>
      </c>
      <c r="C28">
        <f>IF(ISNUMBER(SEARCH("IB",B28)),LEFT(B28,LEN(B28)-3),IF(ISNUMBER(SEARCH("OB",B28)),LEFT(B28,LEN(B28)-3),B28))</f>
        <v/>
      </c>
      <c r="D28">
        <f>VLOOKUP($A28,$J:$M,4,FALSE)</f>
        <v/>
      </c>
      <c r="E28">
        <f>VLOOKUP($A28,$J:$N,5,FALSE)</f>
        <v/>
      </c>
      <c r="J28" s="139" t="n">
        <v>22</v>
      </c>
      <c r="K28" s="139" t="inlineStr">
        <is>
          <t>Rte 22 Bordeaux (Kings Ln) OB</t>
        </is>
      </c>
      <c r="L28" s="139" t="n">
        <v>4</v>
      </c>
      <c r="M28" s="139" t="n">
        <v>1</v>
      </c>
      <c r="N28" s="139" t="n">
        <v>47</v>
      </c>
    </row>
    <row r="29">
      <c r="A29" s="139" t="n">
        <v>79</v>
      </c>
      <c r="B29">
        <f>VLOOKUP(A29,$J:$M,2,FALSE)</f>
        <v/>
      </c>
      <c r="C29">
        <f>IF(ISNUMBER(SEARCH("IB",B29)),LEFT(B29,LEN(B29)-3),IF(ISNUMBER(SEARCH("OB",B29)),LEFT(B29,LEN(B29)-3),B29))</f>
        <v/>
      </c>
      <c r="D29">
        <f>VLOOKUP($A29,$J:$M,4,FALSE)</f>
        <v/>
      </c>
      <c r="E29">
        <f>VLOOKUP($A29,$J:$N,5,FALSE)</f>
        <v/>
      </c>
      <c r="J29" s="139" t="n">
        <v>22</v>
      </c>
      <c r="K29" s="139" t="inlineStr">
        <is>
          <t>Rte 22 Bordeaux (Kings Ln) IB</t>
        </is>
      </c>
      <c r="L29" s="139" t="n">
        <v>4</v>
      </c>
      <c r="M29" s="139" t="n">
        <v>1</v>
      </c>
      <c r="N29" s="139" t="n">
        <v>47</v>
      </c>
    </row>
    <row r="30">
      <c r="A30" s="139" t="n">
        <v>84</v>
      </c>
      <c r="B30">
        <f>VLOOKUP(A30,$J:$M,2,FALSE)</f>
        <v/>
      </c>
      <c r="C30">
        <f>IF(ISNUMBER(SEARCH("IB",B30)),LEFT(B30,LEN(B30)-3),IF(ISNUMBER(SEARCH("OB",B30)),LEFT(B30,LEN(B30)-3),B30))</f>
        <v/>
      </c>
      <c r="D30">
        <f>VLOOKUP($A30,$J:$M,4,FALSE)</f>
        <v/>
      </c>
      <c r="E30">
        <f>VLOOKUP($A30,$J:$N,5,FALSE)</f>
        <v/>
      </c>
      <c r="J30" s="139" t="n">
        <v>23</v>
      </c>
      <c r="K30" s="139" t="inlineStr">
        <is>
          <t>Rte 23 Dickerson Pike OB</t>
        </is>
      </c>
      <c r="L30" s="139" t="n">
        <v>4</v>
      </c>
      <c r="M30" s="139" t="n">
        <v>1</v>
      </c>
      <c r="N30" s="139" t="n">
        <v>49</v>
      </c>
    </row>
    <row r="31">
      <c r="A31" s="139" t="n">
        <v>86</v>
      </c>
      <c r="B31">
        <f>VLOOKUP(A31,$J:$M,2,FALSE)</f>
        <v/>
      </c>
      <c r="C31">
        <f>IF(ISNUMBER(SEARCH("IB",B31)),LEFT(B31,LEN(B31)-3),IF(ISNUMBER(SEARCH("OB",B31)),LEFT(B31,LEN(B31)-3),B31))</f>
        <v/>
      </c>
      <c r="D31">
        <f>VLOOKUP($A31,$J:$M,4,FALSE)</f>
        <v/>
      </c>
      <c r="E31">
        <f>VLOOKUP($A31,$J:$N,5,FALSE)</f>
        <v/>
      </c>
      <c r="J31" s="139" t="n">
        <v>23</v>
      </c>
      <c r="K31" s="139" t="inlineStr">
        <is>
          <t>Rte 23 Dickerson Pike IB</t>
        </is>
      </c>
      <c r="L31" s="139" t="n">
        <v>4</v>
      </c>
      <c r="M31" s="139" t="n">
        <v>1</v>
      </c>
      <c r="N31" s="139" t="n">
        <v>49</v>
      </c>
    </row>
    <row r="32">
      <c r="A32" s="139" t="n">
        <v>87</v>
      </c>
      <c r="B32">
        <f>VLOOKUP(A32,$J:$M,2,FALSE)</f>
        <v/>
      </c>
      <c r="C32">
        <f>IF(ISNUMBER(SEARCH("IB",B32)),LEFT(B32,LEN(B32)-3),IF(ISNUMBER(SEARCH("OB",B32)),LEFT(B32,LEN(B32)-3),B32))</f>
        <v/>
      </c>
      <c r="D32">
        <f>VLOOKUP($A32,$J:$M,4,FALSE)</f>
        <v/>
      </c>
      <c r="E32">
        <f>VLOOKUP($A32,$J:$N,5,FALSE)</f>
        <v/>
      </c>
      <c r="J32" s="139" t="n">
        <v>23</v>
      </c>
      <c r="K32" s="139" t="inlineStr">
        <is>
          <t>Rte 23B Dickerson Loop OB</t>
        </is>
      </c>
      <c r="L32" s="139" t="n">
        <v>4</v>
      </c>
      <c r="M32" s="139" t="n">
        <v>1</v>
      </c>
      <c r="N32" s="139" t="n">
        <v>50</v>
      </c>
    </row>
    <row r="33">
      <c r="A33" s="139" t="n">
        <v>89</v>
      </c>
      <c r="B33">
        <f>VLOOKUP(A33,$J:$M,2,FALSE)</f>
        <v/>
      </c>
      <c r="C33">
        <f>IF(ISNUMBER(SEARCH("IB",B33)),LEFT(B33,LEN(B33)-3),IF(ISNUMBER(SEARCH("OB",B33)),LEFT(B33,LEN(B33)-3),B33))</f>
        <v/>
      </c>
      <c r="D33">
        <f>VLOOKUP($A33,$J:$M,4,FALSE)</f>
        <v/>
      </c>
      <c r="E33">
        <f>VLOOKUP($A33,$J:$N,5,FALSE)</f>
        <v/>
      </c>
      <c r="J33" s="139" t="n">
        <v>23</v>
      </c>
      <c r="K33" s="139" t="inlineStr">
        <is>
          <t>Rte 23B Dickerson Loop IB</t>
        </is>
      </c>
      <c r="L33" s="139" t="n">
        <v>4</v>
      </c>
      <c r="M33" s="139" t="n">
        <v>1</v>
      </c>
      <c r="N33" s="139" t="n">
        <v>50</v>
      </c>
    </row>
    <row r="34">
      <c r="A34" s="139" t="n">
        <v>90</v>
      </c>
      <c r="B34">
        <f>VLOOKUP(A34,$J:$M,2,FALSE)</f>
        <v/>
      </c>
      <c r="C34">
        <f>IF(ISNUMBER(SEARCH("IB",B34)),LEFT(B34,LEN(B34)-3),IF(ISNUMBER(SEARCH("OB",B34)),LEFT(B34,LEN(B34)-3),B34))</f>
        <v/>
      </c>
      <c r="D34">
        <f>VLOOKUP($A34,$J:$M,4,FALSE)</f>
        <v/>
      </c>
      <c r="E34">
        <f>VLOOKUP($A34,$J:$N,5,FALSE)</f>
        <v/>
      </c>
      <c r="J34" s="139" t="n">
        <v>24</v>
      </c>
      <c r="K34" s="139" t="inlineStr">
        <is>
          <t>Rte 24 Bellevue Exp AM</t>
        </is>
      </c>
      <c r="L34" s="139" t="n">
        <v>5</v>
      </c>
      <c r="M34" s="139" t="n">
        <v>6</v>
      </c>
      <c r="N34" s="139" t="n">
        <v>51</v>
      </c>
    </row>
    <row r="35">
      <c r="A35" s="139" t="n">
        <v>93</v>
      </c>
      <c r="B35">
        <f>VLOOKUP(A35,$J:$M,2,FALSE)</f>
        <v/>
      </c>
      <c r="C35">
        <f>IF(ISNUMBER(SEARCH("IB",B35)),LEFT(B35,LEN(B35)-3),IF(ISNUMBER(SEARCH("OB",B35)),LEFT(B35,LEN(B35)-3),B35))</f>
        <v/>
      </c>
      <c r="D35">
        <f>VLOOKUP($A35,$J:$M,4,FALSE)</f>
        <v/>
      </c>
      <c r="E35">
        <f>VLOOKUP($A35,$J:$N,5,FALSE)</f>
        <v/>
      </c>
      <c r="J35" s="139" t="n">
        <v>24</v>
      </c>
      <c r="K35" s="139" t="inlineStr">
        <is>
          <t>Rte 24 Bellevue Exp PM</t>
        </is>
      </c>
      <c r="L35" s="139" t="n">
        <v>5</v>
      </c>
      <c r="M35" s="139" t="n">
        <v>6</v>
      </c>
      <c r="N35" s="139" t="n">
        <v>51</v>
      </c>
    </row>
    <row r="36">
      <c r="A36" s="139" t="n">
        <v>95</v>
      </c>
      <c r="B36">
        <f>VLOOKUP(A36,$J:$M,2,FALSE)</f>
        <v/>
      </c>
      <c r="C36">
        <f>IF(ISNUMBER(SEARCH("IB",B36)),LEFT(B36,LEN(B36)-3),IF(ISNUMBER(SEARCH("OB",B36)),LEFT(B36,LEN(B36)-3),B36))</f>
        <v/>
      </c>
      <c r="D36">
        <f>VLOOKUP($A36,$J:$M,4,FALSE)</f>
        <v/>
      </c>
      <c r="E36">
        <f>VLOOKUP($A36,$J:$N,5,FALSE)</f>
        <v/>
      </c>
      <c r="J36" s="139" t="n">
        <v>28</v>
      </c>
      <c r="K36" s="139" t="inlineStr">
        <is>
          <t>Rte 28 Meridian IB</t>
        </is>
      </c>
      <c r="L36" s="139" t="n">
        <v>4</v>
      </c>
      <c r="M36" s="139" t="n">
        <v>1</v>
      </c>
      <c r="N36" s="139" t="n">
        <v>52</v>
      </c>
    </row>
    <row r="37">
      <c r="A37" s="139" t="n">
        <v>102</v>
      </c>
      <c r="B37">
        <f>VLOOKUP(A37,$J:$M,2,FALSE)</f>
        <v/>
      </c>
      <c r="C37">
        <f>IF(ISNUMBER(SEARCH("IB",B37)),LEFT(B37,LEN(B37)-3),IF(ISNUMBER(SEARCH("OB",B37)),LEFT(B37,LEN(B37)-3),B37))</f>
        <v/>
      </c>
      <c r="D37">
        <f>VLOOKUP($A37,$J:$M,4,FALSE)</f>
        <v/>
      </c>
      <c r="E37">
        <f>VLOOKUP($A37,$J:$N,5,FALSE)</f>
        <v/>
      </c>
      <c r="J37" s="139" t="n">
        <v>28</v>
      </c>
      <c r="K37" s="139" t="inlineStr">
        <is>
          <t>Rte 28 Meridian OB</t>
        </is>
      </c>
      <c r="L37" s="139" t="n">
        <v>4</v>
      </c>
      <c r="M37" s="139" t="n">
        <v>1</v>
      </c>
      <c r="N37" s="139" t="n">
        <v>52</v>
      </c>
    </row>
    <row r="38">
      <c r="A38" s="139" t="n">
        <v>103</v>
      </c>
      <c r="B38">
        <f>VLOOKUP(A38,$J:$M,2,FALSE)</f>
        <v/>
      </c>
      <c r="C38">
        <f>IF(ISNUMBER(SEARCH("IB",B38)),LEFT(B38,LEN(B38)-3),IF(ISNUMBER(SEARCH("OB",B38)),LEFT(B38,LEN(B38)-3),B38))</f>
        <v/>
      </c>
      <c r="D38">
        <f>VLOOKUP($A38,$J:$M,4,FALSE)</f>
        <v/>
      </c>
      <c r="E38">
        <f>VLOOKUP($A38,$J:$N,5,FALSE)</f>
        <v/>
      </c>
      <c r="J38" s="139" t="n">
        <v>29</v>
      </c>
      <c r="K38" s="139" t="inlineStr">
        <is>
          <t>Rte 29 Jefferson IB</t>
        </is>
      </c>
      <c r="L38" s="139" t="n">
        <v>4</v>
      </c>
      <c r="M38" s="139" t="n">
        <v>1</v>
      </c>
      <c r="N38" s="139" t="n">
        <v>53</v>
      </c>
    </row>
    <row r="39">
      <c r="A39" s="139" t="n">
        <v>104</v>
      </c>
      <c r="B39">
        <f>VLOOKUP(A39,$J:$M,2,FALSE)</f>
        <v/>
      </c>
      <c r="C39">
        <f>IF(ISNUMBER(SEARCH("IB",B39)),LEFT(B39,LEN(B39)-3),IF(ISNUMBER(SEARCH("OB",B39)),LEFT(B39,LEN(B39)-3),B39))</f>
        <v/>
      </c>
      <c r="D39">
        <f>VLOOKUP($A39,$J:$M,4,FALSE)</f>
        <v/>
      </c>
      <c r="E39">
        <f>VLOOKUP($A39,$J:$N,5,FALSE)</f>
        <v/>
      </c>
      <c r="J39" s="139" t="n">
        <v>29</v>
      </c>
      <c r="K39" s="139" t="inlineStr">
        <is>
          <t>Rte 29 Jefferson OB</t>
        </is>
      </c>
      <c r="L39" s="139" t="n">
        <v>4</v>
      </c>
      <c r="M39" s="139" t="n">
        <v>1</v>
      </c>
      <c r="N39" s="139" t="n">
        <v>53</v>
      </c>
    </row>
    <row r="40">
      <c r="A40" s="139" t="n">
        <v>105</v>
      </c>
      <c r="B40">
        <f>VLOOKUP(A40,$J:$M,2,FALSE)</f>
        <v/>
      </c>
      <c r="C40">
        <f>IF(ISNUMBER(SEARCH("IB",B40)),LEFT(B40,LEN(B40)-3),IF(ISNUMBER(SEARCH("OB",B40)),LEFT(B40,LEN(B40)-3),B40))</f>
        <v/>
      </c>
      <c r="D40">
        <f>VLOOKUP($A40,$J:$M,4,FALSE)</f>
        <v/>
      </c>
      <c r="E40">
        <f>VLOOKUP($A40,$J:$N,5,FALSE)</f>
        <v/>
      </c>
      <c r="J40" s="139" t="n">
        <v>34</v>
      </c>
      <c r="K40" s="139" t="inlineStr">
        <is>
          <t>Rte 34 Opry Mills IB</t>
        </is>
      </c>
      <c r="L40" s="139" t="n">
        <v>4</v>
      </c>
      <c r="M40" s="139" t="n">
        <v>1</v>
      </c>
      <c r="N40" s="139" t="n">
        <v>56</v>
      </c>
    </row>
    <row r="41">
      <c r="A41" s="139" t="n">
        <v>106</v>
      </c>
      <c r="B41">
        <f>VLOOKUP(A41,$J:$M,2,FALSE)</f>
        <v/>
      </c>
      <c r="C41">
        <f>IF(ISNUMBER(SEARCH("IB",B41)),LEFT(B41,LEN(B41)-3),IF(ISNUMBER(SEARCH("OB",B41)),LEFT(B41,LEN(B41)-3),B41))</f>
        <v/>
      </c>
      <c r="D41">
        <f>VLOOKUP($A41,$J:$M,4,FALSE)</f>
        <v/>
      </c>
      <c r="E41">
        <f>VLOOKUP($A41,$J:$N,5,FALSE)</f>
        <v/>
      </c>
      <c r="J41" s="139" t="n">
        <v>34</v>
      </c>
      <c r="K41" s="139" t="inlineStr">
        <is>
          <t>Rte 34 Opry Mills OB</t>
        </is>
      </c>
      <c r="L41" s="139" t="n">
        <v>4</v>
      </c>
      <c r="M41" s="139" t="n">
        <v>1</v>
      </c>
      <c r="N41" s="139" t="n">
        <v>56</v>
      </c>
    </row>
    <row r="42">
      <c r="A42" s="139" t="n">
        <v>107</v>
      </c>
      <c r="B42">
        <f>VLOOKUP(A42,$J:$M,2,FALSE)</f>
        <v/>
      </c>
      <c r="C42">
        <f>IF(ISNUMBER(SEARCH("IB",B42)),LEFT(B42,LEN(B42)-3),IF(ISNUMBER(SEARCH("OB",B42)),LEFT(B42,LEN(B42)-3),B42))</f>
        <v/>
      </c>
      <c r="D42">
        <f>VLOOKUP($A42,$J:$M,4,FALSE)</f>
        <v/>
      </c>
      <c r="E42">
        <f>VLOOKUP($A42,$J:$N,5,FALSE)</f>
        <v/>
      </c>
      <c r="J42" s="139" t="n">
        <v>41</v>
      </c>
      <c r="K42" s="139" t="inlineStr">
        <is>
          <t>Rte 41 Golden Valley OB PM</t>
        </is>
      </c>
      <c r="L42" s="139" t="n">
        <v>4</v>
      </c>
      <c r="M42" s="139" t="n">
        <v>1</v>
      </c>
      <c r="N42" s="139" t="n">
        <v>59</v>
      </c>
    </row>
    <row r="43">
      <c r="A43" s="139" t="n">
        <v>108</v>
      </c>
      <c r="B43">
        <f>VLOOKUP(A43,$J:$M,2,FALSE)</f>
        <v/>
      </c>
      <c r="C43">
        <f>IF(ISNUMBER(SEARCH("IB",B43)),LEFT(B43,LEN(B43)-3),IF(ISNUMBER(SEARCH("OB",B43)),LEFT(B43,LEN(B43)-3),B43))</f>
        <v/>
      </c>
      <c r="D43">
        <f>VLOOKUP($A43,$J:$M,4,FALSE)</f>
        <v/>
      </c>
      <c r="E43">
        <f>VLOOKUP($A43,$J:$N,5,FALSE)</f>
        <v/>
      </c>
      <c r="J43" s="139" t="n">
        <v>41</v>
      </c>
      <c r="K43" s="139" t="inlineStr">
        <is>
          <t>Rte 41 Golden Valley IB AM</t>
        </is>
      </c>
      <c r="L43" s="139" t="n">
        <v>4</v>
      </c>
      <c r="M43" s="139" t="n">
        <v>1</v>
      </c>
      <c r="N43" s="139" t="n">
        <v>58</v>
      </c>
    </row>
    <row r="44">
      <c r="A44" s="139" t="n">
        <v>111</v>
      </c>
      <c r="B44">
        <f>VLOOKUP(A44,$J:$M,2,FALSE)</f>
        <v/>
      </c>
      <c r="C44">
        <f>IF(ISNUMBER(SEARCH("IB",B44)),LEFT(B44,LEN(B44)-3),IF(ISNUMBER(SEARCH("OB",B44)),LEFT(B44,LEN(B44)-3),B44))</f>
        <v/>
      </c>
      <c r="D44">
        <f>VLOOKUP($A44,$J:$M,4,FALSE)</f>
        <v/>
      </c>
      <c r="E44">
        <f>VLOOKUP($A44,$J:$N,5,FALSE)</f>
        <v/>
      </c>
      <c r="J44" s="139" t="n">
        <v>41</v>
      </c>
      <c r="K44" s="139" t="inlineStr">
        <is>
          <t>Rte 41 Golden Valley IB PM</t>
        </is>
      </c>
      <c r="L44" s="139" t="n">
        <v>4</v>
      </c>
      <c r="M44" s="139" t="n">
        <v>1</v>
      </c>
      <c r="N44" s="139" t="n">
        <v>59</v>
      </c>
    </row>
    <row r="45">
      <c r="A45" s="139" t="n">
        <v>112</v>
      </c>
      <c r="B45">
        <f>VLOOKUP(A45,$J:$M,2,FALSE)</f>
        <v/>
      </c>
      <c r="C45">
        <f>IF(ISNUMBER(SEARCH("IB",B45)),LEFT(B45,LEN(B45)-3),IF(ISNUMBER(SEARCH("OB",B45)),LEFT(B45,LEN(B45)-3),B45))</f>
        <v/>
      </c>
      <c r="D45">
        <f>VLOOKUP($A45,$J:$M,4,FALSE)</f>
        <v/>
      </c>
      <c r="E45">
        <f>VLOOKUP($A45,$J:$N,5,FALSE)</f>
        <v/>
      </c>
      <c r="J45" s="139" t="n">
        <v>41</v>
      </c>
      <c r="K45" s="139" t="inlineStr">
        <is>
          <t>Rte 41 Golden Valley OB AM</t>
        </is>
      </c>
      <c r="L45" s="139" t="n">
        <v>4</v>
      </c>
      <c r="M45" s="139" t="n">
        <v>1</v>
      </c>
      <c r="N45" s="139" t="n">
        <v>58</v>
      </c>
    </row>
    <row r="46">
      <c r="A46" s="138" t="n"/>
      <c r="J46" s="139" t="n">
        <v>42</v>
      </c>
      <c r="K46" s="139" t="inlineStr">
        <is>
          <t>Rte 42 St. Cecilia/Cumberland IB</t>
        </is>
      </c>
      <c r="L46" s="139" t="n">
        <v>4</v>
      </c>
      <c r="M46" s="139" t="n">
        <v>1</v>
      </c>
      <c r="N46" s="139" t="n">
        <v>60</v>
      </c>
    </row>
    <row r="47">
      <c r="A47" s="138" t="n"/>
      <c r="J47" s="139" t="n">
        <v>42</v>
      </c>
      <c r="K47" s="139" t="inlineStr">
        <is>
          <t>Rte 42 St. Cecilia/Cumberland oB</t>
        </is>
      </c>
      <c r="L47" s="139" t="n">
        <v>4</v>
      </c>
      <c r="M47" s="139" t="n">
        <v>1</v>
      </c>
      <c r="N47" s="139" t="n">
        <v>60</v>
      </c>
    </row>
    <row r="48">
      <c r="A48" s="138" t="n"/>
      <c r="J48" s="139" t="n">
        <v>50</v>
      </c>
      <c r="K48" s="139" t="inlineStr">
        <is>
          <t>Rte 50 CHARLOTTE PIKE oB</t>
        </is>
      </c>
      <c r="L48" s="139" t="n">
        <v>4</v>
      </c>
      <c r="M48" s="139" t="n">
        <v>1</v>
      </c>
      <c r="N48" s="139" t="n">
        <v>61</v>
      </c>
    </row>
    <row r="49">
      <c r="A49" s="138" t="n"/>
      <c r="J49" s="139" t="n">
        <v>50</v>
      </c>
      <c r="K49" s="139" t="inlineStr">
        <is>
          <t>Rte 50 CHARLOTTE PIKE iB</t>
        </is>
      </c>
      <c r="L49" s="139" t="n">
        <v>4</v>
      </c>
      <c r="M49" s="139" t="n">
        <v>1</v>
      </c>
      <c r="N49" s="139" t="n">
        <v>61</v>
      </c>
    </row>
    <row r="50">
      <c r="A50" s="138" t="n"/>
      <c r="J50" s="139" t="n">
        <v>52</v>
      </c>
      <c r="K50" s="139" t="inlineStr">
        <is>
          <t>Rte 52 NOLENSVILLE PIKE (Hick) oB</t>
        </is>
      </c>
      <c r="L50" s="139" t="n">
        <v>4</v>
      </c>
      <c r="M50" s="139" t="n">
        <v>1</v>
      </c>
      <c r="N50" s="139" t="n">
        <v>62</v>
      </c>
    </row>
    <row r="51">
      <c r="A51" s="138" t="n"/>
      <c r="J51" s="139" t="n">
        <v>52</v>
      </c>
      <c r="K51" s="139" t="inlineStr">
        <is>
          <t>Rte 52 NOLENSVILLE PIKE (Hick) iB</t>
        </is>
      </c>
      <c r="L51" s="139" t="n">
        <v>4</v>
      </c>
      <c r="M51" s="139" t="n">
        <v>1</v>
      </c>
      <c r="N51" s="139" t="n">
        <v>62</v>
      </c>
    </row>
    <row r="52">
      <c r="A52" s="138" t="n"/>
      <c r="J52" s="139" t="n">
        <v>52</v>
      </c>
      <c r="K52" s="139" t="inlineStr">
        <is>
          <t>Rte 52 NOLENSVILLE PIKE (Wall) iB</t>
        </is>
      </c>
      <c r="L52" s="139" t="n">
        <v>4</v>
      </c>
      <c r="M52" s="139" t="n">
        <v>1</v>
      </c>
      <c r="N52" s="139" t="n">
        <v>63</v>
      </c>
    </row>
    <row r="53">
      <c r="A53" s="138" t="n"/>
      <c r="J53" s="139" t="n">
        <v>52</v>
      </c>
      <c r="K53" s="139" t="inlineStr">
        <is>
          <t>Rte 52 NOLENSVILLE PIKE (Wall) oB</t>
        </is>
      </c>
      <c r="L53" s="139" t="n">
        <v>4</v>
      </c>
      <c r="M53" s="139" t="n">
        <v>1</v>
      </c>
      <c r="N53" s="139" t="n">
        <v>63</v>
      </c>
    </row>
    <row r="54">
      <c r="A54" s="138" t="n"/>
      <c r="J54" s="139" t="n">
        <v>55</v>
      </c>
      <c r="K54" s="139" t="inlineStr">
        <is>
          <t>Rte 55 MURFREESBORO PIKE oB</t>
        </is>
      </c>
      <c r="L54" s="139" t="n">
        <v>4</v>
      </c>
      <c r="M54" s="139" t="n">
        <v>1</v>
      </c>
      <c r="N54" s="139" t="n">
        <v>64</v>
      </c>
    </row>
    <row r="55">
      <c r="A55" s="138" t="n"/>
      <c r="J55" s="139" t="n">
        <v>55</v>
      </c>
      <c r="K55" s="139" t="inlineStr">
        <is>
          <t>Rte 55 MURFREESBORO PIKE iB</t>
        </is>
      </c>
      <c r="L55" s="139" t="n">
        <v>4</v>
      </c>
      <c r="M55" s="139" t="n">
        <v>1</v>
      </c>
      <c r="N55" s="139" t="n">
        <v>64</v>
      </c>
    </row>
    <row r="56">
      <c r="A56" s="138" t="n"/>
      <c r="J56" s="139" t="n">
        <v>56</v>
      </c>
      <c r="K56" s="139" t="inlineStr">
        <is>
          <t>Rte 56 Gallatin Rd IB</t>
        </is>
      </c>
      <c r="L56" s="139" t="n">
        <v>4</v>
      </c>
      <c r="M56" s="139" t="n">
        <v>1</v>
      </c>
      <c r="N56" s="139" t="n">
        <v>66</v>
      </c>
    </row>
    <row r="57">
      <c r="A57" s="138" t="n"/>
      <c r="J57" s="139" t="n">
        <v>56</v>
      </c>
      <c r="K57" s="139" t="inlineStr">
        <is>
          <t>Rte 56 Gallatin Rd oB</t>
        </is>
      </c>
      <c r="L57" s="139" t="n">
        <v>4</v>
      </c>
      <c r="M57" s="139" t="n">
        <v>1</v>
      </c>
      <c r="N57" s="139" t="n">
        <v>66</v>
      </c>
    </row>
    <row r="58">
      <c r="A58" s="138" t="n"/>
      <c r="J58" s="139" t="n">
        <v>56</v>
      </c>
      <c r="K58" s="139" t="inlineStr">
        <is>
          <t>Rte 56 Gallatin Rd BRTmix OB</t>
        </is>
      </c>
      <c r="L58" s="139" t="n">
        <v>4</v>
      </c>
      <c r="M58" s="139" t="n">
        <v>8</v>
      </c>
      <c r="N58" s="139" t="n">
        <v>65</v>
      </c>
    </row>
    <row r="59">
      <c r="A59" s="138" t="n"/>
      <c r="J59" s="139" t="n">
        <v>56</v>
      </c>
      <c r="K59" s="139" t="inlineStr">
        <is>
          <t>Rte 56 Gallatin Rd BRTmix IB</t>
        </is>
      </c>
      <c r="L59" s="139" t="n">
        <v>4</v>
      </c>
      <c r="M59" s="139" t="n">
        <v>8</v>
      </c>
      <c r="N59" s="139" t="n">
        <v>65</v>
      </c>
    </row>
    <row r="60">
      <c r="A60" s="138" t="n"/>
      <c r="J60" s="139" t="n">
        <v>64</v>
      </c>
      <c r="K60" s="139" t="inlineStr">
        <is>
          <t>Rte 64 STAR DOWNTOWN SHUTTLE</t>
        </is>
      </c>
      <c r="L60" s="139" t="n">
        <v>4</v>
      </c>
      <c r="M60" s="139" t="n">
        <v>11</v>
      </c>
      <c r="N60" s="139" t="n">
        <v>83</v>
      </c>
    </row>
    <row r="61">
      <c r="A61" s="138" t="n"/>
      <c r="J61" s="139" t="n">
        <v>70</v>
      </c>
      <c r="K61" s="139" t="inlineStr">
        <is>
          <t>Rte 70 Belevue Conn OB</t>
        </is>
      </c>
      <c r="L61" s="139" t="n">
        <v>4</v>
      </c>
      <c r="M61" s="139" t="n">
        <v>1</v>
      </c>
      <c r="N61" s="139" t="n">
        <v>69</v>
      </c>
    </row>
    <row r="62">
      <c r="A62" s="138" t="n"/>
      <c r="J62" s="139" t="n">
        <v>70</v>
      </c>
      <c r="K62" s="139" t="inlineStr">
        <is>
          <t>Rte 70 Belevue Conn IB</t>
        </is>
      </c>
      <c r="L62" s="139" t="n">
        <v>4</v>
      </c>
      <c r="M62" s="139" t="n">
        <v>1</v>
      </c>
      <c r="N62" s="139" t="n">
        <v>69</v>
      </c>
    </row>
    <row r="63">
      <c r="A63" s="138" t="n"/>
      <c r="J63" s="139" t="n">
        <v>75</v>
      </c>
      <c r="K63" s="139" t="inlineStr">
        <is>
          <t>Rte 75 Midtown CW Loop</t>
        </is>
      </c>
      <c r="L63" s="139" t="n">
        <v>4</v>
      </c>
      <c r="M63" s="139" t="n">
        <v>1</v>
      </c>
      <c r="N63" s="139" t="n">
        <v>70</v>
      </c>
    </row>
    <row r="64">
      <c r="A64" s="138" t="n"/>
      <c r="J64" s="139" t="n">
        <v>75</v>
      </c>
      <c r="K64" s="139" t="inlineStr">
        <is>
          <t>Rte 75 Midtown CCW Loop</t>
        </is>
      </c>
      <c r="L64" s="139" t="n">
        <v>4</v>
      </c>
      <c r="M64" s="139" t="n">
        <v>1</v>
      </c>
      <c r="N64" s="139" t="n">
        <v>70</v>
      </c>
    </row>
    <row r="65">
      <c r="A65" s="138" t="n"/>
      <c r="J65" s="139" t="n">
        <v>76</v>
      </c>
      <c r="K65" s="139" t="inlineStr">
        <is>
          <t>Rte 76 Madison Conn</t>
        </is>
      </c>
      <c r="L65" s="139" t="n">
        <v>4</v>
      </c>
      <c r="M65" s="139" t="n">
        <v>1</v>
      </c>
      <c r="N65" s="139" t="n">
        <v>85</v>
      </c>
    </row>
    <row r="66">
      <c r="A66" s="138" t="n"/>
      <c r="J66" s="139" t="n">
        <v>77</v>
      </c>
      <c r="K66" s="139" t="inlineStr">
        <is>
          <t>Rte 77 THOMPSON - WEDGEWOOD ccw</t>
        </is>
      </c>
      <c r="L66" s="139" t="n">
        <v>4</v>
      </c>
      <c r="M66" s="139" t="n">
        <v>1</v>
      </c>
      <c r="N66" s="139" t="n">
        <v>71</v>
      </c>
    </row>
    <row r="67">
      <c r="A67" s="138" t="n"/>
      <c r="J67" s="139" t="n">
        <v>77</v>
      </c>
      <c r="K67" s="139" t="inlineStr">
        <is>
          <t>Rte 77 THOMPSON - WEDGEWOOD cw</t>
        </is>
      </c>
      <c r="L67" s="139" t="n">
        <v>4</v>
      </c>
      <c r="M67" s="139" t="n">
        <v>1</v>
      </c>
      <c r="N67" s="139" t="n">
        <v>71</v>
      </c>
    </row>
    <row r="68">
      <c r="A68" s="138" t="n"/>
      <c r="J68" s="139" t="n">
        <v>79</v>
      </c>
      <c r="K68" s="139" t="inlineStr">
        <is>
          <t>Rte 79 Skyline iB</t>
        </is>
      </c>
      <c r="L68" s="139" t="n">
        <v>4</v>
      </c>
      <c r="M68" s="139" t="n">
        <v>1</v>
      </c>
      <c r="N68" s="139" t="n">
        <v>72</v>
      </c>
    </row>
    <row r="69">
      <c r="A69" s="138" t="n"/>
      <c r="J69" s="139" t="n">
        <v>79</v>
      </c>
      <c r="K69" s="139" t="inlineStr">
        <is>
          <t>Rte 79 Skyline oB</t>
        </is>
      </c>
      <c r="L69" s="139" t="n">
        <v>4</v>
      </c>
      <c r="M69" s="139" t="n">
        <v>1</v>
      </c>
      <c r="N69" s="139" t="n">
        <v>72</v>
      </c>
    </row>
    <row r="70">
      <c r="A70" s="138" t="n"/>
      <c r="J70" s="139" t="n">
        <v>84</v>
      </c>
      <c r="K70" s="139" t="inlineStr">
        <is>
          <t>Rte 84 Murfreesboro Express OB</t>
        </is>
      </c>
      <c r="L70" s="139" t="n">
        <v>5</v>
      </c>
      <c r="M70" s="139" t="n">
        <v>6</v>
      </c>
      <c r="N70" s="139" t="n">
        <v>74</v>
      </c>
    </row>
    <row r="71">
      <c r="A71" s="138" t="n"/>
      <c r="J71" s="139" t="n">
        <v>84</v>
      </c>
      <c r="K71" s="139" t="inlineStr">
        <is>
          <t>Rte 84 Murfreesboro Express IB</t>
        </is>
      </c>
      <c r="L71" s="139" t="n">
        <v>5</v>
      </c>
      <c r="M71" s="139" t="n">
        <v>6</v>
      </c>
      <c r="N71" s="139" t="n">
        <v>74</v>
      </c>
    </row>
    <row r="72">
      <c r="A72" s="138" t="n"/>
      <c r="J72" s="139" t="n">
        <v>86</v>
      </c>
      <c r="K72" s="139" t="inlineStr">
        <is>
          <t>Rte 86 Smyrna Lavergne Exp OB</t>
        </is>
      </c>
      <c r="L72" s="139" t="n">
        <v>5</v>
      </c>
      <c r="M72" s="139" t="n">
        <v>6</v>
      </c>
      <c r="N72" s="139" t="n">
        <v>75</v>
      </c>
    </row>
    <row r="73">
      <c r="A73" s="138" t="n"/>
      <c r="J73" s="139" t="n">
        <v>86</v>
      </c>
      <c r="K73" s="139" t="inlineStr">
        <is>
          <t>Rte 86 Smyrna Lavergne Exp IB</t>
        </is>
      </c>
      <c r="L73" s="139" t="n">
        <v>5</v>
      </c>
      <c r="M73" s="139" t="n">
        <v>6</v>
      </c>
      <c r="N73" s="139" t="n">
        <v>75</v>
      </c>
    </row>
    <row r="74">
      <c r="A74" s="138" t="n"/>
      <c r="J74" s="139" t="n">
        <v>87</v>
      </c>
      <c r="K74" s="139" t="inlineStr">
        <is>
          <t>Rte 87 Gallatin Comm Bus OB</t>
        </is>
      </c>
      <c r="L74" s="139" t="n">
        <v>5</v>
      </c>
      <c r="M74" s="139" t="n">
        <v>7</v>
      </c>
      <c r="N74" s="139" t="n">
        <v>76</v>
      </c>
    </row>
    <row r="75">
      <c r="A75" s="138" t="n"/>
      <c r="J75" s="139" t="n">
        <v>87</v>
      </c>
      <c r="K75" s="139" t="inlineStr">
        <is>
          <t>Rte 87 Gallatin Comm Bus IB</t>
        </is>
      </c>
      <c r="L75" s="139" t="n">
        <v>5</v>
      </c>
      <c r="M75" s="139" t="n">
        <v>7</v>
      </c>
      <c r="N75" s="139" t="n">
        <v>76</v>
      </c>
    </row>
    <row r="76">
      <c r="A76" s="138" t="n"/>
      <c r="J76" s="139" t="n">
        <v>89</v>
      </c>
      <c r="K76" s="139" t="inlineStr">
        <is>
          <t>Rte 89 Spgfield/Joelton Exp OB</t>
        </is>
      </c>
      <c r="L76" s="139" t="n">
        <v>5</v>
      </c>
      <c r="M76" s="139" t="n">
        <v>6</v>
      </c>
      <c r="N76" s="139" t="n">
        <v>77</v>
      </c>
    </row>
    <row r="77">
      <c r="A77" s="138" t="n"/>
      <c r="J77" s="139" t="n">
        <v>89</v>
      </c>
      <c r="K77" s="139" t="inlineStr">
        <is>
          <t>Rte 89 Sprgfield/Joelton Exp IB</t>
        </is>
      </c>
      <c r="L77" s="139" t="n">
        <v>5</v>
      </c>
      <c r="M77" s="139" t="n">
        <v>6</v>
      </c>
      <c r="N77" s="139" t="n">
        <v>77</v>
      </c>
    </row>
    <row r="78">
      <c r="A78" s="138" t="n"/>
      <c r="J78" s="139" t="n">
        <v>90</v>
      </c>
      <c r="K78" s="139" t="inlineStr">
        <is>
          <t>Rte 90 Music City Star oB</t>
        </is>
      </c>
      <c r="L78" s="139" t="n">
        <v>6</v>
      </c>
      <c r="M78" s="139" t="n">
        <v>12</v>
      </c>
      <c r="N78" s="139" t="n">
        <v>79</v>
      </c>
    </row>
    <row r="79">
      <c r="A79" s="138" t="n"/>
      <c r="J79" s="139" t="n">
        <v>90</v>
      </c>
      <c r="K79" s="139" t="inlineStr">
        <is>
          <t>Rte 90 Music City Star iB</t>
        </is>
      </c>
      <c r="L79" s="139" t="n">
        <v>6</v>
      </c>
      <c r="M79" s="139" t="n">
        <v>12</v>
      </c>
      <c r="N79" s="139" t="n">
        <v>79</v>
      </c>
    </row>
    <row r="80">
      <c r="A80" s="138" t="n"/>
      <c r="J80" s="139" t="n">
        <v>90</v>
      </c>
      <c r="K80" s="139" t="inlineStr">
        <is>
          <t>Rte 90 Music City StarMJ oB</t>
        </is>
      </c>
      <c r="L80" s="139" t="n">
        <v>6</v>
      </c>
      <c r="M80" s="139" t="n">
        <v>12</v>
      </c>
      <c r="N80" s="139" t="n">
        <v>80</v>
      </c>
    </row>
    <row r="81">
      <c r="A81" s="138" t="n"/>
      <c r="J81" s="139" t="n">
        <v>90</v>
      </c>
      <c r="K81" s="139" t="inlineStr">
        <is>
          <t>Rte 90 Music City StarMJ iB</t>
        </is>
      </c>
      <c r="L81" s="139" t="n">
        <v>6</v>
      </c>
      <c r="M81" s="139" t="n">
        <v>12</v>
      </c>
      <c r="N81" s="139" t="n">
        <v>80</v>
      </c>
    </row>
    <row r="82">
      <c r="A82" s="138" t="n"/>
      <c r="J82" s="139" t="n">
        <v>93</v>
      </c>
      <c r="K82" s="139" t="inlineStr">
        <is>
          <t>Rte 93 MCS West End Shuttle</t>
        </is>
      </c>
      <c r="L82" s="139" t="n">
        <v>4</v>
      </c>
      <c r="M82" s="139" t="n">
        <v>11</v>
      </c>
      <c r="N82" s="139" t="n">
        <v>84</v>
      </c>
    </row>
    <row r="83">
      <c r="A83" s="138" t="n"/>
      <c r="J83" s="139" t="n">
        <v>95</v>
      </c>
      <c r="K83" s="139" t="inlineStr">
        <is>
          <t>Rte 95 Spring Hill Exp OB</t>
        </is>
      </c>
      <c r="L83" s="139" t="n">
        <v>5</v>
      </c>
      <c r="M83" s="139" t="n">
        <v>6</v>
      </c>
      <c r="N83" s="139" t="n">
        <v>81</v>
      </c>
    </row>
    <row r="84">
      <c r="A84" s="138" t="n"/>
      <c r="J84" s="139" t="n">
        <v>95</v>
      </c>
      <c r="K84" s="139" t="inlineStr">
        <is>
          <t>Rte 95 Spring Hill Exp IB</t>
        </is>
      </c>
      <c r="L84" s="139" t="n">
        <v>5</v>
      </c>
      <c r="M84" s="139" t="n">
        <v>6</v>
      </c>
      <c r="N84" s="139" t="n">
        <v>81</v>
      </c>
    </row>
    <row r="85">
      <c r="A85" s="138" t="n"/>
      <c r="J85" s="139" t="n">
        <v>95</v>
      </c>
      <c r="K85" s="139" t="inlineStr">
        <is>
          <t>Rte 95 Spring Hill VB Exp IB</t>
        </is>
      </c>
      <c r="L85" s="139" t="n">
        <v>5</v>
      </c>
      <c r="M85" s="139" t="n">
        <v>6</v>
      </c>
      <c r="N85" s="139" t="n">
        <v>82</v>
      </c>
    </row>
    <row r="86">
      <c r="A86" s="138" t="n"/>
      <c r="J86" s="139" t="n">
        <v>95</v>
      </c>
      <c r="K86" s="139" t="inlineStr">
        <is>
          <t>Rte 95 Spring Hill VB Exp OB</t>
        </is>
      </c>
      <c r="L86" s="139" t="n">
        <v>5</v>
      </c>
      <c r="M86" s="139" t="n">
        <v>6</v>
      </c>
      <c r="N86" s="139" t="n">
        <v>82</v>
      </c>
    </row>
    <row r="87">
      <c r="A87" s="138" t="n"/>
      <c r="J87" s="139" t="n">
        <v>102</v>
      </c>
      <c r="K87" s="139" t="inlineStr">
        <is>
          <t>Rte 102 Rover South Church</t>
        </is>
      </c>
      <c r="L87" s="139" t="n">
        <v>4</v>
      </c>
      <c r="M87" s="139" t="n">
        <v>2</v>
      </c>
      <c r="N87" s="139" t="n">
        <v>33</v>
      </c>
    </row>
    <row r="88">
      <c r="A88" s="138" t="n"/>
      <c r="J88" s="139" t="n">
        <v>103</v>
      </c>
      <c r="K88" s="139" t="inlineStr">
        <is>
          <t>Rte 103 Rover Memorial</t>
        </is>
      </c>
      <c r="L88" s="139" t="n">
        <v>4</v>
      </c>
      <c r="M88" s="139" t="n">
        <v>2</v>
      </c>
      <c r="N88" s="139" t="n">
        <v>34</v>
      </c>
    </row>
    <row r="89">
      <c r="A89" s="138" t="n"/>
      <c r="J89" s="139" t="n">
        <v>104</v>
      </c>
      <c r="K89" s="139" t="inlineStr">
        <is>
          <t>Rte 104 Rover Mercury</t>
        </is>
      </c>
      <c r="L89" s="139" t="n">
        <v>4</v>
      </c>
      <c r="M89" s="139" t="n">
        <v>2</v>
      </c>
      <c r="N89" s="139" t="n">
        <v>35</v>
      </c>
    </row>
    <row r="90">
      <c r="A90" s="138" t="n"/>
      <c r="J90" s="139" t="n">
        <v>105</v>
      </c>
      <c r="K90" s="139" t="inlineStr">
        <is>
          <t>Rte 105 Rover HighLand</t>
        </is>
      </c>
      <c r="L90" s="139" t="n">
        <v>4</v>
      </c>
      <c r="M90" s="139" t="n">
        <v>2</v>
      </c>
      <c r="N90" s="139" t="n">
        <v>36</v>
      </c>
    </row>
    <row r="91">
      <c r="A91" s="138" t="n"/>
      <c r="J91" s="139" t="n">
        <v>106</v>
      </c>
      <c r="K91" s="139" t="inlineStr">
        <is>
          <t>Rte 106 Rover Medical Center</t>
        </is>
      </c>
      <c r="L91" s="139" t="n">
        <v>4</v>
      </c>
      <c r="M91" s="139" t="n">
        <v>2</v>
      </c>
      <c r="N91" s="139" t="n">
        <v>37</v>
      </c>
    </row>
    <row r="92">
      <c r="A92" s="138" t="n"/>
      <c r="J92" s="139" t="n">
        <v>107</v>
      </c>
      <c r="K92" s="139" t="inlineStr">
        <is>
          <t>Rte 107 Rover Gateway</t>
        </is>
      </c>
      <c r="L92" s="139" t="n">
        <v>4</v>
      </c>
      <c r="M92" s="139" t="n">
        <v>2</v>
      </c>
      <c r="N92" s="139" t="n">
        <v>38</v>
      </c>
    </row>
    <row r="93">
      <c r="A93" s="138" t="n"/>
      <c r="J93" s="139" t="n">
        <v>108</v>
      </c>
      <c r="K93" s="139" t="inlineStr">
        <is>
          <t>Rte 108 Rover Old Fort</t>
        </is>
      </c>
      <c r="L93" s="139" t="n">
        <v>4</v>
      </c>
      <c r="M93" s="139" t="n">
        <v>2</v>
      </c>
      <c r="N93" s="139" t="n">
        <v>39</v>
      </c>
    </row>
    <row r="94">
      <c r="A94" s="138" t="n"/>
      <c r="J94" s="139" t="n">
        <v>111</v>
      </c>
      <c r="K94" s="139" t="inlineStr">
        <is>
          <t>Rte 111 FTA Blue</t>
        </is>
      </c>
      <c r="L94" s="139" t="n">
        <v>4</v>
      </c>
      <c r="M94" s="139" t="n">
        <v>3</v>
      </c>
      <c r="N94" s="139" t="n">
        <v>40</v>
      </c>
    </row>
    <row r="95">
      <c r="A95" s="138" t="n"/>
      <c r="J95" s="139" t="n">
        <v>112</v>
      </c>
      <c r="K95" s="139" t="inlineStr">
        <is>
          <t>Rte 112 FTA Red Route SN</t>
        </is>
      </c>
      <c r="L95" s="139" t="n">
        <v>4</v>
      </c>
      <c r="M95" s="139" t="n">
        <v>3</v>
      </c>
      <c r="N95" s="139" t="n">
        <v>41</v>
      </c>
    </row>
    <row r="96">
      <c r="A96" s="138" t="n"/>
      <c r="J96" s="139" t="n">
        <v>112</v>
      </c>
      <c r="K96" s="139" t="inlineStr">
        <is>
          <t>Rte 112 FTA Red Route NS</t>
        </is>
      </c>
      <c r="L96" s="139" t="n">
        <v>4</v>
      </c>
      <c r="M96" s="139" t="n">
        <v>3</v>
      </c>
      <c r="N96" s="139" t="n">
        <v>41</v>
      </c>
    </row>
    <row r="97">
      <c r="K97" s="139" t="inlineStr">
        <is>
          <t>MuleGreenWest</t>
        </is>
      </c>
      <c r="L97" s="139" t="n">
        <v>4</v>
      </c>
      <c r="M97" s="139" t="n">
        <v>2</v>
      </c>
      <c r="N97" s="139" t="n">
        <v>25</v>
      </c>
    </row>
    <row r="98">
      <c r="K98" s="139" t="inlineStr">
        <is>
          <t>MulePurpleEast</t>
        </is>
      </c>
      <c r="L98" s="139" t="n">
        <v>4</v>
      </c>
      <c r="M98" s="139" t="n">
        <v>2</v>
      </c>
      <c r="N98" s="139" t="n">
        <v>26</v>
      </c>
    </row>
    <row r="99">
      <c r="K99" s="139" t="inlineStr">
        <is>
          <t>MuleRedSouth</t>
        </is>
      </c>
      <c r="L99" s="139" t="n">
        <v>4</v>
      </c>
      <c r="M99" s="139" t="n">
        <v>2</v>
      </c>
      <c r="N99" s="139" t="n">
        <v>27</v>
      </c>
    </row>
    <row r="100">
      <c r="K100" s="139" t="inlineStr">
        <is>
          <t>MuleBlueSB</t>
        </is>
      </c>
      <c r="L100" s="139" t="n">
        <v>4</v>
      </c>
      <c r="M100" s="139" t="n">
        <v>2</v>
      </c>
      <c r="N100" s="139" t="n">
        <v>24</v>
      </c>
    </row>
    <row r="101">
      <c r="K101" s="139" t="inlineStr">
        <is>
          <t>Circ_Lebanon_W</t>
        </is>
      </c>
      <c r="L101" s="139" t="n">
        <v>4</v>
      </c>
      <c r="M101" s="139" t="n">
        <v>2</v>
      </c>
      <c r="N101" s="139" t="n">
        <v>18</v>
      </c>
    </row>
    <row r="102">
      <c r="K102" s="139" t="inlineStr">
        <is>
          <t>Circ_Lebanon_E</t>
        </is>
      </c>
      <c r="L102" s="139" t="n">
        <v>4</v>
      </c>
      <c r="M102" s="139" t="n">
        <v>2</v>
      </c>
      <c r="N102" s="139" t="n">
        <v>15</v>
      </c>
    </row>
    <row r="103">
      <c r="K103" s="139" t="inlineStr">
        <is>
          <t>Circ_Lebanon_N</t>
        </is>
      </c>
      <c r="L103" s="139" t="n">
        <v>4</v>
      </c>
      <c r="M103" s="139" t="n">
        <v>2</v>
      </c>
      <c r="N103" s="139" t="n">
        <v>16</v>
      </c>
    </row>
    <row r="104">
      <c r="K104" s="139" t="inlineStr">
        <is>
          <t>Circ_Lebanon_S</t>
        </is>
      </c>
      <c r="L104" s="139" t="n">
        <v>4</v>
      </c>
      <c r="M104" s="139" t="n">
        <v>2</v>
      </c>
      <c r="N104" s="139" t="n">
        <v>17</v>
      </c>
    </row>
    <row r="105">
      <c r="K105" s="139" t="inlineStr">
        <is>
          <t>Circ_MJ_E</t>
        </is>
      </c>
      <c r="L105" s="139" t="n">
        <v>4</v>
      </c>
      <c r="M105" s="139" t="n">
        <v>2</v>
      </c>
      <c r="N105" s="139" t="n">
        <v>19</v>
      </c>
    </row>
    <row r="106">
      <c r="K106" s="139" t="inlineStr">
        <is>
          <t>Circ_MJ_W</t>
        </is>
      </c>
      <c r="L106" s="139" t="n">
        <v>4</v>
      </c>
      <c r="M106" s="139" t="n">
        <v>2</v>
      </c>
      <c r="N106" s="139" t="n">
        <v>22</v>
      </c>
    </row>
    <row r="107">
      <c r="K107" s="139" t="inlineStr">
        <is>
          <t>Circ_MJ_S</t>
        </is>
      </c>
      <c r="L107" s="139" t="n">
        <v>4</v>
      </c>
      <c r="M107" s="139" t="n">
        <v>2</v>
      </c>
      <c r="N107" s="139" t="n">
        <v>21</v>
      </c>
    </row>
    <row r="108">
      <c r="K108" s="139" t="inlineStr">
        <is>
          <t>Circ_MJ_N</t>
        </is>
      </c>
      <c r="L108" s="139" t="n">
        <v>4</v>
      </c>
      <c r="M108" s="139" t="n">
        <v>2</v>
      </c>
      <c r="N108" s="139" t="n">
        <v>20</v>
      </c>
    </row>
    <row r="109">
      <c r="K109" s="139" t="inlineStr">
        <is>
          <t>Cric_Herm_W</t>
        </is>
      </c>
      <c r="L109" s="139" t="n">
        <v>4</v>
      </c>
      <c r="M109" s="139" t="n">
        <v>2</v>
      </c>
      <c r="N109" s="139" t="n">
        <v>23</v>
      </c>
    </row>
    <row r="110">
      <c r="K110" s="139" t="inlineStr">
        <is>
          <t>Circ_Herm_N</t>
        </is>
      </c>
      <c r="L110" s="139" t="n">
        <v>4</v>
      </c>
      <c r="M110" s="139" t="n">
        <v>2</v>
      </c>
      <c r="N110" s="139" t="n">
        <v>13</v>
      </c>
    </row>
    <row r="111">
      <c r="K111" s="139" t="inlineStr">
        <is>
          <t>Circ_Herm_S</t>
        </is>
      </c>
      <c r="L111" s="139" t="n">
        <v>4</v>
      </c>
      <c r="M111" s="139" t="n">
        <v>2</v>
      </c>
      <c r="N111" s="139" t="n">
        <v>14</v>
      </c>
    </row>
    <row r="112">
      <c r="K112" s="139" t="inlineStr">
        <is>
          <t>Circ_Herm_E</t>
        </is>
      </c>
      <c r="L112" s="139" t="n">
        <v>4</v>
      </c>
      <c r="M112" s="139" t="n">
        <v>2</v>
      </c>
      <c r="N112" s="139" t="n">
        <v>12</v>
      </c>
    </row>
    <row r="113">
      <c r="K113" s="139" t="inlineStr">
        <is>
          <t>BRT_CU7_Corridor iB</t>
        </is>
      </c>
      <c r="L113" s="139" t="n">
        <v>7</v>
      </c>
      <c r="M113" s="139" t="n">
        <v>9</v>
      </c>
      <c r="N113" s="139" t="n">
        <v>10</v>
      </c>
    </row>
    <row r="114">
      <c r="K114" s="139" t="inlineStr">
        <is>
          <t>BRT_CU7_Corridor oB</t>
        </is>
      </c>
      <c r="L114" s="139" t="n">
        <v>7</v>
      </c>
      <c r="M114" s="139" t="n">
        <v>9</v>
      </c>
      <c r="N114" s="139" t="n">
        <v>10</v>
      </c>
    </row>
    <row r="115">
      <c r="K115" s="139" t="inlineStr">
        <is>
          <t>BRT_CU1air_Corridor iB</t>
        </is>
      </c>
      <c r="L115" s="139" t="n">
        <v>7</v>
      </c>
      <c r="M115" s="139" t="n">
        <v>9</v>
      </c>
      <c r="N115" s="139" t="n">
        <v>4</v>
      </c>
    </row>
    <row r="116">
      <c r="K116" s="139" t="inlineStr">
        <is>
          <t>BRT_CU1air_Corridor oB</t>
        </is>
      </c>
      <c r="L116" s="139" t="n">
        <v>7</v>
      </c>
      <c r="M116" s="139" t="n">
        <v>9</v>
      </c>
      <c r="N116" s="139" t="n">
        <v>4</v>
      </c>
    </row>
    <row r="117">
      <c r="K117" s="139" t="inlineStr">
        <is>
          <t>BRT_CU2_Corridor oB</t>
        </is>
      </c>
      <c r="L117" s="139" t="n">
        <v>7</v>
      </c>
      <c r="M117" s="139" t="n">
        <v>9</v>
      </c>
      <c r="N117" s="139" t="n">
        <v>5</v>
      </c>
    </row>
    <row r="118">
      <c r="K118" s="139" t="inlineStr">
        <is>
          <t>BRT_CU2_Corridor iB</t>
        </is>
      </c>
      <c r="L118" s="139" t="n">
        <v>7</v>
      </c>
      <c r="M118" s="139" t="n">
        <v>9</v>
      </c>
      <c r="N118" s="139" t="n">
        <v>5</v>
      </c>
    </row>
    <row r="119">
      <c r="K119" s="139" t="inlineStr">
        <is>
          <t>BRT_CU4_Corridor iB</t>
        </is>
      </c>
      <c r="L119" s="139" t="n">
        <v>7</v>
      </c>
      <c r="M119" s="139" t="n">
        <v>9</v>
      </c>
      <c r="N119" s="139" t="n">
        <v>7</v>
      </c>
    </row>
    <row r="120">
      <c r="K120" s="139" t="inlineStr">
        <is>
          <t>BRT_CU4_Corridor oB</t>
        </is>
      </c>
      <c r="L120" s="139" t="n">
        <v>7</v>
      </c>
      <c r="M120" s="139" t="n">
        <v>9</v>
      </c>
      <c r="N120" s="139" t="n">
        <v>7</v>
      </c>
    </row>
    <row r="121">
      <c r="K121" s="139" t="inlineStr">
        <is>
          <t>BRT_CU3_Corridor oB</t>
        </is>
      </c>
      <c r="L121" s="139" t="n">
        <v>7</v>
      </c>
      <c r="M121" s="139" t="n">
        <v>9</v>
      </c>
      <c r="N121" s="139" t="n">
        <v>6</v>
      </c>
    </row>
    <row r="122">
      <c r="K122" s="139" t="inlineStr">
        <is>
          <t>BRT_CU3_Corridor iB</t>
        </is>
      </c>
      <c r="L122" s="139" t="n">
        <v>7</v>
      </c>
      <c r="M122" s="139" t="n">
        <v>9</v>
      </c>
      <c r="N122" s="139" t="n">
        <v>6</v>
      </c>
    </row>
    <row r="123">
      <c r="K123" s="139" t="inlineStr">
        <is>
          <t>BRT_CU6_Corridor OB</t>
        </is>
      </c>
      <c r="L123" s="139" t="n">
        <v>7</v>
      </c>
      <c r="M123" s="139" t="n">
        <v>9</v>
      </c>
      <c r="N123" s="139" t="n">
        <v>9</v>
      </c>
    </row>
    <row r="124">
      <c r="K124" s="139" t="inlineStr">
        <is>
          <t>BRT_CU6_Corridor iB</t>
        </is>
      </c>
      <c r="L124" s="139" t="n">
        <v>7</v>
      </c>
      <c r="M124" s="139" t="n">
        <v>9</v>
      </c>
      <c r="N124" s="139" t="n">
        <v>9</v>
      </c>
    </row>
    <row r="125">
      <c r="K125" s="139" t="inlineStr">
        <is>
          <t>BRT_CU9_Corridor oB</t>
        </is>
      </c>
      <c r="L125" s="139" t="n">
        <v>7</v>
      </c>
      <c r="M125" s="139" t="n">
        <v>9</v>
      </c>
      <c r="N125" s="139" t="n">
        <v>11</v>
      </c>
    </row>
    <row r="126">
      <c r="K126" s="139" t="inlineStr">
        <is>
          <t>BRT_CU9_Corridor iB</t>
        </is>
      </c>
      <c r="L126" s="139" t="n">
        <v>7</v>
      </c>
      <c r="M126" s="139" t="n">
        <v>9</v>
      </c>
      <c r="N126" s="139" t="n">
        <v>11</v>
      </c>
    </row>
    <row r="127">
      <c r="K127" s="139" t="inlineStr">
        <is>
          <t>BRT_CU10_Corridor iB</t>
        </is>
      </c>
      <c r="L127" s="139" t="n">
        <v>7</v>
      </c>
      <c r="M127" s="139" t="n">
        <v>9</v>
      </c>
      <c r="N127" s="139" t="n">
        <v>1</v>
      </c>
    </row>
    <row r="128">
      <c r="K128" s="139" t="inlineStr">
        <is>
          <t>BRT_CU10_Corridor oB</t>
        </is>
      </c>
      <c r="L128" s="139" t="n">
        <v>7</v>
      </c>
      <c r="M128" s="139" t="n">
        <v>9</v>
      </c>
      <c r="N128" s="139" t="n">
        <v>1</v>
      </c>
    </row>
    <row r="129">
      <c r="K129" s="139" t="inlineStr">
        <is>
          <t>BRT_CU11_Corridor oB</t>
        </is>
      </c>
      <c r="L129" s="139" t="n">
        <v>7</v>
      </c>
      <c r="M129" s="139" t="n">
        <v>9</v>
      </c>
      <c r="N129" s="139" t="n">
        <v>2</v>
      </c>
    </row>
    <row r="130">
      <c r="K130" s="139" t="inlineStr">
        <is>
          <t>BRT_CU11_Corridor iB</t>
        </is>
      </c>
      <c r="L130" s="139" t="n">
        <v>7</v>
      </c>
      <c r="M130" s="139" t="n">
        <v>9</v>
      </c>
      <c r="N130" s="139" t="n">
        <v>2</v>
      </c>
    </row>
    <row r="131">
      <c r="K131" s="139" t="inlineStr">
        <is>
          <t>RailExt 3 Geodis OB</t>
        </is>
      </c>
      <c r="L131" s="139" t="n">
        <v>6</v>
      </c>
      <c r="M131" s="139" t="n">
        <v>12</v>
      </c>
      <c r="N131" s="139" t="n">
        <v>30</v>
      </c>
    </row>
    <row r="132">
      <c r="K132" s="139" t="inlineStr">
        <is>
          <t>RailExt 3 Geodis IB</t>
        </is>
      </c>
      <c r="L132" s="139" t="n">
        <v>6</v>
      </c>
      <c r="M132" s="139" t="n">
        <v>12</v>
      </c>
      <c r="N132" s="139" t="n">
        <v>30</v>
      </c>
    </row>
    <row r="133">
      <c r="K133" s="139" t="inlineStr">
        <is>
          <t>RailExt4 Riverfront - Lebanon OB</t>
        </is>
      </c>
      <c r="L133" s="139" t="n">
        <v>6</v>
      </c>
      <c r="M133" s="139" t="n">
        <v>12</v>
      </c>
      <c r="N133" s="139" t="n">
        <v>31</v>
      </c>
    </row>
    <row r="134">
      <c r="K134" s="139" t="inlineStr">
        <is>
          <t>RailExt4 Riverfront - Lebanon iB</t>
        </is>
      </c>
      <c r="L134" s="139" t="n">
        <v>6</v>
      </c>
      <c r="M134" s="139" t="n">
        <v>12</v>
      </c>
      <c r="N134" s="139" t="n">
        <v>31</v>
      </c>
    </row>
    <row r="135">
      <c r="K135" s="139" t="inlineStr">
        <is>
          <t>RailExt5 Donelson - Hermitage oB</t>
        </is>
      </c>
      <c r="L135" s="139" t="n">
        <v>6</v>
      </c>
      <c r="M135" s="139" t="n">
        <v>12</v>
      </c>
      <c r="N135" s="139" t="n">
        <v>32</v>
      </c>
    </row>
    <row r="136">
      <c r="K136" s="139" t="inlineStr">
        <is>
          <t>RailExt5 Donelson - Hermitage iB</t>
        </is>
      </c>
      <c r="L136" s="139" t="n">
        <v>6</v>
      </c>
      <c r="M136" s="139" t="n">
        <v>12</v>
      </c>
      <c r="N136" s="139" t="n">
        <v>32</v>
      </c>
    </row>
    <row r="137">
      <c r="K137" s="139" t="inlineStr">
        <is>
          <t>RailExt 1 VB - Airport</t>
        </is>
      </c>
      <c r="L137" s="139" t="n">
        <v>6</v>
      </c>
      <c r="M137" s="139" t="n">
        <v>12</v>
      </c>
      <c r="N137" s="139" t="n">
        <v>28</v>
      </c>
    </row>
    <row r="138">
      <c r="K138" s="139" t="inlineStr">
        <is>
          <t>RailExt 1 Airport - VB</t>
        </is>
      </c>
      <c r="L138" s="139" t="n">
        <v>6</v>
      </c>
      <c r="M138" s="139" t="n">
        <v>12</v>
      </c>
      <c r="N138" s="139" t="n">
        <v>28</v>
      </c>
    </row>
    <row r="139">
      <c r="K139" s="139" t="inlineStr">
        <is>
          <t>RailExt 2 Germantown OB</t>
        </is>
      </c>
      <c r="L139" s="139" t="n">
        <v>6</v>
      </c>
      <c r="M139" s="139" t="n">
        <v>12</v>
      </c>
      <c r="N139" s="139" t="n">
        <v>29</v>
      </c>
    </row>
    <row r="140">
      <c r="K140" s="139" t="inlineStr">
        <is>
          <t>RailExt 2 Germantown IB</t>
        </is>
      </c>
      <c r="L140" s="139" t="n">
        <v>6</v>
      </c>
      <c r="M140" s="139" t="n">
        <v>12</v>
      </c>
      <c r="N140" s="139" t="n">
        <v>29</v>
      </c>
    </row>
    <row r="141">
      <c r="K141" s="139" t="inlineStr">
        <is>
          <t>BRT_CU5_Corridor iB</t>
        </is>
      </c>
      <c r="L141" s="139" t="n">
        <v>7</v>
      </c>
      <c r="M141" s="139" t="n">
        <v>9</v>
      </c>
      <c r="N141" s="139" t="n">
        <v>8</v>
      </c>
    </row>
    <row r="142">
      <c r="K142" s="139" t="inlineStr">
        <is>
          <t>BRT_CU5_Corridor oB</t>
        </is>
      </c>
      <c r="L142" s="139" t="n">
        <v>7</v>
      </c>
      <c r="M142" s="139" t="n">
        <v>9</v>
      </c>
      <c r="N142" s="139" t="n">
        <v>8</v>
      </c>
    </row>
    <row r="143">
      <c r="K143" s="139" t="inlineStr">
        <is>
          <t>BRT_CU1_Corridor oB</t>
        </is>
      </c>
      <c r="L143" s="139" t="n">
        <v>7</v>
      </c>
      <c r="M143" s="139" t="n">
        <v>9</v>
      </c>
      <c r="N143" s="139" t="n">
        <v>3</v>
      </c>
    </row>
    <row r="144">
      <c r="K144" s="139" t="inlineStr">
        <is>
          <t>BRT_CU1_Corridor iB</t>
        </is>
      </c>
      <c r="L144" s="139" t="n">
        <v>7</v>
      </c>
      <c r="M144" s="139" t="n">
        <v>9</v>
      </c>
      <c r="N144" s="139" t="n">
        <v>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Nagendra Dhakar</dc:creator>
  <dcterms:created xsi:type="dcterms:W3CDTF">2015-08-26T21:05:32Z</dcterms:created>
  <dcterms:modified xsi:type="dcterms:W3CDTF">2024-05-30T17:27:45Z</dcterms:modified>
  <cp:lastModifiedBy>William Wang</cp:lastModifiedBy>
</cp:coreProperties>
</file>