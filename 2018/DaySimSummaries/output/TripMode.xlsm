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5210" windowWidth="25320" xWindow="-60" yWindow="-60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0" l="1" r="D32"/>
  <c i="20" r="E32"/>
  <c i="20" r="F32"/>
  <c i="20" r="G32"/>
  <c i="20" r="C32"/>
  <c i="20" l="1" r="J13"/>
  <c i="7" l="1" r="J5"/>
  <c i="7" r="J6"/>
  <c i="7" r="J7"/>
  <c i="7" r="J8"/>
  <c i="7" r="J9"/>
  <c i="7" r="J10"/>
  <c i="7" r="J11"/>
  <c i="7" r="J12"/>
  <c i="7" r="J13"/>
  <c i="7" r="J14"/>
  <c i="7" r="J15"/>
  <c i="20" l="1" r="AF65"/>
  <c i="20" r="AG65"/>
  <c i="20" r="AH65"/>
  <c i="20" r="AF66"/>
  <c i="20" r="AG66"/>
  <c i="20" r="AH66"/>
  <c i="20" r="AF67"/>
  <c i="20" r="AG67"/>
  <c i="20" r="AH67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AF12"/>
  <c i="20" r="AG12"/>
  <c i="20" r="AH12"/>
  <c i="20" r="AF13"/>
  <c i="20" r="AG13"/>
  <c i="20" r="AH13"/>
  <c i="20" r="AF14"/>
  <c i="20" r="AG14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H3"/>
  <c i="20" r="AG3"/>
  <c i="20" r="AF3"/>
  <c i="20" l="1" r="AI39"/>
  <c i="20" r="AI7"/>
  <c i="20" r="AI47"/>
  <c i="20" r="AI23"/>
  <c i="20" r="AI31"/>
  <c i="20" r="AI13"/>
  <c i="20" r="AI40"/>
  <c i="20" r="AI67"/>
  <c i="20" r="AI32"/>
  <c i="20" r="AI56"/>
  <c i="20" r="AI15"/>
  <c i="20" r="AI55"/>
  <c i="20" r="AI66"/>
  <c i="20" r="AI24"/>
  <c i="20" r="AI48"/>
  <c i="20" r="AI42"/>
  <c i="20" r="AI58"/>
  <c i="20" r="AI33"/>
  <c i="20" r="AI9"/>
  <c i="20" r="AI57"/>
  <c i="20" r="AI60"/>
  <c i="20" r="AI10"/>
  <c i="20" r="AI25"/>
  <c i="20" r="AI34"/>
  <c i="20" r="AI49"/>
  <c i="20" r="AI11"/>
  <c i="20" r="AI18"/>
  <c i="20" r="AI50"/>
  <c i="20" r="AI19"/>
  <c i="20" r="AI26"/>
  <c i="20" r="AI46"/>
  <c i="20" r="AI38"/>
  <c i="20" r="AI30"/>
  <c i="20" r="AI22"/>
  <c i="20" r="AI54"/>
  <c i="20" r="AI65"/>
  <c i="20" r="AI53"/>
  <c i="20" r="AI29"/>
  <c i="20" r="AI37"/>
  <c i="20" r="AI64"/>
  <c i="20" r="AI45"/>
  <c i="20" r="AI59"/>
  <c i="20" r="AI62"/>
  <c i="20" r="AI61"/>
  <c i="20" r="AI43"/>
  <c i="20" r="AI35"/>
  <c i="20" r="AI44"/>
  <c i="20" r="AI20"/>
  <c i="20" r="AI4"/>
  <c i="20" r="U54"/>
  <c i="20" r="AI3"/>
  <c i="20" r="AI36"/>
  <c i="20" r="AI12"/>
  <c i="20" r="AI63"/>
  <c i="20" r="AI28"/>
  <c i="20" r="AI51"/>
  <c i="20" r="AI27"/>
  <c i="20" r="AI41"/>
  <c i="20" r="AI17"/>
  <c i="20" r="AI52"/>
  <c i="20" r="U60"/>
  <c i="20" r="U53"/>
  <c i="20" r="U58"/>
  <c i="20" r="U56"/>
  <c i="20" r="U55"/>
  <c i="20" r="S47"/>
  <c i="20" r="S46"/>
  <c i="20" r="S45"/>
  <c i="20" r="S44"/>
  <c i="20" r="S43"/>
  <c i="20" r="S42"/>
  <c i="20" r="S41"/>
  <c i="20" r="S36"/>
  <c i="20" r="S48" s="1"/>
  <c i="20" r="S28"/>
  <c i="20" r="S40" s="1"/>
  <c i="20" l="1" r="J5"/>
  <c i="20" r="J17" s="1"/>
  <c i="20" r="J29" s="1"/>
  <c i="20" r="J6"/>
  <c i="20" r="J18" s="1"/>
  <c i="20" r="J30" s="1"/>
  <c i="20" r="J7"/>
  <c i="20" r="J19" s="1"/>
  <c i="20" r="J31" s="1"/>
  <c i="20" r="J8"/>
  <c i="20" r="J20" s="1"/>
  <c i="20" r="J32" s="1"/>
  <c i="20" r="J9"/>
  <c i="20" r="J21" s="1"/>
  <c i="20" r="J33" s="1"/>
  <c i="20" r="J10"/>
  <c i="20" r="J22" s="1"/>
  <c i="20" r="J34" s="1"/>
  <c i="20" r="J11"/>
  <c i="20" r="J23" s="1"/>
  <c i="20" r="J35" s="1"/>
  <c i="20" r="J12"/>
  <c i="20" r="J24" s="1"/>
  <c i="20" r="J36" s="1"/>
  <c i="20" r="J4"/>
  <c i="20" r="J16" s="1"/>
  <c i="20" r="J28" s="1"/>
  <c i="20" r="B24"/>
  <c i="20" r="H16"/>
  <c i="20" r="G16"/>
  <c i="20" r="F16"/>
  <c i="20" r="E16"/>
  <c i="20" r="D16"/>
  <c i="20" r="C16"/>
  <c i="20" r="B16"/>
  <c i="20" r="J15"/>
  <c i="20" r="B23"/>
  <c i="20" r="B22"/>
  <c i="20" r="B21"/>
  <c i="20" r="B20"/>
  <c i="20" r="B19"/>
  <c i="20" r="B18"/>
  <c i="20" r="B17"/>
  <c i="20" r="P4"/>
  <c i="20" r="P16" s="1"/>
  <c i="20" r="P28" s="1"/>
  <c i="20" r="O4"/>
  <c i="20" r="O16" s="1"/>
  <c i="20" r="O28" s="1"/>
  <c i="20" r="N4"/>
  <c i="20" r="N16" s="1"/>
  <c i="20" r="N28" s="1"/>
  <c i="20" r="M4"/>
  <c i="20" r="M16" s="1"/>
  <c i="20" r="M28" s="1"/>
  <c i="20" r="L4"/>
  <c i="20" r="L16" s="1"/>
  <c i="20" r="L28" s="1"/>
  <c i="20" r="K4"/>
  <c i="20" r="K16" s="1"/>
  <c i="20" r="K28" s="1"/>
  <c i="20" r="J3"/>
  <c i="18" l="1" r="B6"/>
  <c i="11" l="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20" r="O11" s="1"/>
  <c i="11" r="U11"/>
  <c i="11" r="U12"/>
  <c i="11" r="U13"/>
  <c i="20" r="K11" s="1"/>
  <c i="12" r="U11"/>
  <c i="12" r="U12"/>
  <c i="12" r="U13"/>
  <c i="20" r="L11" s="1"/>
  <c i="13" r="U11"/>
  <c i="13" r="U12"/>
  <c i="13" r="U13"/>
  <c i="20" r="M11" s="1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20" r="M10" s="1"/>
  <c i="13" r="J15"/>
  <c i="13" r="U14"/>
  <c i="20" r="M9" s="1"/>
  <c i="13" r="J14"/>
  <c i="13" r="U10"/>
  <c i="13" r="J10"/>
  <c i="13" r="U9"/>
  <c i="13" r="J9"/>
  <c i="13" r="U8"/>
  <c i="13" r="J8"/>
  <c i="13" r="U7"/>
  <c i="20" r="M7" s="1"/>
  <c i="13" r="J7"/>
  <c i="13" r="U6"/>
  <c i="20" r="M6" s="1"/>
  <c i="13" r="J6"/>
  <c i="13" r="U5"/>
  <c i="20" r="M5" s="1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20" r="L10" s="1"/>
  <c i="12" r="J15"/>
  <c i="12" r="U14"/>
  <c i="20" r="L9" s="1"/>
  <c i="12" r="J14"/>
  <c i="12" r="U10"/>
  <c i="12" r="J10"/>
  <c i="12" r="U9"/>
  <c i="12" r="J9"/>
  <c i="12" r="U8"/>
  <c i="12" r="J8"/>
  <c i="12" r="U7"/>
  <c i="20" r="L7" s="1"/>
  <c i="12" r="J7"/>
  <c i="12" r="U6"/>
  <c i="20" r="L6" s="1"/>
  <c i="12" r="J6"/>
  <c i="12" r="U5"/>
  <c i="20" r="L5" s="1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20" r="K10" s="1"/>
  <c i="11" r="J15"/>
  <c i="11" r="U14"/>
  <c i="20" r="K9" s="1"/>
  <c i="11" r="J14"/>
  <c i="11" r="U10"/>
  <c i="11" r="J10"/>
  <c i="11" r="U9"/>
  <c i="11" r="J9"/>
  <c i="11" r="U8"/>
  <c i="20" r="K8" s="1"/>
  <c i="11" r="J8"/>
  <c i="11" r="U7"/>
  <c i="20" r="K7" s="1"/>
  <c i="11" r="J7"/>
  <c i="11" r="U6"/>
  <c i="20" r="K6" s="1"/>
  <c i="11" r="J6"/>
  <c i="11" r="U5"/>
  <c i="20" r="K5" s="1"/>
  <c i="11" r="J5"/>
  <c i="7" r="R16"/>
  <c i="7" r="R33" s="1"/>
  <c i="7" r="U8"/>
  <c i="7" r="U7"/>
  <c i="20" r="O7" s="1"/>
  <c i="7" r="G16"/>
  <c i="7" r="G33" s="1"/>
  <c i="7" r="U15"/>
  <c i="20" r="O10" s="1"/>
  <c i="7" r="U14"/>
  <c i="20" r="O9" s="1"/>
  <c i="7" r="U10"/>
  <c i="7" r="U9"/>
  <c i="7" r="U6"/>
  <c i="20" r="O6" s="1"/>
  <c i="7" r="U5"/>
  <c i="20" r="O5" s="1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20" l="1" r="N8"/>
  <c i="20" r="M8"/>
  <c i="20" r="O8"/>
  <c i="20" r="L8"/>
  <c i="20" r="H5"/>
  <c i="20" r="C12"/>
  <c i="20" r="H11"/>
  <c i="20" r="H6"/>
  <c i="20" r="N10"/>
  <c i="20" r="P10" s="1"/>
  <c i="20" r="N7"/>
  <c i="20" r="P7" s="1"/>
  <c i="20" r="N5"/>
  <c i="20" r="P5" s="1"/>
  <c i="20" r="N6"/>
  <c i="20" r="O12"/>
  <c i="20" r="M12"/>
  <c i="20" r="M24" s="1"/>
  <c i="20" r="N11"/>
  <c i="20" r="P11" s="1"/>
  <c i="20" r="L12"/>
  <c i="20" r="L24" s="1"/>
  <c i="20" r="K12"/>
  <c i="20" r="K24" s="1"/>
  <c i="20" r="N9"/>
  <c i="20" r="P9" s="1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20" l="1" r="O24"/>
  <c i="20" r="H9"/>
  <c i="20" r="H7"/>
  <c i="20" r="H10"/>
  <c i="20" r="O20"/>
  <c i="20" r="M17"/>
  <c i="20" r="O18"/>
  <c i="20" r="K17"/>
  <c i="20" r="K19"/>
  <c i="20" r="O17"/>
  <c i="20" r="L23"/>
  <c i="20" r="L22"/>
  <c i="20" r="L21"/>
  <c i="20" r="L18"/>
  <c i="20" r="O22"/>
  <c i="20" r="L17"/>
  <c i="20" r="M20"/>
  <c i="20" r="M22"/>
  <c i="20" r="M23"/>
  <c i="20" r="M19"/>
  <c i="20" r="K21"/>
  <c i="20" r="O23"/>
  <c i="20" r="M18"/>
  <c i="20" r="O21"/>
  <c i="20" r="K20"/>
  <c i="20" r="P8"/>
  <c i="20" r="M21"/>
  <c i="20" r="K18"/>
  <c i="20" r="K23"/>
  <c i="20" r="L19"/>
  <c i="20" r="P6"/>
  <c i="20" r="L20"/>
  <c i="20" r="O19"/>
  <c i="20" r="N12"/>
  <c i="20" r="N17" s="1"/>
  <c i="20" r="K22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20" l="1" r="P13"/>
  <c i="20" r="K13"/>
  <c i="20" r="M13"/>
  <c i="20" r="O13"/>
  <c i="20" r="L13"/>
  <c i="20" r="N13"/>
  <c i="20" r="N24"/>
  <c i="20" r="N22"/>
  <c i="20" r="N19"/>
  <c i="20" r="N23"/>
  <c i="20" r="P12"/>
  <c i="20" r="P18" s="1"/>
  <c i="20" r="N20"/>
  <c i="20" r="N21"/>
  <c i="20" r="N18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20" l="1" r="F12"/>
  <c i="20" r="G12"/>
  <c i="20" r="D12"/>
  <c i="20" r="P24"/>
  <c i="20" r="P23"/>
  <c i="20" r="P22"/>
  <c i="20" r="P21"/>
  <c i="20" r="P19"/>
  <c i="20" r="P17"/>
  <c i="20" r="P20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H8"/>
  <c i="20" r="H12" s="1"/>
  <c i="20" r="E12"/>
  <c i="20" l="1" r="E13"/>
  <c i="20" r="H13"/>
  <c i="20" r="C13"/>
  <c i="20" r="D13"/>
  <c i="20" r="F13"/>
  <c i="20" r="G13"/>
  <c i="20" l="1" r="D34"/>
  <c i="20" r="D29"/>
  <c i="20" r="D35"/>
  <c i="20" r="D33"/>
  <c i="20" r="D30"/>
  <c i="20" r="D31"/>
  <c i="20" r="C31"/>
  <c i="20" r="C33"/>
  <c i="20" r="C35"/>
  <c i="20" r="C30"/>
  <c i="20" r="C34"/>
  <c i="20" r="C29"/>
  <c i="20" r="F33"/>
  <c i="20" r="F30"/>
  <c i="20" r="F35"/>
  <c i="20" r="F31"/>
  <c i="20" r="F34"/>
  <c i="20" r="F29"/>
  <c i="20" r="G35"/>
  <c i="20" r="G33"/>
  <c i="20" r="G30"/>
  <c i="20" r="G31"/>
  <c i="20" r="G29"/>
  <c i="20" r="G34"/>
  <c i="20" r="E29"/>
  <c i="20" r="E34"/>
  <c i="20" r="E33"/>
  <c i="20" r="E30"/>
  <c i="20" r="E35"/>
  <c i="20" r="E31"/>
  <c i="20" r="F43"/>
  <c i="20" r="E43"/>
  <c i="20" r="D43"/>
  <c i="20" r="G43"/>
  <c i="20" r="C43"/>
  <c i="20" r="H31"/>
  <c i="20" r="E36"/>
  <c i="20" r="H34"/>
  <c i="20" l="1" r="E45"/>
  <c i="20" r="H35"/>
  <c i="20" r="H33"/>
  <c i="20" r="G36"/>
  <c i="20" r="G45" s="1"/>
  <c i="20" r="C36"/>
  <c i="20" r="C46" s="1"/>
  <c i="20" r="H29"/>
  <c i="20" r="H30"/>
  <c i="20" r="H43"/>
  <c i="20" r="G44"/>
  <c i="20" r="D36"/>
  <c i="20" r="D40" s="1"/>
  <c i="20" r="F36"/>
  <c i="20" r="F45" s="1"/>
  <c i="20" r="E40"/>
  <c i="20" r="E46"/>
  <c i="20" r="E44"/>
  <c i="20" r="E42"/>
  <c i="20" r="E41"/>
  <c i="20" l="1" r="G46"/>
  <c i="20" r="G41"/>
  <c i="20" r="G42"/>
  <c i="20" r="F40"/>
  <c i="20" r="G40"/>
  <c i="20" r="H36"/>
  <c i="20" r="D44"/>
  <c i="20" r="D42"/>
  <c i="20" r="F42"/>
  <c i="20" r="G47"/>
  <c i="20" r="G23" s="1"/>
  <c i="20" r="O35" s="1"/>
  <c i="20" r="F44"/>
  <c i="20" r="D45"/>
  <c i="20" r="D41"/>
  <c i="20" r="F41"/>
  <c i="20" r="C42"/>
  <c i="20" r="C45"/>
  <c i="20" r="C41"/>
  <c i="20" r="H41" s="1"/>
  <c i="20" r="C40"/>
  <c i="20" r="H40" s="1"/>
  <c i="20" r="G22"/>
  <c i="20" r="O34" s="1"/>
  <c i="20" r="D46"/>
  <c i="20" r="F46"/>
  <c i="20" r="G19"/>
  <c i="20" r="O31" s="1"/>
  <c i="20" r="C44"/>
  <c i="20" r="H44" s="1"/>
  <c i="20" r="H42"/>
  <c i="20" r="E47"/>
  <c i="20" r="E23" s="1"/>
  <c i="20" r="M35" s="1"/>
  <c i="20" l="1" r="G21"/>
  <c i="20" r="O33" s="1"/>
  <c i="20" r="H46"/>
  <c i="20" r="D47"/>
  <c i="20" r="F47"/>
  <c i="20" r="F18" s="1"/>
  <c i="20" r="N30" s="1"/>
  <c i="20" r="G24"/>
  <c i="20" r="O36" s="1"/>
  <c i="20" r="G20"/>
  <c i="20" r="O32" s="1"/>
  <c i="20" r="C47"/>
  <c i="20" r="C17" s="1"/>
  <c i="20" r="K29" s="1"/>
  <c i="20" r="H45"/>
  <c i="20" r="D18"/>
  <c i="20" r="L30" s="1"/>
  <c i="20" r="G17"/>
  <c i="20" r="O29" s="1"/>
  <c i="20" r="G18"/>
  <c i="20" r="O30" s="1"/>
  <c i="20" r="D21"/>
  <c i="20" r="L33" s="1"/>
  <c i="20" r="E21"/>
  <c i="20" r="M33" s="1"/>
  <c i="20" r="E20"/>
  <c i="20" r="M32" s="1"/>
  <c i="20" r="E24"/>
  <c i="20" r="M36" s="1"/>
  <c i="20" r="E22"/>
  <c i="20" r="M34" s="1"/>
  <c i="20" r="H47"/>
  <c i="20" r="H21" s="1"/>
  <c i="20" r="E17"/>
  <c i="20" r="M29" s="1"/>
  <c i="20" r="E19"/>
  <c i="20" r="M31" s="1"/>
  <c i="20" r="E18"/>
  <c i="20" r="M30" s="1"/>
  <c i="20" l="1" r="C21"/>
  <c i="20" r="K33" s="1"/>
  <c i="20" r="C24"/>
  <c i="20" r="K36" s="1"/>
  <c i="20" r="C20"/>
  <c i="20" r="K32" s="1"/>
  <c i="20" r="C23"/>
  <c i="20" r="K35" s="1"/>
  <c i="20" r="C22"/>
  <c i="20" r="K34" s="1"/>
  <c i="20" r="C19"/>
  <c i="20" r="K31" s="1"/>
  <c i="20" r="D19"/>
  <c i="20" r="L31" s="1"/>
  <c i="20" r="D24"/>
  <c i="20" r="L36" s="1"/>
  <c i="20" r="D20"/>
  <c i="20" r="L32" s="1"/>
  <c i="20" r="D17"/>
  <c i="20" r="L29" s="1"/>
  <c i="20" r="F24"/>
  <c i="20" r="N36" s="1"/>
  <c i="20" r="F20"/>
  <c i="20" r="N32" s="1"/>
  <c i="20" r="F17"/>
  <c i="20" r="N29" s="1"/>
  <c i="20" r="F22"/>
  <c i="20" r="N34" s="1"/>
  <c i="20" r="C18"/>
  <c i="20" r="K30" s="1"/>
  <c i="20" r="F19"/>
  <c i="20" r="N31" s="1"/>
  <c i="20" r="F21"/>
  <c i="20" r="N33" s="1"/>
  <c i="20" r="D22"/>
  <c i="20" r="L34" s="1"/>
  <c i="20" r="D23"/>
  <c i="20" r="L35" s="1"/>
  <c i="20" r="F23"/>
  <c i="20" r="N35" s="1"/>
  <c i="20" r="H19"/>
  <c i="20" r="P31" s="1"/>
  <c i="20" r="H23"/>
  <c i="20" r="H18"/>
  <c i="20" r="Y30" s="1"/>
  <c i="20" r="Y42" s="1"/>
  <c i="20" r="H17"/>
  <c i="20" r="Y29" s="1"/>
  <c i="20" r="Y41" s="1"/>
  <c i="20" r="P33"/>
  <c i="20" r="Y33"/>
  <c i="20" r="Y45" s="1"/>
  <c i="20" r="P30"/>
  <c i="20" r="Y35"/>
  <c i="20" r="Y47" s="1"/>
  <c i="20" r="P35"/>
  <c i="20" r="H24"/>
  <c i="20" r="H20"/>
  <c i="20" r="H22"/>
  <c i="20" l="1" r="Y31"/>
  <c i="20" r="Y43" s="1"/>
  <c i="20" r="P29"/>
  <c i="20" r="P32"/>
  <c i="20" r="Y32"/>
  <c i="20" r="Y44" s="1"/>
  <c i="20" r="P34"/>
  <c i="20" r="Y34"/>
  <c i="20" r="Y46" s="1"/>
  <c i="20" r="Z46" s="1"/>
  <c i="20" r="V59" s="1"/>
  <c i="20" r="Y36"/>
  <c i="20" r="P36"/>
  <c i="20" l="1" r="Z41"/>
  <c i="20" r="V53" s="1"/>
  <c i="20" r="W53" s="1"/>
  <c i="20" r="AI16" s="1"/>
  <c i="20" r="Z45"/>
  <c i="20" r="V58" s="1"/>
  <c i="20" r="W58" s="1"/>
  <c i="20" r="AI21" s="1"/>
  <c i="20" r="Z42"/>
  <c i="20" r="V54" s="1"/>
  <c i="20" r="W54" s="1"/>
  <c i="20" r="AI14" s="1"/>
  <c i="20" r="Z47"/>
  <c i="20" r="V60" s="1"/>
  <c i="20" r="W60" s="1"/>
  <c i="20" r="AI5" s="1"/>
  <c i="20" r="Z43"/>
  <c i="20" r="V55" s="1"/>
  <c i="20" r="W55" s="1"/>
  <c i="20" r="AI8" s="1"/>
  <c i="20" r="Z44"/>
  <c i="20" r="V56" s="1"/>
  <c i="20" r="W56" s="1"/>
  <c i="20" r="AI6" s="1"/>
</calcChain>
</file>

<file path=xl/sharedStrings.xml><?xml version="1.0" encoding="utf-8"?>
<sst xmlns="http://schemas.openxmlformats.org/spreadsheetml/2006/main" count="1374" uniqueCount="176">
  <si>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</si>
  <si>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</si>
  <si>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</si>
  <si>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</si>
  <si>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</si>
  <si>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</si>
  <si>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</si>
  <si>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</si>
  <si>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</si>
  <si>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</si>
  <si>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</si>
  <si>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</si>
  <si>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</si>
  <si>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</si>
  <si>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</si>
  <si>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</si>
  <si>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</si>
  <si>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</si>
  <si>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</si>
  <si>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</si>
  <si>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</si>
  <si>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</si>
  <si>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</si>
  <si>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</si>
  <si>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</si>
  <si>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</si>
  <si>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</si>
  <si>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</si>
  <si>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</si>
  <si>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</si>
  <si>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</si>
  <si>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</si>
  <si>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</si>
  <si>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</si>
  <si>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</si>
  <si>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</si>
  <si>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</si>
  <si>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</si>
  <si>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</si>
  <si>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</si>
  <si>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</si>
  <si>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</si>
  <si>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</si>
  <si>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</si>
  <si>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</si>
  <si>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</si>
  <si>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</si>
  <si>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</si>
  <si>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</si>
  <si>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</si>
  <si>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</si>
  <si>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</si>
  <si>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</si>
  <si>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</si>
  <si>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</si>
  <si>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</si>
  <si>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</si>
  <si>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</si>
  <si>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</si>
  <si>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</si>
  <si>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</si>
  <si>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</si>
  <si>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</si>
  <si>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</si>
  <si>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</si>
  <si>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</si>
  <si>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</si>
  <si>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</si>
  <si>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</si>
  <si>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</si>
  <si>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</si>
  <si>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</si>
  <si>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</si>
  <si>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</si>
  <si>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</si>
  <si>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</si>
  <si>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</si>
  <si>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</si>
  <si>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</si>
  <si>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</si>
  <si>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</si>
  <si>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</si>
  <si>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</si>
  <si>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</si>
  <si>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</si>
  <si>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</si>
  <si>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</si>
  <si>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</si>
  <si>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</si>
  <si>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</si>
  <si>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</si>
  <si>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</si>
  <si>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</si>
  <si>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</si>
  <si>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</si>
  <si>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</si>
  <si>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</si>
  <si>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</si>
  <si>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</si>
  <si>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</si>
  <si>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</si>
  <si>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</si>
  <si>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</si>
  <si>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</si>
  <si>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</si>
  <si>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</si>
  <si>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</si>
  <si>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</si>
  <si>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</si>
  <si>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</si>
  <si>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</si>
  <si>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</si>
  <si>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</si>
  <si>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</si>
  <si>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</si>
  <si>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</si>
  <si>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</si>
  <si>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</si>
  <si>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</si>
  <si>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</si>
  <si>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</si>
  <si>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</si>
  <si>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</si>
  <si>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</si>
  <si>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</si>
  <si>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</si>
  <si>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</si>
  <si>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</si>
  <si>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</si>
  <si>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</si>
  <si>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</si>
  <si>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</si>
  <si>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</si>
  <si>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</si>
  <si>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</si>
  <si>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</si>
  <si>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</si>
  <si>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</si>
  <si>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</si>
  <si>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</si>
  <si>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</si>
  <si>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</si>
  <si>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</si>
  <si>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</si>
  <si>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</si>
  <si>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</si>
  <si>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</si>
  <si>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</si>
  <si>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</si>
  <si>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</si>
  <si>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</si>
  <si>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</si>
  <si>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</si>
  <si>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</si>
  <si>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</si>
  <si>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</si>
  <si>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</si>
  <si>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</si>
  <si>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</si>
  <si>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</si>
  <si>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</si>
  <si>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</si>
  <si>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</si>
  <si>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</si>
  <si>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014:23:09</t>
  </si>
  <si>
    <t>Old Coeff</t>
  </si>
  <si>
    <t>New Coeff</t>
  </si>
  <si>
    <t>Index</t>
  </si>
  <si>
    <t>Old</t>
  </si>
  <si>
    <t>New</t>
  </si>
  <si>
    <t>damp</t>
  </si>
  <si>
    <t>Survey</t>
  </si>
  <si>
    <t>Scaled Survey (Scale to incorporate transit trips)</t>
  </si>
  <si>
    <t>Scaled Survey (Scale to get to model total by purpose)</t>
  </si>
  <si>
    <t>transit ratio</t>
  </si>
  <si>
    <t>TripModeCoefficients_SACOG-v1.5.F12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</si>
</sst>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8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applyNumberFormat="1" borderId="2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Border="1" applyFill="1" applyFont="1" applyNumberFormat="1" borderId="4" fillId="2" fontId="1" numFmtId="3" xfId="0"/>
    <xf applyFill="1" applyFont="1" borderId="0" fillId="2" fontId="0" numFmtId="43" xfId="9"/>
    <xf applyFill="1" applyNumberFormat="1" borderId="0" fillId="6" fontId="0" numFmtId="3" xfId="0"/>
    <xf applyBorder="1" applyFill="1" applyFont="1" applyNumberFormat="1" borderId="0" fillId="6" fontId="1" numFmtId="3" xfId="0"/>
    <xf applyFill="1" applyFont="1" applyNumberFormat="1" borderId="0" fillId="2" fontId="0" numFmtId="43" xfId="9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Mode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Calibration!$B$2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Calibration!$H$17:$H$23</c:f>
              <c:numCache>
                <c:formatCode>0.0%</c:formatCode>
                <c:ptCount val="7"/>
                <c:pt idx="0">
                  <c:v>0.51623529568117632</c:v>
                </c:pt>
                <c:pt idx="1">
                  <c:v>0.25793388921580668</c:v>
                </c:pt>
                <c:pt idx="2">
                  <c:v>0.15362484217474712</c:v>
                </c:pt>
                <c:pt idx="3">
                  <c:v>5.240586342445658E-3</c:v>
                </c:pt>
                <c:pt idx="4">
                  <c:v>4.2343239771988807E-3</c:v>
                </c:pt>
                <c:pt idx="5">
                  <c:v>3.4701518387547647E-2</c:v>
                </c:pt>
                <c:pt idx="6">
                  <c:v>2.8029544221077517E-2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A-4A00-A90F-655D49DBF052}"/>
            </c:ext>
          </c:extLst>
        </c:ser>
        <c:ser>
          <c:idx val="1"/>
          <c:order val="1"/>
          <c:tx>
            <c:strRef>
              <c:f>Calibration!$J$2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Calibration!$P$17:$P$23</c:f>
              <c:numCache>
                <c:formatCode>0.0%</c:formatCode>
                <c:ptCount val="7"/>
                <c:pt idx="0">
                  <c:v>0.51847526161287005</c:v>
                </c:pt>
                <c:pt idx="1">
                  <c:v>0.26055630163519261</c:v>
                </c:pt>
                <c:pt idx="2">
                  <c:v>0.14985730207087411</c:v>
                </c:pt>
                <c:pt idx="3">
                  <c:v>5.029714457282816E-3</c:v>
                </c:pt>
                <c:pt idx="4">
                  <c:v>5.9400358662147759E-3</c:v>
                </c:pt>
                <c:pt idx="5">
                  <c:v>3.1246481504749256E-2</c:v>
                </c:pt>
                <c:pt idx="6">
                  <c:v>2.8894902852816345E-2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A-4A00-A90F-655D49DBF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668480"/>
        <c:axId val="188670144"/>
      </c:barChart>
      <c:catAx>
        <c:axId val="18866848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Trip Mode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70144"/>
        <c:crosses val="autoZero"/>
        <c:auto val="1"/>
        <c:lblAlgn val="ctr"/>
        <c:lblOffset val="100"/>
        <c:noMultiLvlLbl val="0"/>
      </c:catAx>
      <c:valAx>
        <c:axId val="18867014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219075</xdr:colOff>
      <xdr:row>37</xdr:row>
      <xdr:rowOff>57150</xdr:rowOff>
    </xdr:from>
    <xdr:to>
      <xdr:col>15</xdr:col>
      <xdr:colOff>409575</xdr:colOff>
      <xdr:row>51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abSelected="1" topLeftCell="C1" workbookViewId="0">
      <selection activeCell="V10" sqref="V1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47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1786793.2191620001</v>
      </c>
      <c r="C5" s="6">
        <f>SUM(Work!C5,Workbased!C5,School!C5,Escort!C5,Personal_Business!C5,Shop!C5,Meal!C5,SocRec!C5)</f>
        <v>313719.96508099994</v>
      </c>
      <c r="D5" s="6">
        <f>SUM(Work!D5,Workbased!D5,School!D5,Escort!D5,Personal_Business!D5,Shop!D5,Meal!D5,SocRec!D5)</f>
        <v>125667.24389900001</v>
      </c>
      <c r="E5" s="6">
        <f>SUM(Work!E5,Workbased!E5,School!E5,Escort!E5,Personal_Business!E5,Shop!E5,Meal!E5,SocRec!E5)</f>
        <v>13714.826576000001</v>
      </c>
      <c r="F5" s="6">
        <f>SUM(Work!F5,Workbased!F5,School!F5,Escort!F5,Personal_Business!F5,Shop!F5,Meal!F5,SocRec!F5)</f>
        <v>535.12946799999997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72.390905000000004</v>
      </c>
      <c r="J5" s="6">
        <f>SUM(B5:I5)</f>
        <v>2240502.7750909999</v>
      </c>
      <c r="K5" s="6"/>
      <c r="L5" t="s">
        <v>1</v>
      </c>
      <c r="M5" s="6">
        <f>SUM(Work!M5,Workbased!M5,School!M5,Escort!M5,Personal_Business!M5,Shop!M5,Meal!M5,SocRec!M5)</f>
        <v>2070127</v>
      </c>
      <c r="N5" s="6">
        <f>SUM(Work!N5,Workbased!N5,School!N5,Escort!N5,Personal_Business!N5,Shop!N5,Meal!N5,SocRec!N5)</f>
        <v>343756</v>
      </c>
      <c r="O5" s="6">
        <f>SUM(Work!O5,Workbased!O5,School!O5,Escort!O5,Personal_Business!O5,Shop!O5,Meal!O5,SocRec!O5)</f>
        <v>121863</v>
      </c>
      <c r="P5" s="6">
        <f>SUM(Work!P5,Workbased!P5,School!P5,Escort!P5,Personal_Business!P5,Shop!P5,Meal!P5,SocRec!P5)</f>
        <v>4998</v>
      </c>
      <c r="Q5" s="6">
        <f>SUM(Work!Q5,Workbased!Q5,School!Q5,Escort!Q5,Personal_Business!Q5,Shop!Q5,Meal!Q5,SocRec!Q5)</f>
        <v>552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614</v>
      </c>
      <c r="U5" s="6">
        <f ref="U5:U15" si="0" t="shared">SUM(M5:T5)</f>
        <v>2541910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923684.4619339999</v>
      </c>
      <c r="D6" s="6">
        <f>SUM(Work!D6,Workbased!D6,School!D6,Escort!D6,Personal_Business!D6,Shop!D6,Meal!D6,SocRec!D6)</f>
        <v>159133.19762000002</v>
      </c>
      <c r="E6" s="6">
        <f>SUM(Work!E6,Workbased!E6,School!E6,Escort!E6,Personal_Business!E6,Shop!E6,Meal!E6,SocRec!E6)</f>
        <v>3931.1896040000001</v>
      </c>
      <c r="F6" s="6">
        <f>SUM(Work!F6,Workbased!F6,School!F6,Escort!F6,Personal_Business!F6,Shop!F6,Meal!F6,SocRec!F6)</f>
        <v>2472.3518100000001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21139.567041999999</v>
      </c>
      <c r="J6" s="6">
        <f ref="J6:J15" si="1" t="shared">SUM(B6:I6)</f>
        <v>1110360.7680099998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1075288</v>
      </c>
      <c r="O6" s="6">
        <f>SUM(Work!O6,Workbased!O6,School!O6,Escort!O6,Personal_Business!O6,Shop!O6,Meal!O6,SocRec!O6)</f>
        <v>176290</v>
      </c>
      <c r="P6" s="6">
        <f>SUM(Work!P6,Workbased!P6,School!P6,Escort!P6,Personal_Business!P6,Shop!P6,Meal!P6,SocRec!P6)</f>
        <v>369</v>
      </c>
      <c r="Q6" s="6">
        <f>SUM(Work!Q6,Workbased!Q6,School!Q6,Escort!Q6,Personal_Business!Q6,Shop!Q6,Meal!Q6,SocRec!Q6)</f>
        <v>3144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22329</v>
      </c>
      <c r="U6" s="6">
        <f si="0" t="shared"/>
        <v>1277420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669786.72801800002</v>
      </c>
      <c r="E7" s="6">
        <f>SUM(Work!E7,Workbased!E7,School!E7,Escort!E7,Personal_Business!E7,Shop!E7,Meal!E7,SocRec!E7)</f>
        <v>1238.8607769999999</v>
      </c>
      <c r="F7" s="6">
        <f>SUM(Work!F7,Workbased!F7,School!F7,Escort!F7,Personal_Business!F7,Shop!F7,Meal!F7,SocRec!F7)</f>
        <v>2296.7920720000002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21413.447768999999</v>
      </c>
      <c r="J7" s="6">
        <f si="1" t="shared"/>
        <v>694735.82863599993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709620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952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3</v>
      </c>
      <c r="T7" s="6">
        <f>SUM(Work!T7,Workbased!T7,School!T7,Escort!T7,Personal_Business!T7,Shop!T7,Meal!T7,SocRec!T7)</f>
        <v>24125</v>
      </c>
      <c r="U7" s="6">
        <f si="0" t="shared"/>
        <v>734700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8331.8229379999993</v>
      </c>
      <c r="F8" s="6">
        <f>SUM(Work!F8,Workbased!F8,School!F8,Escort!F8,Personal_Business!F8,Shop!F8,Meal!F8,SocRec!F8)</f>
        <v>38062.748741999996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47.067196000000003</v>
      </c>
      <c r="J8" s="6">
        <f si="1" t="shared"/>
        <v>46441.638875999997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2124</v>
      </c>
      <c r="Q8" s="6">
        <f>SUM(Work!Q8,Workbased!Q8,School!Q8,Escort!Q8,Personal_Business!Q8,Shop!Q8,Meal!Q8,SocRec!Q8)</f>
        <v>16064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65</v>
      </c>
      <c r="U8" s="6">
        <f si="0" t="shared"/>
        <v>18253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3233.1720810000002</v>
      </c>
      <c r="F10" s="6">
        <f>SUM(Work!F10,Workbased!F10,School!F10,Escort!F10,Personal_Business!F10,Shop!F10,Meal!F10,SocRec!F10)</f>
        <v>1838.503463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5071.6755439999997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1048</v>
      </c>
      <c r="Q10" s="6">
        <f>SUM(Work!Q10,Workbased!Q10,School!Q10,Escort!Q10,Personal_Business!Q10,Shop!Q10,Meal!Q10,SocRec!Q10)</f>
        <v>928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20</v>
      </c>
      <c r="U10" s="6">
        <f si="0" t="shared"/>
        <v>1996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2774.0685779999999</v>
      </c>
      <c r="F11" s="6">
        <f>SUM(Work!F11,Workbased!F11,School!F11,Escort!F11,Personal_Business!F11,Shop!F11,Meal!F11,SocRec!F11)</f>
        <v>110.782686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2884.8512639999999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518</v>
      </c>
      <c r="Q11" s="6">
        <f>SUM(Work!Q11,Workbased!Q11,School!Q11,Escort!Q11,Personal_Business!Q11,Shop!Q11,Meal!Q11,SocRec!Q11)</f>
        <v>736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13</v>
      </c>
      <c r="U11" s="6">
        <f si="0" t="shared"/>
        <v>1267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710</v>
      </c>
      <c r="Q12" s="6">
        <f>SUM(Work!Q12,Workbased!Q12,School!Q12,Escort!Q12,Personal_Business!Q12,Shop!Q12,Meal!Q12,SocRec!Q12)</f>
        <v>2424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9</v>
      </c>
      <c r="U12" s="6">
        <f si="0" t="shared"/>
        <v>3143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145779.72685900002</v>
      </c>
      <c r="J13" s="6">
        <f si="1" t="shared"/>
        <v>145779.72685900002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141662</v>
      </c>
      <c r="U13" s="6">
        <f si="0" t="shared"/>
        <v>141662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810.40676500000006</v>
      </c>
      <c r="C14" s="6">
        <f>SUM(Work!C14,Workbased!C14,School!C14,Escort!C14,Personal_Business!C14,Shop!C14,Meal!C14,SocRec!C14)</f>
        <v>377.84703100000002</v>
      </c>
      <c r="D14" s="6">
        <f>SUM(Work!D14,Workbased!D14,School!D14,Escort!D14,Personal_Business!D14,Shop!D14,Meal!D14,SocRec!D14)</f>
        <v>860.29161399999998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319.83829499999996</v>
      </c>
      <c r="G14" s="6">
        <f>SUM(Work!G14,Workbased!G14,School!G14,Escort!G14,Personal_Business!G14,Shop!G14,Meal!G14,SocRec!G14)</f>
        <v>18330.641322999996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141.28004000000001</v>
      </c>
      <c r="J14" s="6">
        <f si="1" t="shared"/>
        <v>20840.305067999998</v>
      </c>
      <c r="K14" s="6"/>
      <c r="L14" t="s">
        <v>4</v>
      </c>
      <c r="M14" s="6">
        <f>SUM(Work!M14,Workbased!M14,School!M14,Escort!M14,Personal_Business!M14,Shop!M14,Meal!M14,SocRec!M14)</f>
        <v>812</v>
      </c>
      <c r="N14" s="6">
        <f>SUM(Work!N14,Workbased!N14,School!N14,Escort!N14,Personal_Business!N14,Shop!N14,Meal!N14,SocRec!N14)</f>
        <v>2363</v>
      </c>
      <c r="O14" s="6">
        <f>SUM(Work!O14,Workbased!O14,School!O14,Escort!O14,Personal_Business!O14,Shop!O14,Meal!O14,SocRec!O14)</f>
        <v>1913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483</v>
      </c>
      <c r="R14" s="6">
        <f>SUM(Work!R14,Workbased!R14,School!R14,Escort!R14,Personal_Business!R14,Shop!R14,Meal!R14,SocRec!R14)</f>
        <v>22898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653</v>
      </c>
      <c r="U14" s="6">
        <f si="0" t="shared"/>
        <v>29122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13309.781621999999</v>
      </c>
      <c r="C15" s="6">
        <f>SUM(Work!C15,Workbased!C15,School!C15,Escort!C15,Personal_Business!C15,Shop!C15,Meal!C15,SocRec!C15)</f>
        <v>11189.720584000001</v>
      </c>
      <c r="D15" s="6">
        <f>SUM(Work!D15,Workbased!D15,School!D15,Escort!D15,Personal_Business!D15,Shop!D15,Meal!D15,SocRec!D15)</f>
        <v>14158.514909000001</v>
      </c>
      <c r="E15" s="6">
        <f>SUM(Work!E15,Workbased!E15,School!E15,Escort!E15,Personal_Business!E15,Shop!E15,Meal!E15,SocRec!E15)</f>
        <v>329.14896699999997</v>
      </c>
      <c r="F15" s="6">
        <f>SUM(Work!F15,Workbased!F15,School!F15,Escort!F15,Personal_Business!F15,Shop!F15,Meal!F15,SocRec!F15)</f>
        <v>2579.793424</v>
      </c>
      <c r="G15" s="6">
        <f>SUM(Work!G15,Workbased!G15,School!G15,Escort!G15,Personal_Business!G15,Shop!G15,Meal!G15,SocRec!G15)</f>
        <v>817.964426</v>
      </c>
      <c r="H15" s="6">
        <f>SUM(Work!H15,Workbased!H15,School!H15,Escort!H15,Personal_Business!H15,Shop!H15,Meal!H15,SocRec!H15)</f>
        <v>127939.585704</v>
      </c>
      <c r="I15" s="6">
        <f>SUM(Work!I15,Workbased!I15,School!I15,Escort!I15,Personal_Business!I15,Shop!I15,Meal!I15,SocRec!I15)</f>
        <v>2275.437132</v>
      </c>
      <c r="J15" s="6">
        <f si="1" t="shared"/>
        <v>172599.94676799999</v>
      </c>
      <c r="K15" s="6"/>
      <c r="L15" s="4" t="s">
        <v>5</v>
      </c>
      <c r="M15" s="6">
        <f>SUM(Work!M15,Workbased!M15,School!M15,Escort!M15,Personal_Business!M15,Shop!M15,Meal!M15,SocRec!M15)</f>
        <v>1929</v>
      </c>
      <c r="N15" s="6">
        <f>SUM(Work!N15,Workbased!N15,School!N15,Escort!N15,Personal_Business!N15,Shop!N15,Meal!N15,SocRec!N15)</f>
        <v>1955</v>
      </c>
      <c r="O15" s="6">
        <f>SUM(Work!O15,Workbased!O15,School!O15,Escort!O15,Personal_Business!O15,Shop!O15,Meal!O15,SocRec!O15)</f>
        <v>1609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249</v>
      </c>
      <c r="R15" s="6">
        <f>SUM(Work!R15,Workbased!R15,School!R15,Escort!R15,Personal_Business!R15,Shop!R15,Meal!R15,SocRec!R15)</f>
        <v>92</v>
      </c>
      <c r="S15" s="6">
        <f>SUM(Work!S15,Workbased!S15,School!S15,Escort!S15,Personal_Business!S15,Shop!S15,Meal!S15,SocRec!S15)</f>
        <v>146771</v>
      </c>
      <c r="T15" s="6">
        <f>SUM(Work!T15,Workbased!T15,School!T15,Escort!T15,Personal_Business!T15,Shop!T15,Meal!T15,SocRec!T15)</f>
        <v>586</v>
      </c>
      <c r="U15" s="6">
        <f si="0" t="shared"/>
        <v>153191</v>
      </c>
    </row>
    <row ht="15.75" r="16" spans="1:21" thickBot="1" x14ac:dyDescent="0.3">
      <c r="A16" s="12" t="s">
        <v>7</v>
      </c>
      <c r="B16" s="16">
        <f ref="B16:J16" si="2" t="shared">SUM(B5:B15)</f>
        <v>1800913.4075490001</v>
      </c>
      <c r="C16" s="16">
        <f si="2" t="shared"/>
        <v>1248971.9946299999</v>
      </c>
      <c r="D16" s="16">
        <f si="2" t="shared"/>
        <v>969605.97606000013</v>
      </c>
      <c r="E16" s="16">
        <f si="2" t="shared"/>
        <v>33553.089521000002</v>
      </c>
      <c r="F16" s="16">
        <f si="2" t="shared"/>
        <v>48215.939960000003</v>
      </c>
      <c r="G16" s="16">
        <f si="2" t="shared"/>
        <v>19148.605748999995</v>
      </c>
      <c r="H16" s="16">
        <f si="2" t="shared"/>
        <v>127939.585704</v>
      </c>
      <c r="I16" s="16">
        <f si="2" t="shared"/>
        <v>190868.91694300002</v>
      </c>
      <c r="J16" s="16">
        <f si="2" t="shared"/>
        <v>4439217.5161159998</v>
      </c>
      <c r="L16" s="9" t="s">
        <v>7</v>
      </c>
      <c r="M16" s="16">
        <f ref="M16:U16" si="3" t="shared">SUM(M5:M15)</f>
        <v>2072868</v>
      </c>
      <c r="N16" s="16">
        <f si="3" t="shared"/>
        <v>1423362</v>
      </c>
      <c r="O16" s="16">
        <f si="3" t="shared"/>
        <v>1011295</v>
      </c>
      <c r="P16" s="16">
        <f si="3" t="shared"/>
        <v>9767</v>
      </c>
      <c r="Q16" s="16">
        <f si="3" t="shared"/>
        <v>25532</v>
      </c>
      <c r="R16" s="16">
        <f si="3" t="shared"/>
        <v>22990</v>
      </c>
      <c r="S16" s="16">
        <f si="3" t="shared"/>
        <v>146774</v>
      </c>
      <c r="T16" s="16">
        <f si="3" t="shared"/>
        <v>190076</v>
      </c>
      <c r="U16" s="16">
        <f si="3" t="shared"/>
        <v>4902664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47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0.99215942958289305</v>
      </c>
      <c r="C22" s="13">
        <f si="4" t="shared"/>
        <v>0.25118254566943876</v>
      </c>
      <c r="D22" s="13">
        <f si="4" t="shared"/>
        <v>0.1296065071810403</v>
      </c>
      <c r="E22" s="13">
        <f ref="E22:E33" si="5" t="shared">IF(E$16&gt;0,E5/E$16,0)</f>
        <v>0.40875003678621757</v>
      </c>
      <c r="F22" s="13">
        <f ref="F22:J33" si="6" t="shared">F5/F$16</f>
        <v>1.1098600762402308E-2</v>
      </c>
      <c r="G22" s="13">
        <f si="6" t="shared"/>
        <v>0</v>
      </c>
      <c r="H22" s="13">
        <f si="6" t="shared"/>
        <v>0</v>
      </c>
      <c r="I22" s="13">
        <f si="6" t="shared"/>
        <v>3.7927026652337739E-4</v>
      </c>
      <c r="J22" s="13">
        <f si="6" t="shared"/>
        <v>0.50470668917599715</v>
      </c>
      <c r="K22" s="6"/>
      <c r="L22" t="s">
        <v>1</v>
      </c>
      <c r="M22" s="13">
        <f ref="M22:P22" si="7" t="shared">M5/M$16</f>
        <v>0.99867767749803649</v>
      </c>
      <c r="N22" s="13">
        <f si="7" t="shared"/>
        <v>0.24150988996474543</v>
      </c>
      <c r="O22" s="13">
        <f si="7" t="shared"/>
        <v>0.12050193069282454</v>
      </c>
      <c r="P22" s="13">
        <f si="7" t="shared"/>
        <v>0.51172314938056718</v>
      </c>
      <c r="Q22" s="13">
        <f ref="Q22:U33" si="8" t="shared">Q5/Q$16</f>
        <v>2.1619927933573556E-2</v>
      </c>
      <c r="R22" s="13">
        <f si="8" t="shared"/>
        <v>0</v>
      </c>
      <c r="S22" s="13">
        <f si="8" t="shared"/>
        <v>0</v>
      </c>
      <c r="T22" s="13">
        <f si="8" t="shared"/>
        <v>3.2302868326353671E-3</v>
      </c>
      <c r="U22" s="13">
        <f si="8" t="shared"/>
        <v>0.51847526161287005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0.73955578340060035</v>
      </c>
      <c r="D23" s="13">
        <f si="4" t="shared"/>
        <v>0.16412151074670431</v>
      </c>
      <c r="E23" s="13">
        <f si="5" t="shared"/>
        <v>0.11716326752979249</v>
      </c>
      <c r="F23" s="13">
        <f si="6" t="shared"/>
        <v>5.1276648594864395E-2</v>
      </c>
      <c r="G23" s="13">
        <f si="6" t="shared"/>
        <v>0</v>
      </c>
      <c r="H23" s="13">
        <f si="6" t="shared"/>
        <v>0</v>
      </c>
      <c r="I23" s="13">
        <f si="6" t="shared"/>
        <v>0.1107543720610779</v>
      </c>
      <c r="J23" s="13">
        <f si="6" t="shared"/>
        <v>0.25012533492197214</v>
      </c>
      <c r="K23" s="6"/>
      <c r="L23" t="s">
        <v>12</v>
      </c>
      <c r="M23" s="13">
        <f ref="M23:P23" si="9" t="shared">M6/M$16</f>
        <v>0</v>
      </c>
      <c r="N23" s="13">
        <f si="9" t="shared"/>
        <v>0.75545644748138563</v>
      </c>
      <c r="O23" s="13">
        <f si="9" t="shared"/>
        <v>0.17432104381016419</v>
      </c>
      <c r="P23" s="13">
        <f si="9" t="shared"/>
        <v>3.7780280536500462E-2</v>
      </c>
      <c r="Q23" s="13">
        <f si="8" t="shared"/>
        <v>0.12313958953470155</v>
      </c>
      <c r="R23" s="13">
        <f si="8" t="shared"/>
        <v>0</v>
      </c>
      <c r="S23" s="13">
        <f si="8" t="shared"/>
        <v>0</v>
      </c>
      <c r="T23" s="13">
        <f si="8" t="shared"/>
        <v>0.1174740630063764</v>
      </c>
      <c r="U23" s="13">
        <f si="8" t="shared"/>
        <v>0.26055630163519261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0.69078238434511563</v>
      </c>
      <c r="E24" s="13">
        <f si="5" t="shared"/>
        <v>3.6922405497849288E-2</v>
      </c>
      <c r="F24" s="13">
        <f si="6" t="shared"/>
        <v>4.7635534512143106E-2</v>
      </c>
      <c r="G24" s="13">
        <f si="6" t="shared"/>
        <v>0</v>
      </c>
      <c r="H24" s="13">
        <f si="6" t="shared"/>
        <v>0</v>
      </c>
      <c r="I24" s="13">
        <f si="6" t="shared"/>
        <v>0.11218928734946815</v>
      </c>
      <c r="J24" s="13">
        <f si="6" t="shared"/>
        <v>0.15649961420314554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0.70169436217918613</v>
      </c>
      <c r="P24" s="13">
        <f si="10" t="shared"/>
        <v>0</v>
      </c>
      <c r="Q24" s="13">
        <f si="8" t="shared"/>
        <v>3.7286542378192074E-2</v>
      </c>
      <c r="R24" s="13">
        <f si="8" t="shared"/>
        <v>0</v>
      </c>
      <c r="S24" s="13">
        <f si="8" t="shared"/>
        <v>2.0439587392862495E-5</v>
      </c>
      <c r="T24" s="13">
        <f si="8" t="shared"/>
        <v>0.12692291504450851</v>
      </c>
      <c r="U24" s="13">
        <f si="8" t="shared"/>
        <v>0.14985730207087411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0.24831760821266038</v>
      </c>
      <c r="F25" s="13">
        <f si="6" t="shared"/>
        <v>0.78942251822896936</v>
      </c>
      <c r="G25" s="13">
        <f si="6" t="shared"/>
        <v>0</v>
      </c>
      <c r="H25" s="13">
        <f si="6" t="shared"/>
        <v>0</v>
      </c>
      <c r="I25" s="13">
        <f si="6" t="shared"/>
        <v>2.4659434733448967E-4</v>
      </c>
      <c r="J25" s="13">
        <f si="6" t="shared"/>
        <v>1.0461672289632056E-2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0.21746698064912459</v>
      </c>
      <c r="Q25" s="13">
        <f si="8" t="shared"/>
        <v>0.62917123609587966</v>
      </c>
      <c r="R25" s="13">
        <f si="8" t="shared"/>
        <v>0</v>
      </c>
      <c r="S25" s="13">
        <f si="8" t="shared"/>
        <v>0</v>
      </c>
      <c r="T25" s="13">
        <f si="8" t="shared"/>
        <v>3.4196847576758771E-4</v>
      </c>
      <c r="U25" s="13">
        <f si="8" t="shared"/>
        <v>3.723077902136471E-3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9.6359891954999916E-2</v>
      </c>
      <c r="F27" s="13">
        <f si="6" t="shared"/>
        <v>3.8130615404889434E-2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1.1424706100991772E-3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0.1073000921470257</v>
      </c>
      <c r="Q27" s="13">
        <f si="8" t="shared"/>
        <v>3.6346545511514963E-2</v>
      </c>
      <c r="R27" s="13">
        <f si="8" t="shared"/>
        <v>0</v>
      </c>
      <c r="S27" s="13">
        <f si="8" t="shared"/>
        <v>0</v>
      </c>
      <c r="T27" s="13">
        <f si="8" t="shared"/>
        <v>1.0522106946695006E-4</v>
      </c>
      <c r="U27" s="13">
        <f si="8" t="shared"/>
        <v>4.0712559539058762E-4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8.2676993910315855E-2</v>
      </c>
      <c r="F28" s="13">
        <f si="6" t="shared"/>
        <v>2.2976361363463084E-3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6.4985580308397233E-4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5.3035732568854306E-2</v>
      </c>
      <c r="Q28" s="13">
        <f si="8" t="shared"/>
        <v>2.8826570578098072E-2</v>
      </c>
      <c r="R28" s="13">
        <f si="8" t="shared"/>
        <v>0</v>
      </c>
      <c r="S28" s="13">
        <f si="8" t="shared"/>
        <v>0</v>
      </c>
      <c r="T28" s="13">
        <f si="8" t="shared"/>
        <v>6.8393695153517534E-5</v>
      </c>
      <c r="U28" s="13">
        <f si="8" t="shared"/>
        <v>2.5843092653300329E-4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7.2693764717927711E-2</v>
      </c>
      <c r="Q29" s="13">
        <f si="8" t="shared"/>
        <v>9.4939683534388225E-2</v>
      </c>
      <c r="R29" s="13">
        <f si="8" t="shared"/>
        <v>0</v>
      </c>
      <c r="S29" s="13">
        <f si="8" t="shared"/>
        <v>0</v>
      </c>
      <c r="T29" s="13">
        <f si="8" t="shared"/>
        <v>4.7349481260127531E-5</v>
      </c>
      <c r="U29" s="13">
        <f si="8" t="shared"/>
        <v>6.4108003322275401E-4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0.76376881680810726</v>
      </c>
      <c r="J30" s="13">
        <f si="6" t="shared"/>
        <v>3.2839059210269771E-2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0.74529135714135397</v>
      </c>
      <c r="U30" s="13">
        <f si="8" t="shared"/>
        <v>2.8894902852816345E-2</v>
      </c>
    </row>
    <row r="31" spans="1:21" x14ac:dyDescent="0.25">
      <c r="A31" t="s">
        <v>4</v>
      </c>
      <c r="B31" s="13">
        <f si="4" t="shared"/>
        <v>4.4999762987102431E-4</v>
      </c>
      <c r="C31" s="13">
        <f si="4" t="shared"/>
        <v>3.0252642383061184E-4</v>
      </c>
      <c r="D31" s="13">
        <f si="4" t="shared"/>
        <v>8.8725898482577457E-4</v>
      </c>
      <c r="E31" s="13">
        <f si="5" t="shared"/>
        <v>0</v>
      </c>
      <c r="F31" s="13">
        <f si="6" t="shared"/>
        <v>6.6334555598281013E-3</v>
      </c>
      <c r="G31" s="13">
        <f si="6" t="shared"/>
        <v>0.95728334288554062</v>
      </c>
      <c r="H31" s="13">
        <f si="6" t="shared"/>
        <v>0</v>
      </c>
      <c r="I31" s="13">
        <f si="6" t="shared"/>
        <v>7.4019406754527277E-4</v>
      </c>
      <c r="J31" s="13">
        <f si="6" t="shared"/>
        <v>4.6945897542397938E-3</v>
      </c>
      <c r="K31" s="6"/>
      <c r="L31" t="s">
        <v>4</v>
      </c>
      <c r="M31" s="13">
        <f ref="M31:P31" si="17" t="shared">M14/M$16</f>
        <v>3.9172778970971621E-4</v>
      </c>
      <c r="N31" s="13">
        <f si="17" t="shared"/>
        <v>1.660153917274734E-3</v>
      </c>
      <c r="O31" s="13">
        <f si="17" t="shared"/>
        <v>1.8916339940373481E-3</v>
      </c>
      <c r="P31" s="13">
        <f si="17" t="shared"/>
        <v>0</v>
      </c>
      <c r="Q31" s="13">
        <f si="8" t="shared"/>
        <v>1.8917436941876861E-2</v>
      </c>
      <c r="R31" s="13">
        <f si="8" t="shared"/>
        <v>0.99599826011309267</v>
      </c>
      <c r="S31" s="13">
        <f si="8" t="shared"/>
        <v>0</v>
      </c>
      <c r="T31" s="13">
        <f si="8" t="shared"/>
        <v>3.4354679180959194E-3</v>
      </c>
      <c r="U31" s="13">
        <f si="8" t="shared"/>
        <v>5.9400358662147759E-3</v>
      </c>
    </row>
    <row r="32" spans="1:21" x14ac:dyDescent="0.25">
      <c r="A32" s="4" t="s">
        <v>5</v>
      </c>
      <c r="B32" s="14">
        <f si="4" t="shared"/>
        <v>7.3905727872359455E-3</v>
      </c>
      <c r="C32" s="14">
        <f si="4" t="shared"/>
        <v>8.9591445061303274E-3</v>
      </c>
      <c r="D32" s="14">
        <f si="4" t="shared"/>
        <v>1.4602338742313876E-2</v>
      </c>
      <c r="E32" s="13">
        <f si="5" t="shared"/>
        <v>9.809796108164473E-3</v>
      </c>
      <c r="F32" s="14">
        <f si="6" t="shared"/>
        <v>5.3504990800556818E-2</v>
      </c>
      <c r="G32" s="14">
        <f si="6" t="shared"/>
        <v>4.2716657114459461E-2</v>
      </c>
      <c r="H32" s="14">
        <f si="6" t="shared"/>
        <v>1</v>
      </c>
      <c r="I32" s="14">
        <f si="6" t="shared"/>
        <v>1.1921465099943556E-2</v>
      </c>
      <c r="J32" s="14">
        <f si="6" t="shared"/>
        <v>3.8880714031560383E-2</v>
      </c>
      <c r="K32" s="6"/>
      <c r="L32" s="4" t="s">
        <v>5</v>
      </c>
      <c r="M32" s="14">
        <f ref="M32:P32" si="18" t="shared">M15/M$16</f>
        <v>9.3059471225374695E-4</v>
      </c>
      <c r="N32" s="14">
        <f si="18" t="shared"/>
        <v>1.3735086365942045E-3</v>
      </c>
      <c r="O32" s="14">
        <f si="18" t="shared"/>
        <v>1.5910293237878165E-3</v>
      </c>
      <c r="P32" s="14">
        <f si="18" t="shared"/>
        <v>0</v>
      </c>
      <c r="Q32" s="14">
        <f si="8" t="shared"/>
        <v>9.7524674917750277E-3</v>
      </c>
      <c r="R32" s="14">
        <f si="8" t="shared"/>
        <v>4.0017398869073512E-3</v>
      </c>
      <c r="S32" s="14">
        <f si="8" t="shared"/>
        <v>0.99997956041260716</v>
      </c>
      <c r="T32" s="14">
        <f si="8" t="shared"/>
        <v>3.0829773353816367E-3</v>
      </c>
      <c r="U32" s="14">
        <f si="8" t="shared"/>
        <v>3.1246481504749256E-2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79" t="s">
        <v>47</v>
      </c>
      <c r="N37" s="80"/>
      <c r="O37" s="80"/>
      <c r="P37" s="80"/>
      <c r="Q37" s="80"/>
      <c r="R37" s="80"/>
      <c r="S37" s="80"/>
      <c r="T37" s="80"/>
      <c r="U37" s="80"/>
      <c r="W37" s="23"/>
      <c r="X37" s="78" t="s">
        <v>47</v>
      </c>
      <c r="Y37" s="78"/>
      <c r="Z37" s="78"/>
      <c r="AA37" s="78"/>
      <c r="AB37" s="78"/>
      <c r="AC37" s="78"/>
      <c r="AD37" s="78"/>
      <c r="AE37" s="78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6.518247915143438E-3</v>
      </c>
      <c r="N39" s="13">
        <f si="20" t="shared"/>
        <v>-9.6726557046933337E-3</v>
      </c>
      <c r="O39" s="13">
        <f si="20" t="shared"/>
        <v>-9.1045764882157626E-3</v>
      </c>
      <c r="P39" s="13">
        <f si="20" t="shared"/>
        <v>0.1029731125943496</v>
      </c>
      <c r="Q39" s="13">
        <f ref="Q39:Q50" si="21" t="shared">Q22-F22</f>
        <v>1.0521327171171248E-2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2.8510165661119898E-3</v>
      </c>
      <c r="U39" s="13">
        <f ref="U39:U50" si="25" t="shared">U22-J22</f>
        <v>1.3768572436872906E-2</v>
      </c>
      <c r="W39" s="21" t="s">
        <v>1</v>
      </c>
      <c r="X39" s="22">
        <f>M39</f>
        <v>6.518247915143438E-3</v>
      </c>
      <c r="Y39" s="22">
        <f ref="Y39:AF39" si="26" t="shared">N39</f>
        <v>-9.6726557046933337E-3</v>
      </c>
      <c r="Z39" s="22">
        <f si="26" t="shared"/>
        <v>-9.1045764882157626E-3</v>
      </c>
      <c r="AA39" s="22">
        <f si="26" t="shared"/>
        <v>0.1029731125943496</v>
      </c>
      <c r="AB39" s="22">
        <f si="26" t="shared"/>
        <v>1.0521327171171248E-2</v>
      </c>
      <c r="AC39" s="22">
        <f si="26" t="shared"/>
        <v>0</v>
      </c>
      <c r="AD39" s="22">
        <f si="26" t="shared"/>
        <v>0</v>
      </c>
      <c r="AE39" s="22">
        <f si="26" t="shared"/>
        <v>2.8510165661119898E-3</v>
      </c>
      <c r="AF39" s="22">
        <f si="26" t="shared"/>
        <v>1.3768572436872906E-2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1.5900664080785276E-2</v>
      </c>
      <c r="O40" s="13">
        <f si="20" t="shared"/>
        <v>1.0199533063459887E-2</v>
      </c>
      <c r="P40" s="13">
        <f si="20" t="shared"/>
        <v>-7.9382986993292021E-2</v>
      </c>
      <c r="Q40" s="13">
        <f si="21" t="shared"/>
        <v>7.1862940939837167E-2</v>
      </c>
      <c r="R40" s="13">
        <f si="22" t="shared"/>
        <v>0</v>
      </c>
      <c r="S40" s="13">
        <f si="23" t="shared"/>
        <v>0</v>
      </c>
      <c r="T40" s="13">
        <f si="24" t="shared"/>
        <v>6.7196909452985065E-3</v>
      </c>
      <c r="U40" s="13">
        <f si="25" t="shared"/>
        <v>1.0430966713220469E-2</v>
      </c>
      <c r="W40" s="27" t="s">
        <v>9</v>
      </c>
      <c r="X40" s="22">
        <f ref="X40:X49" si="27" t="shared">M40</f>
        <v>0</v>
      </c>
      <c r="Y40" s="22">
        <f ref="Y40:Y50" si="28" t="shared">N40</f>
        <v>1.5900664080785276E-2</v>
      </c>
      <c r="Z40" s="22">
        <f ref="Z40:Z50" si="29" t="shared">O40</f>
        <v>1.0199533063459887E-2</v>
      </c>
      <c r="AA40" s="22">
        <f ref="AA40:AA50" si="30" t="shared">P40</f>
        <v>-7.9382986993292021E-2</v>
      </c>
      <c r="AB40" s="22">
        <f ref="AB40:AB50" si="31" t="shared">Q40</f>
        <v>7.1862940939837167E-2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6.7196909452985065E-3</v>
      </c>
      <c r="AF40" s="22">
        <f ref="AF40:AF50" si="35" t="shared">U40</f>
        <v>1.0430966713220469E-2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1.0911977834070496E-2</v>
      </c>
      <c r="P41" s="13">
        <f si="20" t="shared"/>
        <v>-3.6922405497849288E-2</v>
      </c>
      <c r="Q41" s="13">
        <f si="21" t="shared"/>
        <v>-1.0348992133951032E-2</v>
      </c>
      <c r="R41" s="13">
        <f si="22" t="shared"/>
        <v>0</v>
      </c>
      <c r="S41" s="13">
        <f si="23" t="shared"/>
        <v>2.0439587392862495E-5</v>
      </c>
      <c r="T41" s="13">
        <f si="24" t="shared"/>
        <v>1.4733627695040358E-2</v>
      </c>
      <c r="U41" s="13">
        <f si="25" t="shared"/>
        <v>-6.6423121322714274E-3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1.0911977834070496E-2</v>
      </c>
      <c r="AA41" s="22">
        <f si="30" t="shared"/>
        <v>-3.6922405497849288E-2</v>
      </c>
      <c r="AB41" s="22">
        <f si="31" t="shared"/>
        <v>-1.0348992133951032E-2</v>
      </c>
      <c r="AC41" s="22">
        <f si="32" t="shared"/>
        <v>0</v>
      </c>
      <c r="AD41" s="22">
        <f si="33" t="shared"/>
        <v>2.0439587392862495E-5</v>
      </c>
      <c r="AE41" s="22">
        <f si="34" t="shared"/>
        <v>1.4733627695040358E-2</v>
      </c>
      <c r="AF41" s="22">
        <f si="35" t="shared"/>
        <v>-6.6423121322714274E-3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-3.0850627563535793E-2</v>
      </c>
      <c r="Q42" s="13">
        <f si="21" t="shared"/>
        <v>-0.1602512821330897</v>
      </c>
      <c r="R42" s="13">
        <f si="22" t="shared"/>
        <v>0</v>
      </c>
      <c r="S42" s="13">
        <f si="23" t="shared"/>
        <v>0</v>
      </c>
      <c r="T42" s="13">
        <f si="24" t="shared"/>
        <v>9.5374128433098045E-5</v>
      </c>
      <c r="U42" s="13">
        <f si="25" t="shared"/>
        <v>-6.7385943874955848E-3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-3.0850627563535793E-2</v>
      </c>
      <c r="AB42" s="22">
        <f si="31" t="shared"/>
        <v>-0.1602512821330897</v>
      </c>
      <c r="AC42" s="22">
        <f si="32" t="shared"/>
        <v>0</v>
      </c>
      <c r="AD42" s="22">
        <f si="33" t="shared"/>
        <v>0</v>
      </c>
      <c r="AE42" s="22">
        <f si="34" t="shared"/>
        <v>9.5374128433098045E-5</v>
      </c>
      <c r="AF42" s="22">
        <f si="35" t="shared"/>
        <v>-6.7385943874955848E-3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1.0940200192025781E-2</v>
      </c>
      <c r="Q44" s="13">
        <f si="21" t="shared"/>
        <v>-1.7840698933744709E-3</v>
      </c>
      <c r="R44" s="13">
        <f si="22" t="shared"/>
        <v>0</v>
      </c>
      <c r="S44" s="13">
        <f si="23" t="shared"/>
        <v>0</v>
      </c>
      <c r="T44" s="13">
        <f si="24" t="shared"/>
        <v>1.0522106946695006E-4</v>
      </c>
      <c r="U44" s="13">
        <f si="25" t="shared"/>
        <v>-7.3534501470858948E-4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1.0940200192025781E-2</v>
      </c>
      <c r="AB44" s="22">
        <f si="31" t="shared"/>
        <v>-1.7840698933744709E-3</v>
      </c>
      <c r="AC44" s="22">
        <f si="32" t="shared"/>
        <v>0</v>
      </c>
      <c r="AD44" s="22">
        <f si="33" t="shared"/>
        <v>0</v>
      </c>
      <c r="AE44" s="22">
        <f si="34" t="shared"/>
        <v>1.0522106946695006E-4</v>
      </c>
      <c r="AF44" s="22">
        <f si="35" t="shared"/>
        <v>-7.3534501470858948E-4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-2.9641261341461549E-2</v>
      </c>
      <c r="Q45" s="13">
        <f si="21" t="shared"/>
        <v>2.6528934441751764E-2</v>
      </c>
      <c r="R45" s="13">
        <f si="22" t="shared"/>
        <v>0</v>
      </c>
      <c r="S45" s="13">
        <f si="23" t="shared"/>
        <v>0</v>
      </c>
      <c r="T45" s="13">
        <f si="24" t="shared"/>
        <v>6.8393695153517534E-5</v>
      </c>
      <c r="U45" s="13">
        <f si="25" t="shared"/>
        <v>-3.9142487655096904E-4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-2.9641261341461549E-2</v>
      </c>
      <c r="AB45" s="22">
        <f si="31" t="shared"/>
        <v>2.6528934441751764E-2</v>
      </c>
      <c r="AC45" s="22">
        <f si="32" t="shared"/>
        <v>0</v>
      </c>
      <c r="AD45" s="22">
        <f si="33" t="shared"/>
        <v>0</v>
      </c>
      <c r="AE45" s="22">
        <f si="34" t="shared"/>
        <v>6.8393695153517534E-5</v>
      </c>
      <c r="AF45" s="22">
        <f si="35" t="shared"/>
        <v>-3.9142487655096904E-4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7.2693764717927711E-2</v>
      </c>
      <c r="Q46" s="13">
        <f si="21" t="shared"/>
        <v>9.4939683534388225E-2</v>
      </c>
      <c r="R46" s="13">
        <f si="22" t="shared"/>
        <v>0</v>
      </c>
      <c r="S46" s="13">
        <f si="23" t="shared"/>
        <v>0</v>
      </c>
      <c r="T46" s="13">
        <f si="24" t="shared"/>
        <v>4.7349481260127531E-5</v>
      </c>
      <c r="U46" s="13">
        <f si="25" t="shared"/>
        <v>6.4108003322275401E-4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7.2693764717927711E-2</v>
      </c>
      <c r="AB46" s="22">
        <f si="31" t="shared"/>
        <v>9.4939683534388225E-2</v>
      </c>
      <c r="AC46" s="22">
        <f si="32" t="shared"/>
        <v>0</v>
      </c>
      <c r="AD46" s="22">
        <f si="33" t="shared"/>
        <v>0</v>
      </c>
      <c r="AE46" s="22">
        <f si="34" t="shared"/>
        <v>4.7349481260127531E-5</v>
      </c>
      <c r="AF46" s="22">
        <f si="35" t="shared"/>
        <v>6.4108003322275401E-4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-1.8477459666753293E-2</v>
      </c>
      <c r="U47" s="13">
        <f si="25" t="shared"/>
        <v>-3.9441563574534252E-3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-1.8477459666753293E-2</v>
      </c>
      <c r="AF47" s="22">
        <f si="35" t="shared"/>
        <v>-3.9441563574534252E-3</v>
      </c>
    </row>
    <row r="48" spans="1:32" x14ac:dyDescent="0.25">
      <c r="L48" t="s">
        <v>4</v>
      </c>
      <c r="M48" s="13">
        <f ref="M48:P50" si="40" t="shared">M31-B31</f>
        <v>-5.8269840161308099E-5</v>
      </c>
      <c r="N48" s="13">
        <f si="40" t="shared"/>
        <v>1.3576274934441221E-3</v>
      </c>
      <c r="O48" s="13">
        <f si="40" t="shared"/>
        <v>1.0043750092115734E-3</v>
      </c>
      <c r="P48" s="13">
        <f si="40" t="shared"/>
        <v>0</v>
      </c>
      <c r="Q48" s="13">
        <f si="21" t="shared"/>
        <v>1.228398138204876E-2</v>
      </c>
      <c r="R48" s="13">
        <f si="22" t="shared"/>
        <v>3.8714917227552048E-2</v>
      </c>
      <c r="S48" s="13">
        <f si="23" t="shared"/>
        <v>0</v>
      </c>
      <c r="T48" s="13">
        <f si="24" t="shared"/>
        <v>2.6952738505506466E-3</v>
      </c>
      <c r="U48" s="13">
        <f si="25" t="shared"/>
        <v>1.2454461119749821E-3</v>
      </c>
      <c r="W48" s="27" t="s">
        <v>4</v>
      </c>
      <c r="X48" s="22">
        <f si="27" t="shared"/>
        <v>-5.8269840161308099E-5</v>
      </c>
      <c r="Y48" s="22">
        <f si="28" t="shared"/>
        <v>1.3576274934441221E-3</v>
      </c>
      <c r="Z48" s="22">
        <f si="29" t="shared"/>
        <v>1.0043750092115734E-3</v>
      </c>
      <c r="AA48" s="22">
        <f si="30" t="shared"/>
        <v>0</v>
      </c>
      <c r="AB48" s="22">
        <f si="31" t="shared"/>
        <v>1.228398138204876E-2</v>
      </c>
      <c r="AC48" s="22">
        <f si="32" t="shared"/>
        <v>3.8714917227552048E-2</v>
      </c>
      <c r="AD48" s="22">
        <f si="33" t="shared"/>
        <v>0</v>
      </c>
      <c r="AE48" s="22">
        <f si="34" t="shared"/>
        <v>2.6952738505506466E-3</v>
      </c>
      <c r="AF48" s="22">
        <f si="35" t="shared"/>
        <v>1.2454461119749821E-3</v>
      </c>
    </row>
    <row r="49" spans="12:32" x14ac:dyDescent="0.25">
      <c r="L49" s="4" t="s">
        <v>5</v>
      </c>
      <c r="M49" s="17">
        <f si="40" t="shared"/>
        <v>-6.4599780749821983E-3</v>
      </c>
      <c r="N49" s="17">
        <f si="40" t="shared"/>
        <v>-7.5856358695361231E-3</v>
      </c>
      <c r="O49" s="17">
        <f si="40" t="shared"/>
        <v>-1.301130941852606E-2</v>
      </c>
      <c r="P49" s="17">
        <f si="40" t="shared"/>
        <v>-9.809796108164473E-3</v>
      </c>
      <c r="Q49" s="17">
        <f si="21" t="shared"/>
        <v>-4.3752523308781793E-2</v>
      </c>
      <c r="R49" s="17">
        <f si="22" t="shared"/>
        <v>-3.8714917227552111E-2</v>
      </c>
      <c r="S49" s="17">
        <f si="23" t="shared"/>
        <v>-2.0439587392839798E-5</v>
      </c>
      <c r="T49" s="17">
        <f si="24" t="shared"/>
        <v>-8.8384877645619198E-3</v>
      </c>
      <c r="U49" s="13">
        <f si="25" t="shared"/>
        <v>-7.6342325268111272E-3</v>
      </c>
      <c r="W49" s="20" t="s">
        <v>5</v>
      </c>
      <c r="X49" s="22">
        <f si="27" t="shared"/>
        <v>-6.4599780749821983E-3</v>
      </c>
      <c r="Y49" s="22">
        <f si="28" t="shared"/>
        <v>-7.5856358695361231E-3</v>
      </c>
      <c r="Z49" s="22">
        <f si="29" t="shared"/>
        <v>-1.301130941852606E-2</v>
      </c>
      <c r="AA49" s="22">
        <f si="30" t="shared"/>
        <v>-9.809796108164473E-3</v>
      </c>
      <c r="AB49" s="22">
        <f si="31" t="shared"/>
        <v>-4.3752523308781793E-2</v>
      </c>
      <c r="AC49" s="22">
        <f si="32" t="shared"/>
        <v>-3.8714917227552111E-2</v>
      </c>
      <c r="AD49" s="22">
        <f si="33" t="shared"/>
        <v>-2.0439587392839798E-5</v>
      </c>
      <c r="AE49" s="22">
        <f si="34" t="shared"/>
        <v>-8.8384877645619198E-3</v>
      </c>
      <c r="AF49" s="22">
        <f si="35" t="shared"/>
        <v>-7.6342325268111272E-3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J68"/>
  <sheetViews>
    <sheetView workbookViewId="0">
      <selection activeCell="M17" sqref="M17"/>
    </sheetView>
  </sheetViews>
  <sheetFormatPr defaultRowHeight="15" x14ac:dyDescent="0.25"/>
  <cols>
    <col min="2" max="2" bestFit="true" customWidth="true" width="14.140625" collapsed="true"/>
    <col min="7" max="7" bestFit="true" customWidth="true" width="11.140625" collapsed="true"/>
    <col min="8" max="8" bestFit="true" customWidth="true" width="10.140625" collapsed="true"/>
    <col min="9" max="9" customWidth="true" width="5.85546875" collapsed="true"/>
    <col min="10" max="10" customWidth="true" width="14.85546875" collapsed="true"/>
    <col min="11" max="11" bestFit="true" customWidth="true" width="10.7109375" collapsed="true"/>
    <col min="12" max="12" bestFit="true" customWidth="true" width="9.7109375" collapsed="true"/>
    <col min="13" max="14" bestFit="true" customWidth="true" width="9.5703125" collapsed="true"/>
    <col min="15" max="15" bestFit="true" customWidth="true" width="11.28515625" collapsed="true"/>
    <col min="16" max="16" bestFit="true" customWidth="true" width="10.5703125" collapsed="true"/>
    <col min="19" max="19" bestFit="true" customWidth="true" width="14.140625" collapsed="true"/>
    <col min="23" max="24" bestFit="true" customWidth="true" width="11.140625" collapsed="true"/>
    <col min="25" max="25" bestFit="true" customWidth="true" width="20.42578125" collapsed="true"/>
    <col min="33" max="33" bestFit="true" customWidth="true" width="11.85546875" collapsed="true"/>
    <col min="34" max="35" bestFit="true" customWidth="true" width="15.42578125" collapsed="true"/>
  </cols>
  <sheetData>
    <row r="1" spans="2:35" x14ac:dyDescent="0.25">
      <c r="AF1" s="62" t="s">
        <v>175</v>
      </c>
    </row>
    <row r="2" spans="2:35" x14ac:dyDescent="0.25">
      <c r="B2" s="81" t="s">
        <v>171</v>
      </c>
      <c r="C2" s="81"/>
      <c r="D2" s="81"/>
      <c r="E2" s="81"/>
      <c r="F2" s="81"/>
      <c r="G2" s="81"/>
      <c r="H2" s="81"/>
      <c r="I2" s="21"/>
      <c r="J2" s="81" t="s">
        <v>60</v>
      </c>
      <c r="K2" s="81"/>
      <c r="L2" s="81"/>
      <c r="M2" s="81"/>
      <c r="N2" s="81"/>
      <c r="O2" s="81"/>
      <c r="P2" s="81"/>
      <c r="S2" t="s">
        <v>75</v>
      </c>
      <c r="AH2" s="63" t="s">
        <v>168</v>
      </c>
      <c r="AI2" s="63" t="s">
        <v>169</v>
      </c>
    </row>
    <row ht="15.75" r="3" spans="2:35" thickBot="1" x14ac:dyDescent="0.3">
      <c r="B3" s="18" t="s">
        <v>61</v>
      </c>
      <c r="C3" s="19"/>
      <c r="D3" s="19"/>
      <c r="E3" s="19"/>
      <c r="F3" s="19"/>
      <c r="G3" s="19"/>
      <c r="H3" s="19"/>
      <c r="I3" s="21"/>
      <c r="J3" s="18" t="str">
        <f>B3</f>
        <v>Count</v>
      </c>
      <c r="K3" s="19"/>
      <c r="L3" s="19"/>
      <c r="M3" s="19"/>
      <c r="N3" s="19"/>
      <c r="O3" s="19"/>
      <c r="P3" s="19"/>
      <c r="T3" s="82" t="s">
        <v>74</v>
      </c>
      <c r="U3" s="82"/>
      <c r="V3" s="82"/>
      <c r="W3" s="82"/>
      <c r="X3" s="82"/>
      <c r="AF3" s="64">
        <f>TripModeCoefficient!B11</f>
        <v>1</v>
      </c>
      <c r="AG3" s="64" t="str">
        <f>TripModeCoefficient!C11</f>
        <v>costutil</v>
      </c>
      <c r="AH3" s="65">
        <f>TripModeCoefficient!E11</f>
        <v>0.95365225963900002</v>
      </c>
      <c r="AI3" s="66">
        <f>_xlfn.IFNA(VLOOKUP(AF3,$T$52:$W$60,4,FALSE),AH3)</f>
        <v>0.95365225963900002</v>
      </c>
    </row>
    <row r="4" spans="2:35" x14ac:dyDescent="0.25">
      <c r="B4" s="30" t="s">
        <v>0</v>
      </c>
      <c r="C4" s="31" t="s">
        <v>62</v>
      </c>
      <c r="D4" s="31" t="s">
        <v>63</v>
      </c>
      <c r="E4" s="31" t="s">
        <v>64</v>
      </c>
      <c r="F4" s="31" t="s">
        <v>65</v>
      </c>
      <c r="G4" s="31" t="s">
        <v>66</v>
      </c>
      <c r="H4" s="31" t="s">
        <v>7</v>
      </c>
      <c r="I4" s="21"/>
      <c r="J4" s="30" t="str">
        <f>B4</f>
        <v>Mode</v>
      </c>
      <c r="K4" s="31" t="str">
        <f>C4</f>
        <v>Work</v>
      </c>
      <c r="L4" s="31" t="str">
        <f ref="L4:O4" si="0" t="shared">D4</f>
        <v>School</v>
      </c>
      <c r="M4" s="31" t="str">
        <f si="0" t="shared"/>
        <v>Escort</v>
      </c>
      <c r="N4" s="31" t="str">
        <f si="0" t="shared"/>
        <v>Other</v>
      </c>
      <c r="O4" s="31" t="str">
        <f si="0" t="shared"/>
        <v>WorkBased</v>
      </c>
      <c r="P4" s="31" t="str">
        <f>H4</f>
        <v>Total</v>
      </c>
      <c r="S4" s="30" t="s">
        <v>72</v>
      </c>
      <c r="T4" s="31" t="s">
        <v>62</v>
      </c>
      <c r="U4" s="31" t="s">
        <v>63</v>
      </c>
      <c r="V4" s="31" t="s">
        <v>64</v>
      </c>
      <c r="W4" s="31" t="s">
        <v>65</v>
      </c>
      <c r="X4" s="31" t="s">
        <v>66</v>
      </c>
      <c r="Y4" s="31" t="s">
        <v>7</v>
      </c>
      <c r="AF4" s="64">
        <f>TripModeCoefficient!B12</f>
        <v>2</v>
      </c>
      <c r="AG4" s="64" t="str">
        <f>TripModeCoefficient!C12</f>
        <v>timeutil</v>
      </c>
      <c r="AH4" s="65">
        <f>TripModeCoefficient!E12</f>
        <v>2.45567434768</v>
      </c>
      <c r="AI4" s="66">
        <f ref="AI4:AI67" si="1" t="shared">_xlfn.IFNA(VLOOKUP(AF4,$T$52:$W$60,4,FALSE),AH4)</f>
        <v>2.45567434768</v>
      </c>
    </row>
    <row r="5" spans="2:35" x14ac:dyDescent="0.25">
      <c r="B5" s="21" t="s">
        <v>1</v>
      </c>
      <c r="C5" s="32">
        <v>1408083.5817603962</v>
      </c>
      <c r="D5" s="32">
        <v>59056.886894416246</v>
      </c>
      <c r="E5" s="32">
        <v>186797.32231082252</v>
      </c>
      <c r="F5" s="32">
        <v>781017.18340400152</v>
      </c>
      <c r="G5" s="32">
        <v>95229.014285147539</v>
      </c>
      <c r="H5" s="73">
        <f>SUM(C5:G5)</f>
        <v>2530183.9886547844</v>
      </c>
      <c r="I5" s="21"/>
      <c r="J5" s="21" t="str">
        <f ref="J5:J13" si="2" t="shared">B5</f>
        <v>Drive Alone</v>
      </c>
      <c r="K5" s="32">
        <f>Work!U5</f>
        <v>1432663</v>
      </c>
      <c r="L5" s="32">
        <f>School!U5</f>
        <v>51540</v>
      </c>
      <c r="M5" s="32">
        <f>Escort!U5</f>
        <v>173678</v>
      </c>
      <c r="N5" s="32">
        <f>Personal_Business!U5+Shop!U5+Meal!U5+SocRec!U5</f>
        <v>752078</v>
      </c>
      <c r="O5" s="32">
        <f>Workbased!U5</f>
        <v>131951</v>
      </c>
      <c r="P5" s="33">
        <f>SUM(K5:O5)</f>
        <v>2541910</v>
      </c>
      <c r="S5" s="21" t="s">
        <v>1</v>
      </c>
      <c r="T5" s="32"/>
      <c r="U5" s="32"/>
      <c r="V5" s="32"/>
      <c r="W5" s="32"/>
      <c r="X5" s="32"/>
      <c r="Y5" s="33">
        <v>50</v>
      </c>
      <c r="AF5" s="59">
        <f>TripModeCoefficient!B13</f>
        <v>18</v>
      </c>
      <c r="AG5" s="59" t="str">
        <f>TripModeCoefficient!C13</f>
        <v>sb-const</v>
      </c>
      <c r="AH5" s="67">
        <f>TripModeCoefficient!E13</f>
        <v>0.18368466538200001</v>
      </c>
      <c r="AI5" s="67">
        <f si="1" t="shared"/>
        <v>4.8401896775272513E-2</v>
      </c>
    </row>
    <row r="6" spans="2:35" x14ac:dyDescent="0.25">
      <c r="B6" s="21" t="s">
        <v>2</v>
      </c>
      <c r="C6" s="32">
        <v>276466.76963073027</v>
      </c>
      <c r="D6" s="32">
        <v>134946.26996451549</v>
      </c>
      <c r="E6" s="32">
        <v>201178.05473820094</v>
      </c>
      <c r="F6" s="32">
        <v>594117.13594665239</v>
      </c>
      <c r="G6" s="32">
        <v>57136.321202780658</v>
      </c>
      <c r="H6" s="46">
        <f ref="H6:H11" si="3" t="shared">SUM(C6:G6)</f>
        <v>1263844.5514828796</v>
      </c>
      <c r="I6" s="21"/>
      <c r="J6" s="21" t="str">
        <f si="2" t="shared"/>
        <v>Shared Ride 2</v>
      </c>
      <c r="K6" s="32">
        <f>Work!U6</f>
        <v>259118</v>
      </c>
      <c r="L6" s="32">
        <f>School!U6</f>
        <v>134286</v>
      </c>
      <c r="M6" s="32">
        <f>Escort!U6</f>
        <v>209680</v>
      </c>
      <c r="N6" s="32">
        <f>Personal_Business!U6+Shop!U6+Meal!U6+SocRec!U6</f>
        <v>620001</v>
      </c>
      <c r="O6" s="32">
        <f>Workbased!U6</f>
        <v>54335</v>
      </c>
      <c r="P6" s="33">
        <f ref="P6:P11" si="4" t="shared">SUM(K6:O6)</f>
        <v>1277420</v>
      </c>
      <c r="S6" s="21" t="s">
        <v>2</v>
      </c>
      <c r="T6" s="32">
        <v>149</v>
      </c>
      <c r="U6" s="32">
        <v>150</v>
      </c>
      <c r="V6" s="32">
        <v>152</v>
      </c>
      <c r="W6" s="32">
        <v>153154155</v>
      </c>
      <c r="X6" s="32"/>
      <c r="Y6" s="33">
        <v>40</v>
      </c>
      <c r="AF6" s="59">
        <f>TripModeCoefficient!B14</f>
        <v>20</v>
      </c>
      <c r="AG6" s="59" t="str">
        <f>TripModeCoefficient!C14</f>
        <v>wt-const</v>
      </c>
      <c r="AH6" s="67">
        <f>TripModeCoefficient!E14</f>
        <v>-0.60445453169800001</v>
      </c>
      <c r="AI6" s="67">
        <f si="1" t="shared"/>
        <v>-0.66826102234251483</v>
      </c>
    </row>
    <row r="7" spans="2:35" x14ac:dyDescent="0.25">
      <c r="B7" s="21" t="s">
        <v>3</v>
      </c>
      <c r="C7" s="32">
        <v>87741.489962087042</v>
      </c>
      <c r="D7" s="32">
        <v>172846.70433477729</v>
      </c>
      <c r="E7" s="32">
        <v>158846.96503059161</v>
      </c>
      <c r="F7" s="32">
        <v>295035.92201849341</v>
      </c>
      <c r="G7" s="32">
        <v>38226.882862096099</v>
      </c>
      <c r="H7" s="46">
        <f si="3" t="shared"/>
        <v>752697.96420804539</v>
      </c>
      <c r="I7" s="21"/>
      <c r="J7" s="21" t="str">
        <f si="2" t="shared"/>
        <v>Shared Ride 3+</v>
      </c>
      <c r="K7" s="32">
        <f>Work!U7</f>
        <v>95703</v>
      </c>
      <c r="L7" s="32">
        <f>School!U7</f>
        <v>177512</v>
      </c>
      <c r="M7" s="32">
        <f>Escort!U7</f>
        <v>159667</v>
      </c>
      <c r="N7" s="32">
        <f>Personal_Business!U7+Shop!U7+Meal!U7+SocRec!U7</f>
        <v>285097</v>
      </c>
      <c r="O7" s="32">
        <f>Workbased!U7</f>
        <v>16721</v>
      </c>
      <c r="P7" s="33">
        <f si="4" t="shared"/>
        <v>734700</v>
      </c>
      <c r="S7" s="21" t="s">
        <v>3</v>
      </c>
      <c r="T7" s="32">
        <v>149</v>
      </c>
      <c r="U7" s="32">
        <v>150</v>
      </c>
      <c r="V7" s="32">
        <v>152</v>
      </c>
      <c r="W7" s="32">
        <v>153154155</v>
      </c>
      <c r="X7" s="32"/>
      <c r="Y7" s="33">
        <v>30</v>
      </c>
      <c r="AF7" s="64">
        <f>TripModeCoefficient!B15</f>
        <v>22</v>
      </c>
      <c r="AG7" s="64" t="str">
        <f>TripModeCoefficient!C15</f>
        <v>wt-carsltd</v>
      </c>
      <c r="AH7" s="65">
        <f>TripModeCoefficient!E15</f>
        <v>-0.35055045638499999</v>
      </c>
      <c r="AI7" s="66">
        <f si="1" t="shared"/>
        <v>-0.35055045638499999</v>
      </c>
    </row>
    <row r="8" spans="2:35" x14ac:dyDescent="0.25">
      <c r="B8" s="21" t="s">
        <v>69</v>
      </c>
      <c r="C8" s="32">
        <v>13595.604500000001</v>
      </c>
      <c r="D8" s="32">
        <v>2204.1538999999998</v>
      </c>
      <c r="E8" s="32">
        <v>0</v>
      </c>
      <c r="F8" s="32">
        <v>8793.3968999999997</v>
      </c>
      <c r="G8" s="32">
        <v>1099.6786999999999</v>
      </c>
      <c r="H8" s="46">
        <f si="3" t="shared"/>
        <v>25692.833999999999</v>
      </c>
      <c r="I8" s="21"/>
      <c r="J8" s="21" t="str">
        <f si="2" t="shared"/>
        <v>Transit</v>
      </c>
      <c r="K8" s="32">
        <f>SUM(Work!$U$8:$U$12)</f>
        <v>12957</v>
      </c>
      <c r="L8" s="32">
        <f>SUM(School!$U$8:$U$12)</f>
        <v>2065</v>
      </c>
      <c r="M8" s="32">
        <f>SUM(Escort!$U$8:$U$12)</f>
        <v>0</v>
      </c>
      <c r="N8" s="32">
        <f>SUM(Personal_Business!$U$8:$U$12)+SUM(Shop!$U$8:$U$12)+SUM(Meal!$U$8:$U$12)+SUM(SocRec!$U$8:$U$12)</f>
        <v>8818</v>
      </c>
      <c r="O8" s="32">
        <f>SUM(Workbased!$U$8:$U$12)</f>
        <v>819</v>
      </c>
      <c r="P8" s="33">
        <f si="4" t="shared"/>
        <v>24659</v>
      </c>
      <c r="S8" s="21" t="s">
        <v>70</v>
      </c>
      <c r="T8" s="32"/>
      <c r="U8" s="32"/>
      <c r="V8" s="32"/>
      <c r="W8" s="32"/>
      <c r="X8" s="32"/>
      <c r="Y8" s="33">
        <v>20</v>
      </c>
      <c r="AF8" s="59">
        <f>TripModeCoefficient!B16</f>
        <v>30</v>
      </c>
      <c r="AG8" s="59" t="str">
        <f>TripModeCoefficient!C16</f>
        <v>s3-const</v>
      </c>
      <c r="AH8" s="67">
        <f>TripModeCoefficient!E16</f>
        <v>4.8312209613929999</v>
      </c>
      <c r="AI8" s="67">
        <f si="1" t="shared"/>
        <v>4.7511743145943406</v>
      </c>
    </row>
    <row r="9" spans="2:35" x14ac:dyDescent="0.25">
      <c r="B9" s="21" t="s">
        <v>4</v>
      </c>
      <c r="C9" s="32">
        <v>11095.103722913622</v>
      </c>
      <c r="D9" s="32">
        <v>1428.4769796934315</v>
      </c>
      <c r="E9" s="32">
        <v>370.90716727784422</v>
      </c>
      <c r="F9" s="32">
        <v>5471.0079918571164</v>
      </c>
      <c r="G9" s="32">
        <v>2385.3958794805499</v>
      </c>
      <c r="H9" s="46">
        <f si="3" t="shared"/>
        <v>20750.891741222567</v>
      </c>
      <c r="I9" s="21"/>
      <c r="J9" s="21" t="str">
        <f si="2" t="shared"/>
        <v>Bike</v>
      </c>
      <c r="K9" s="32">
        <f>Work!U14</f>
        <v>11430</v>
      </c>
      <c r="L9" s="32">
        <f>School!U14</f>
        <v>3092</v>
      </c>
      <c r="M9" s="32">
        <f>Escort!U14</f>
        <v>2046</v>
      </c>
      <c r="N9" s="32">
        <f>Personal_Business!U14+Shop!U14+Meal!U14+SocRec!U14</f>
        <v>12161</v>
      </c>
      <c r="O9" s="32">
        <f>Workbased!U14</f>
        <v>393</v>
      </c>
      <c r="P9" s="33">
        <f si="4" t="shared"/>
        <v>29122</v>
      </c>
      <c r="S9" s="21" t="s">
        <v>71</v>
      </c>
      <c r="T9" s="32"/>
      <c r="U9" s="32"/>
      <c r="V9" s="32"/>
      <c r="W9" s="32"/>
      <c r="X9" s="32"/>
      <c r="Y9" s="33"/>
      <c r="AF9" s="64">
        <f>TripModeCoefficient!B17</f>
        <v>32</v>
      </c>
      <c r="AG9" s="64" t="str">
        <f>TripModeCoefficient!C17</f>
        <v>sr-hh515</v>
      </c>
      <c r="AH9" s="65">
        <f>TripModeCoefficient!E17</f>
        <v>-0.224225619795</v>
      </c>
      <c r="AI9" s="66">
        <f si="1" t="shared"/>
        <v>-0.224225619795</v>
      </c>
    </row>
    <row r="10" spans="2:35" x14ac:dyDescent="0.25">
      <c r="B10" s="21" t="s">
        <v>5</v>
      </c>
      <c r="C10" s="32">
        <v>31936.637056249914</v>
      </c>
      <c r="D10" s="32">
        <v>20669.730917293491</v>
      </c>
      <c r="E10" s="32">
        <v>13124.562880130574</v>
      </c>
      <c r="F10" s="32">
        <v>79393.508727868219</v>
      </c>
      <c r="G10" s="32">
        <v>24879.794736429885</v>
      </c>
      <c r="H10" s="46">
        <f si="3" t="shared"/>
        <v>170004.23431797209</v>
      </c>
      <c r="I10" s="21"/>
      <c r="J10" s="21" t="str">
        <f si="2" t="shared"/>
        <v>Walk</v>
      </c>
      <c r="K10" s="32">
        <f>Work!U15</f>
        <v>17645</v>
      </c>
      <c r="L10" s="32">
        <f>School!U15</f>
        <v>14873</v>
      </c>
      <c r="M10" s="32">
        <f>Escort!U15</f>
        <v>16048</v>
      </c>
      <c r="N10" s="32">
        <f>Personal_Business!U15+Shop!U15+Meal!U15+SocRec!U15</f>
        <v>87436</v>
      </c>
      <c r="O10" s="32">
        <f>Workbased!U15</f>
        <v>17189</v>
      </c>
      <c r="P10" s="33">
        <f si="4" t="shared"/>
        <v>153191</v>
      </c>
      <c r="S10" s="21" t="s">
        <v>4</v>
      </c>
      <c r="T10" s="32"/>
      <c r="U10" s="32"/>
      <c r="V10" s="32"/>
      <c r="W10" s="32"/>
      <c r="X10" s="32">
        <v>147</v>
      </c>
      <c r="Y10" s="33">
        <v>60</v>
      </c>
      <c r="AF10" s="64">
        <f>TripModeCoefficient!B18</f>
        <v>34</v>
      </c>
      <c r="AG10" s="64" t="str">
        <f>TripModeCoefficient!C18</f>
        <v>sr-hhnwa</v>
      </c>
      <c r="AH10" s="65">
        <f>TripModeCoefficient!E18</f>
        <v>-9.3941481079999993E-3</v>
      </c>
      <c r="AI10" s="66">
        <f si="1" t="shared"/>
        <v>-9.3941481079999993E-3</v>
      </c>
    </row>
    <row r="11" spans="2:35" x14ac:dyDescent="0.25">
      <c r="B11" s="20" t="s">
        <v>24</v>
      </c>
      <c r="C11" s="32">
        <v>834.81336762307296</v>
      </c>
      <c r="D11" s="32">
        <v>133638.77700930406</v>
      </c>
      <c r="E11" s="32">
        <v>420.18787297647816</v>
      </c>
      <c r="F11" s="32">
        <v>481.84501112737013</v>
      </c>
      <c r="G11" s="32">
        <v>1977.9123340652427</v>
      </c>
      <c r="H11" s="48">
        <f si="3" t="shared"/>
        <v>137353.53559509621</v>
      </c>
      <c r="I11" s="21"/>
      <c r="J11" s="20" t="str">
        <f si="2" t="shared"/>
        <v>School Bus</v>
      </c>
      <c r="K11" s="32">
        <f>Work!U13</f>
        <v>0</v>
      </c>
      <c r="L11" s="32">
        <f>School!U13</f>
        <v>141662</v>
      </c>
      <c r="M11" s="32">
        <f>Escort!U13</f>
        <v>0</v>
      </c>
      <c r="N11" s="32">
        <f>Personal_Business!U13+Shop!U13+Meal!U13+SocRec!U13</f>
        <v>0</v>
      </c>
      <c r="O11" s="32">
        <f>Workbased!U13</f>
        <v>0</v>
      </c>
      <c r="P11" s="33">
        <f si="4" t="shared"/>
        <v>141662</v>
      </c>
      <c r="S11" s="44" t="s">
        <v>5</v>
      </c>
      <c r="T11" s="45">
        <v>141</v>
      </c>
      <c r="U11" s="45">
        <v>142</v>
      </c>
      <c r="V11" s="45"/>
      <c r="W11" s="45"/>
      <c r="X11" s="45"/>
      <c r="Y11" s="46"/>
      <c r="AF11" s="64">
        <f>TripModeCoefficient!B19</f>
        <v>36</v>
      </c>
      <c r="AG11" s="64" t="str">
        <f>TripModeCoefficient!C19</f>
        <v>s3-onephh</v>
      </c>
      <c r="AH11" s="65">
        <f>TripModeCoefficient!E19</f>
        <v>-1.31282193692</v>
      </c>
      <c r="AI11" s="66">
        <f si="1" t="shared"/>
        <v>-1.31282193692</v>
      </c>
    </row>
    <row ht="15.75" r="12" spans="2:35" thickBot="1" x14ac:dyDescent="0.3">
      <c r="B12" s="34" t="s">
        <v>7</v>
      </c>
      <c r="C12" s="35">
        <f>SUM(C5:C11)</f>
        <v>1829754</v>
      </c>
      <c r="D12" s="35">
        <f ref="D12:H12" si="5" t="shared">SUM(D5:D11)</f>
        <v>524791</v>
      </c>
      <c r="E12" s="35">
        <f si="5" t="shared"/>
        <v>560738.00000000012</v>
      </c>
      <c r="F12" s="35">
        <f si="5" t="shared"/>
        <v>1764310.0000000002</v>
      </c>
      <c r="G12" s="35">
        <f si="5" t="shared"/>
        <v>220934.99999999994</v>
      </c>
      <c r="H12" s="35">
        <f si="5" t="shared"/>
        <v>4900528.0000000009</v>
      </c>
      <c r="I12" s="21"/>
      <c r="J12" s="34" t="str">
        <f si="2" t="shared"/>
        <v>Total</v>
      </c>
      <c r="K12" s="35">
        <f ref="K12:P12" si="6" t="shared">SUM(K5:K11)</f>
        <v>1829516</v>
      </c>
      <c r="L12" s="35">
        <f si="6" t="shared"/>
        <v>525030</v>
      </c>
      <c r="M12" s="35">
        <f si="6" t="shared"/>
        <v>561119</v>
      </c>
      <c r="N12" s="35">
        <f si="6" t="shared"/>
        <v>1765591</v>
      </c>
      <c r="O12" s="35">
        <f si="6" t="shared"/>
        <v>221408</v>
      </c>
      <c r="P12" s="35">
        <f si="6" t="shared"/>
        <v>4902664</v>
      </c>
      <c r="S12" s="20" t="s">
        <v>24</v>
      </c>
      <c r="T12" s="47"/>
      <c r="U12" s="47"/>
      <c r="V12" s="47"/>
      <c r="W12" s="47"/>
      <c r="X12" s="47"/>
      <c r="Y12" s="48">
        <v>18</v>
      </c>
      <c r="AF12" s="64">
        <f>TripModeCoefficient!B20</f>
        <v>37</v>
      </c>
      <c r="AG12" s="64" t="str">
        <f>TripModeCoefficient!C20</f>
        <v>s3-twophh</v>
      </c>
      <c r="AH12" s="65">
        <f>TripModeCoefficient!E20</f>
        <v>-0.41849713864999999</v>
      </c>
      <c r="AI12" s="66">
        <f si="1" t="shared"/>
        <v>-0.41849713864999999</v>
      </c>
    </row>
    <row r="13" spans="2:35" x14ac:dyDescent="0.25">
      <c r="B13" s="21" t="s">
        <v>174</v>
      </c>
      <c r="C13" s="74">
        <f ref="C13:H13" si="7" t="shared">C8/$H$8</f>
        <v>0.52915939518388677</v>
      </c>
      <c r="D13" s="74">
        <f si="7" t="shared"/>
        <v>8.5788663874137042E-2</v>
      </c>
      <c r="E13" s="74">
        <f si="7" t="shared"/>
        <v>0</v>
      </c>
      <c r="F13" s="74">
        <f si="7" t="shared"/>
        <v>0.34225095215265083</v>
      </c>
      <c r="G13" s="74">
        <f si="7" t="shared"/>
        <v>4.2800988789325457E-2</v>
      </c>
      <c r="H13" s="74">
        <f si="7" t="shared"/>
        <v>1</v>
      </c>
      <c r="I13" s="21"/>
      <c r="J13" s="21" t="str">
        <f si="2" t="shared"/>
        <v>transit ratio</v>
      </c>
      <c r="K13" s="77">
        <f>K8/$P8</f>
        <v>0.52544709842248272</v>
      </c>
      <c r="L13" s="77">
        <f ref="L13:P13" si="8" t="shared">L8/$P8</f>
        <v>8.3742244211038569E-2</v>
      </c>
      <c r="M13" s="77">
        <f si="8" t="shared"/>
        <v>0</v>
      </c>
      <c r="N13" s="77">
        <f si="8" t="shared"/>
        <v>0.35759763169633807</v>
      </c>
      <c r="O13" s="77">
        <f si="8" t="shared"/>
        <v>3.3213025670140721E-2</v>
      </c>
      <c r="P13" s="77">
        <f si="8" t="shared"/>
        <v>1</v>
      </c>
      <c r="AF13" s="64">
        <f>TripModeCoefficient!B21</f>
        <v>38</v>
      </c>
      <c r="AG13" s="64" t="str">
        <f>TripModeCoefficient!C21</f>
        <v>s2-onephh</v>
      </c>
      <c r="AH13" s="65">
        <f>TripModeCoefficient!E21</f>
        <v>-0.95024427417599999</v>
      </c>
      <c r="AI13" s="66">
        <f si="1" t="shared"/>
        <v>-0.95024427417599999</v>
      </c>
    </row>
    <row r="14" spans="2:35" x14ac:dyDescent="0.25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S14" t="s">
        <v>75</v>
      </c>
      <c r="AF14" s="59">
        <f>TripModeCoefficient!B22</f>
        <v>40</v>
      </c>
      <c r="AG14" s="59" t="str">
        <f>TripModeCoefficient!C22</f>
        <v>s2-const</v>
      </c>
      <c r="AH14" s="67">
        <f>TripModeCoefficient!E22</f>
        <v>3.3492566242640001</v>
      </c>
      <c r="AI14" s="67">
        <f si="1" t="shared"/>
        <v>3.234264300475139</v>
      </c>
    </row>
    <row ht="15.75" r="15" spans="2:35" thickBot="1" x14ac:dyDescent="0.3">
      <c r="B15" s="18" t="s">
        <v>67</v>
      </c>
      <c r="C15" s="19"/>
      <c r="D15" s="19"/>
      <c r="E15" s="19"/>
      <c r="F15" s="19"/>
      <c r="G15" s="19"/>
      <c r="H15" s="19"/>
      <c r="I15" s="21"/>
      <c r="J15" s="18" t="str">
        <f>B15</f>
        <v>Share</v>
      </c>
      <c r="K15" s="19"/>
      <c r="L15" s="19"/>
      <c r="M15" s="19"/>
      <c r="N15" s="19"/>
      <c r="O15" s="19"/>
      <c r="P15" s="19"/>
      <c r="T15" s="82" t="s">
        <v>73</v>
      </c>
      <c r="U15" s="82"/>
      <c r="V15" s="82"/>
      <c r="W15" s="82"/>
      <c r="X15" s="82"/>
      <c r="Y15" s="82"/>
      <c r="Z15" s="82"/>
      <c r="AA15" s="82"/>
      <c r="AF15" s="64">
        <f>TripModeCoefficient!B23</f>
        <v>41</v>
      </c>
      <c r="AG15" s="64" t="str">
        <f>TripModeCoefficient!C23</f>
        <v>sr-nocars</v>
      </c>
      <c r="AH15" s="65">
        <f>TripModeCoefficient!E23</f>
        <v>-2.7633018629400001</v>
      </c>
      <c r="AI15" s="66">
        <f si="1" t="shared"/>
        <v>-2.7633018629400001</v>
      </c>
    </row>
    <row r="16" spans="2:35" x14ac:dyDescent="0.25">
      <c r="B16" s="30" t="str">
        <f ref="B16:H16" si="9" t="shared">B4</f>
        <v>Mode</v>
      </c>
      <c r="C16" s="31" t="str">
        <f si="9" t="shared"/>
        <v>Work</v>
      </c>
      <c r="D16" s="31" t="str">
        <f si="9" t="shared"/>
        <v>School</v>
      </c>
      <c r="E16" s="31" t="str">
        <f si="9" t="shared"/>
        <v>Escort</v>
      </c>
      <c r="F16" s="31" t="str">
        <f si="9" t="shared"/>
        <v>Other</v>
      </c>
      <c r="G16" s="31" t="str">
        <f si="9" t="shared"/>
        <v>WorkBased</v>
      </c>
      <c r="H16" s="31" t="str">
        <f si="9" t="shared"/>
        <v>Total</v>
      </c>
      <c r="I16" s="21"/>
      <c r="J16" s="30" t="str">
        <f ref="J16:P16" si="10" t="shared">J4</f>
        <v>Mode</v>
      </c>
      <c r="K16" s="31" t="str">
        <f si="10" t="shared"/>
        <v>Work</v>
      </c>
      <c r="L16" s="31" t="str">
        <f si="10" t="shared"/>
        <v>School</v>
      </c>
      <c r="M16" s="31" t="str">
        <f si="10" t="shared"/>
        <v>Escort</v>
      </c>
      <c r="N16" s="31" t="str">
        <f si="10" t="shared"/>
        <v>Other</v>
      </c>
      <c r="O16" s="31" t="str">
        <f si="10" t="shared"/>
        <v>WorkBased</v>
      </c>
      <c r="P16" s="31" t="str">
        <f si="10" t="shared"/>
        <v>Total</v>
      </c>
      <c r="S16" s="30" t="s">
        <v>72</v>
      </c>
      <c r="T16" s="49" t="s">
        <v>1</v>
      </c>
      <c r="U16" s="49" t="s">
        <v>2</v>
      </c>
      <c r="V16" s="49" t="s">
        <v>3</v>
      </c>
      <c r="W16" s="49" t="s">
        <v>70</v>
      </c>
      <c r="X16" s="49" t="s">
        <v>71</v>
      </c>
      <c r="Y16" s="49" t="s">
        <v>4</v>
      </c>
      <c r="Z16" s="49" t="s">
        <v>5</v>
      </c>
      <c r="AA16" s="49" t="s">
        <v>24</v>
      </c>
      <c r="AF16" s="59">
        <f>TripModeCoefficient!B24</f>
        <v>50</v>
      </c>
      <c r="AG16" s="59" t="str">
        <f>TripModeCoefficient!C24</f>
        <v>da-const</v>
      </c>
      <c r="AH16" s="67">
        <f>TripModeCoefficient!E24</f>
        <v>3.1809591471630001</v>
      </c>
      <c r="AI16" s="67">
        <f si="1" t="shared"/>
        <v>3.0717528274435533</v>
      </c>
    </row>
    <row r="17" spans="2:35" x14ac:dyDescent="0.25">
      <c r="B17" s="21" t="str">
        <f ref="B17:B24" si="11" t="shared">B5</f>
        <v>Drive Alone</v>
      </c>
      <c r="C17" s="36">
        <f>C40/C$47</f>
        <v>0.76954727822362923</v>
      </c>
      <c r="D17" s="36">
        <f ref="D17:G17" si="12" t="shared">D40/D$47</f>
        <v>0.11253432372619394</v>
      </c>
      <c r="E17" s="36">
        <f si="12" t="shared"/>
        <v>0.33312763235383103</v>
      </c>
      <c r="F17" s="36">
        <f si="12" t="shared"/>
        <v>0.44267731962596707</v>
      </c>
      <c r="G17" s="36">
        <f si="12" t="shared"/>
        <v>0.4310318960400466</v>
      </c>
      <c r="H17" s="37">
        <f>H40/H$47</f>
        <v>0.51623529568117632</v>
      </c>
      <c r="I17" s="21"/>
      <c r="J17" s="21" t="str">
        <f ref="J17:J24" si="13" t="shared">J5</f>
        <v>Drive Alone</v>
      </c>
      <c r="K17" s="36">
        <f>K5/K$12</f>
        <v>0.78308306677831729</v>
      </c>
      <c r="L17" s="36">
        <f ref="L17:P17" si="14" t="shared">L5/L$12</f>
        <v>9.8165819096051654E-2</v>
      </c>
      <c r="M17" s="36">
        <f si="14" t="shared"/>
        <v>0.30952079683632172</v>
      </c>
      <c r="N17" s="36">
        <f si="14" t="shared"/>
        <v>0.42596388404789104</v>
      </c>
      <c r="O17" s="36">
        <f si="14" t="shared"/>
        <v>0.59596310883075587</v>
      </c>
      <c r="P17" s="37">
        <f si="14" t="shared"/>
        <v>0.51847526161287005</v>
      </c>
      <c r="S17" s="21" t="s">
        <v>1</v>
      </c>
      <c r="T17" s="45"/>
      <c r="U17" s="45">
        <v>125</v>
      </c>
      <c r="V17" s="45">
        <v>124</v>
      </c>
      <c r="W17" s="45">
        <v>122</v>
      </c>
      <c r="X17" s="45">
        <v>121</v>
      </c>
      <c r="Y17" s="46"/>
      <c r="Z17" s="44"/>
      <c r="AA17" s="44"/>
      <c r="AF17" s="64">
        <f>TripModeCoefficient!B25</f>
        <v>52</v>
      </c>
      <c r="AG17" s="64" t="str">
        <f>TripModeCoefficient!C25</f>
        <v>da-carsltd</v>
      </c>
      <c r="AH17" s="65">
        <f>TripModeCoefficient!E25</f>
        <v>-0.74064759656800006</v>
      </c>
      <c r="AI17" s="66">
        <f si="1" t="shared"/>
        <v>-0.74064759656800006</v>
      </c>
    </row>
    <row r="18" spans="2:35" x14ac:dyDescent="0.25">
      <c r="B18" s="21" t="str">
        <f si="11" t="shared"/>
        <v>Shared Ride 2</v>
      </c>
      <c r="C18" s="36">
        <f ref="C18:H18" si="15" t="shared">C41/C$47</f>
        <v>0.15109490149911461</v>
      </c>
      <c r="D18" s="36">
        <f si="15" t="shared"/>
        <v>0.25714337528456782</v>
      </c>
      <c r="E18" s="36">
        <f si="15" t="shared"/>
        <v>0.35877371381679307</v>
      </c>
      <c r="F18" s="36">
        <f si="15" t="shared"/>
        <v>0.33674314326663868</v>
      </c>
      <c r="G18" s="36">
        <f si="15" t="shared"/>
        <v>0.25861421590529604</v>
      </c>
      <c r="H18" s="37">
        <f si="15" t="shared"/>
        <v>0.25793388921580668</v>
      </c>
      <c r="I18" s="21"/>
      <c r="J18" s="21" t="str">
        <f si="13" t="shared"/>
        <v>Shared Ride 2</v>
      </c>
      <c r="K18" s="36">
        <f ref="K18:P18" si="16" t="shared">K6/K$12</f>
        <v>0.14163199447285513</v>
      </c>
      <c r="L18" s="36">
        <f si="16" t="shared"/>
        <v>0.25576824181475344</v>
      </c>
      <c r="M18" s="36">
        <f si="16" t="shared"/>
        <v>0.37368187496769845</v>
      </c>
      <c r="N18" s="36">
        <f si="16" t="shared"/>
        <v>0.3511577709673418</v>
      </c>
      <c r="O18" s="36">
        <f si="16" t="shared"/>
        <v>0.24540667003902297</v>
      </c>
      <c r="P18" s="37">
        <f si="16" t="shared"/>
        <v>0.26055630163519261</v>
      </c>
      <c r="S18" s="21" t="s">
        <v>2</v>
      </c>
      <c r="T18" s="45"/>
      <c r="U18" s="45"/>
      <c r="V18" s="45">
        <v>120</v>
      </c>
      <c r="W18" s="45">
        <v>118</v>
      </c>
      <c r="X18" s="45"/>
      <c r="Y18" s="46"/>
      <c r="Z18" s="44"/>
      <c r="AA18" s="44">
        <v>119</v>
      </c>
      <c r="AF18" s="64">
        <f>TripModeCoefficient!B26</f>
        <v>54</v>
      </c>
      <c r="AG18" s="64" t="str">
        <f>TripModeCoefficient!C26</f>
        <v>da-incu25</v>
      </c>
      <c r="AH18" s="65">
        <f>TripModeCoefficient!E26</f>
        <v>-0.386979332166</v>
      </c>
      <c r="AI18" s="66">
        <f si="1" t="shared"/>
        <v>-0.386979332166</v>
      </c>
    </row>
    <row r="19" spans="2:35" x14ac:dyDescent="0.25">
      <c r="B19" s="21" t="str">
        <f si="11" t="shared"/>
        <v>Shared Ride 3+</v>
      </c>
      <c r="C19" s="36">
        <f ref="C19:H19" si="17" t="shared">C42/C$47</f>
        <v>4.7952568769528907E-2</v>
      </c>
      <c r="D19" s="36">
        <f si="17" t="shared"/>
        <v>0.32936356796779692</v>
      </c>
      <c r="E19" s="36">
        <f si="17" t="shared"/>
        <v>0.28328196953049656</v>
      </c>
      <c r="F19" s="36">
        <f si="17" t="shared"/>
        <v>0.16722514424495483</v>
      </c>
      <c r="G19" s="36">
        <f si="17" t="shared"/>
        <v>0.17302505883776531</v>
      </c>
      <c r="H19" s="37">
        <f si="17" t="shared"/>
        <v>0.15362484217474712</v>
      </c>
      <c r="I19" s="21"/>
      <c r="J19" s="21" t="str">
        <f si="13" t="shared"/>
        <v>Shared Ride 3+</v>
      </c>
      <c r="K19" s="36">
        <f ref="K19:P19" si="18" t="shared">K7/K$12</f>
        <v>5.2310556453182153E-2</v>
      </c>
      <c r="L19" s="36">
        <f si="18" t="shared"/>
        <v>0.33809877530807764</v>
      </c>
      <c r="M19" s="36">
        <f si="18" t="shared"/>
        <v>0.28455104888624339</v>
      </c>
      <c r="N19" s="36">
        <f si="18" t="shared"/>
        <v>0.16147397670241861</v>
      </c>
      <c r="O19" s="36">
        <f si="18" t="shared"/>
        <v>7.5521209712386184E-2</v>
      </c>
      <c r="P19" s="37">
        <f si="18" t="shared"/>
        <v>0.14985730207087411</v>
      </c>
      <c r="S19" s="21" t="s">
        <v>3</v>
      </c>
      <c r="T19" s="45"/>
      <c r="U19" s="45"/>
      <c r="V19" s="45"/>
      <c r="W19" s="45">
        <v>115</v>
      </c>
      <c r="X19" s="45"/>
      <c r="Y19" s="46"/>
      <c r="Z19" s="44"/>
      <c r="AA19" s="44">
        <v>116</v>
      </c>
      <c r="AF19" s="64">
        <f>TripModeCoefficient!B27</f>
        <v>55</v>
      </c>
      <c r="AG19" s="64" t="str">
        <f>TripModeCoefficient!C27</f>
        <v>da-inc2545</v>
      </c>
      <c r="AH19" s="65">
        <f>TripModeCoefficient!E27</f>
        <v>-0.13091449214600001</v>
      </c>
      <c r="AI19" s="66">
        <f si="1" t="shared"/>
        <v>-0.13091449214600001</v>
      </c>
    </row>
    <row r="20" spans="2:35" x14ac:dyDescent="0.25">
      <c r="B20" s="21" t="str">
        <f si="11" t="shared"/>
        <v>Transit</v>
      </c>
      <c r="C20" s="36">
        <f ref="C20:H20" si="19" t="shared">C43/C$47</f>
        <v>7.4312575019841324E-3</v>
      </c>
      <c r="D20" s="36">
        <f si="19" t="shared"/>
        <v>4.1981484867531374E-3</v>
      </c>
      <c r="E20" s="36">
        <f si="19" t="shared"/>
        <v>0</v>
      </c>
      <c r="F20" s="36">
        <f si="19" t="shared"/>
        <v>4.9804268938842588E-3</v>
      </c>
      <c r="G20" s="36">
        <f si="19" t="shared"/>
        <v>4.966752330539094E-3</v>
      </c>
      <c r="H20" s="37">
        <f si="19" t="shared"/>
        <v>5.240586342445658E-3</v>
      </c>
      <c r="I20" s="21"/>
      <c r="J20" s="21" t="str">
        <f si="13" t="shared"/>
        <v>Transit</v>
      </c>
      <c r="K20" s="36">
        <f ref="K20:P20" si="20" t="shared">K8/K$12</f>
        <v>7.0822009755585631E-3</v>
      </c>
      <c r="L20" s="36">
        <f si="20" t="shared"/>
        <v>3.9331085842713746E-3</v>
      </c>
      <c r="M20" s="36">
        <f si="20" t="shared"/>
        <v>0</v>
      </c>
      <c r="N20" s="36">
        <f si="20" t="shared"/>
        <v>4.9943616613360624E-3</v>
      </c>
      <c r="O20" s="36">
        <f si="20" t="shared"/>
        <v>3.6990533314062725E-3</v>
      </c>
      <c r="P20" s="37">
        <f si="20" t="shared"/>
        <v>5.029714457282816E-3</v>
      </c>
      <c r="S20" s="21" t="s">
        <v>70</v>
      </c>
      <c r="T20" s="45"/>
      <c r="U20" s="45"/>
      <c r="V20" s="45"/>
      <c r="W20" s="45"/>
      <c r="X20" s="45"/>
      <c r="Y20" s="46"/>
      <c r="Z20" s="44"/>
      <c r="AA20" s="44"/>
      <c r="AF20" s="64">
        <f>TripModeCoefficient!B28</f>
        <v>59</v>
      </c>
      <c r="AG20" s="64" t="str">
        <f>TripModeCoefficient!C28</f>
        <v>da-ch1617</v>
      </c>
      <c r="AH20" s="65">
        <f>TripModeCoefficient!E28</f>
        <v>-0.985520337395</v>
      </c>
      <c r="AI20" s="66">
        <f si="1" t="shared"/>
        <v>-0.985520337395</v>
      </c>
    </row>
    <row r="21" spans="2:35" x14ac:dyDescent="0.25">
      <c r="B21" s="21" t="str">
        <f si="11" t="shared"/>
        <v>Bike</v>
      </c>
      <c r="C21" s="36">
        <f ref="C21:H21" si="21" t="shared">C44/C$47</f>
        <v>6.0637074263038462E-3</v>
      </c>
      <c r="D21" s="36">
        <f si="21" t="shared"/>
        <v>2.7219973710371002E-3</v>
      </c>
      <c r="E21" s="36">
        <f si="21" t="shared"/>
        <v>6.6146251418281647E-4</v>
      </c>
      <c r="F21" s="36">
        <f si="21" t="shared"/>
        <v>3.1009447742646737E-3</v>
      </c>
      <c r="G21" s="36">
        <f si="21" t="shared"/>
        <v>1.0796937429803651E-2</v>
      </c>
      <c r="H21" s="37">
        <f si="21" t="shared"/>
        <v>4.2343239771988807E-3</v>
      </c>
      <c r="I21" s="21"/>
      <c r="J21" s="21" t="str">
        <f si="13" t="shared"/>
        <v>Bike</v>
      </c>
      <c r="K21" s="36">
        <f ref="K21:P21" si="22" t="shared">K9/K$12</f>
        <v>6.2475539978879661E-3</v>
      </c>
      <c r="L21" s="36">
        <f si="22" t="shared"/>
        <v>5.8891872845361218E-3</v>
      </c>
      <c r="M21" s="36">
        <f si="22" t="shared"/>
        <v>3.6462853690571876E-3</v>
      </c>
      <c r="N21" s="36">
        <f si="22" t="shared"/>
        <v>6.8877786531535336E-3</v>
      </c>
      <c r="O21" s="36">
        <f si="22" t="shared"/>
        <v>1.7750036132389074E-3</v>
      </c>
      <c r="P21" s="37">
        <f si="22" t="shared"/>
        <v>5.9400358662147759E-3</v>
      </c>
      <c r="S21" s="21" t="s">
        <v>71</v>
      </c>
      <c r="T21" s="45"/>
      <c r="U21" s="45"/>
      <c r="V21" s="45"/>
      <c r="W21" s="45"/>
      <c r="X21" s="45"/>
      <c r="Y21" s="46"/>
      <c r="Z21" s="44"/>
      <c r="AA21" s="44"/>
      <c r="AF21" s="59">
        <f>TripModeCoefficient!B29</f>
        <v>60</v>
      </c>
      <c r="AG21" s="59" t="str">
        <f>TripModeCoefficient!C29</f>
        <v>bi-const</v>
      </c>
      <c r="AH21" s="67">
        <f>TripModeCoefficient!E29</f>
        <v>-3.5744955287289999</v>
      </c>
      <c r="AI21" s="67">
        <f si="1" t="shared"/>
        <v>-4.0178636779526427</v>
      </c>
    </row>
    <row r="22" spans="2:35" x14ac:dyDescent="0.25">
      <c r="B22" s="21" t="str">
        <f si="11" t="shared"/>
        <v>Walk</v>
      </c>
      <c r="C22" s="36">
        <f ref="C22:H22" si="23" t="shared">C45/C$47</f>
        <v>1.7454043524551995E-2</v>
      </c>
      <c r="D22" s="36">
        <f si="23" t="shared"/>
        <v>3.93866712706787E-2</v>
      </c>
      <c r="E22" s="36">
        <f si="23" t="shared"/>
        <v>2.340587383079187E-2</v>
      </c>
      <c r="F22" s="36">
        <f si="23" t="shared"/>
        <v>4.4999913428503256E-2</v>
      </c>
      <c r="G22" s="36">
        <f si="23" t="shared"/>
        <v>0.11261258114275281</v>
      </c>
      <c r="H22" s="37">
        <f si="23" t="shared"/>
        <v>3.4701518387547647E-2</v>
      </c>
      <c r="I22" s="21"/>
      <c r="J22" s="21" t="str">
        <f si="13" t="shared"/>
        <v>Walk</v>
      </c>
      <c r="K22" s="36">
        <f ref="K22:P22" si="24" t="shared">K10/K$12</f>
        <v>9.6446273221988763E-3</v>
      </c>
      <c r="L22" s="36">
        <f si="24" t="shared"/>
        <v>2.8327905072091118E-2</v>
      </c>
      <c r="M22" s="36">
        <f si="24" t="shared"/>
        <v>2.859999394067925E-2</v>
      </c>
      <c r="N22" s="36">
        <f si="24" t="shared"/>
        <v>4.952222796785892E-2</v>
      </c>
      <c r="O22" s="36">
        <f si="24" t="shared"/>
        <v>7.7634954473189771E-2</v>
      </c>
      <c r="P22" s="37">
        <f si="24" t="shared"/>
        <v>3.1246481504749256E-2</v>
      </c>
      <c r="S22" s="21" t="s">
        <v>4</v>
      </c>
      <c r="T22" s="45">
        <v>131</v>
      </c>
      <c r="U22" s="45">
        <v>130</v>
      </c>
      <c r="V22" s="45"/>
      <c r="W22" s="45">
        <v>127</v>
      </c>
      <c r="X22" s="45"/>
      <c r="Y22" s="46"/>
      <c r="Z22" s="44"/>
      <c r="AA22" s="44">
        <v>128</v>
      </c>
      <c r="AF22" s="64">
        <f>TripModeCoefficient!B30</f>
        <v>61</v>
      </c>
      <c r="AG22" s="64" t="str">
        <f>TripModeCoefficient!C30</f>
        <v>bi-male</v>
      </c>
      <c r="AH22" s="65">
        <f>TripModeCoefficient!E30</f>
        <v>0.72115785049900005</v>
      </c>
      <c r="AI22" s="66">
        <f si="1" t="shared"/>
        <v>0.72115785049900005</v>
      </c>
    </row>
    <row r="23" spans="2:35" x14ac:dyDescent="0.25">
      <c r="B23" s="20" t="str">
        <f si="11" t="shared"/>
        <v>School Bus</v>
      </c>
      <c r="C23" s="38">
        <f ref="C23:H24" si="25" t="shared">C46/C$47</f>
        <v>4.5624305488731659E-4</v>
      </c>
      <c r="D23" s="38">
        <f si="25" t="shared"/>
        <v>0.25465191589297242</v>
      </c>
      <c r="E23" s="38">
        <f si="25" t="shared"/>
        <v>7.4934795390445817E-4</v>
      </c>
      <c r="F23" s="38">
        <f si="25" t="shared"/>
        <v>2.7310776578736616E-4</v>
      </c>
      <c r="G23" s="38">
        <f si="25" t="shared"/>
        <v>8.9525583137964205E-3</v>
      </c>
      <c r="H23" s="39">
        <f si="25" t="shared"/>
        <v>2.8029544221077517E-2</v>
      </c>
      <c r="I23" s="21"/>
      <c r="J23" s="20" t="str">
        <f si="13" t="shared"/>
        <v>School Bus</v>
      </c>
      <c r="K23" s="38">
        <f ref="K23:P23" si="26" t="shared">K11/K$12</f>
        <v>0</v>
      </c>
      <c r="L23" s="38">
        <f si="26" t="shared"/>
        <v>0.26981696284021867</v>
      </c>
      <c r="M23" s="38">
        <f si="26" t="shared"/>
        <v>0</v>
      </c>
      <c r="N23" s="38">
        <f si="26" t="shared"/>
        <v>0</v>
      </c>
      <c r="O23" s="38">
        <f si="26" t="shared"/>
        <v>0</v>
      </c>
      <c r="P23" s="39">
        <f si="26" t="shared"/>
        <v>2.8894902852816345E-2</v>
      </c>
      <c r="S23" s="44" t="s">
        <v>5</v>
      </c>
      <c r="T23" s="45"/>
      <c r="U23" s="45"/>
      <c r="V23" s="45"/>
      <c r="W23" s="45"/>
      <c r="X23" s="45"/>
      <c r="Y23" s="46"/>
      <c r="Z23" s="44"/>
      <c r="AA23" s="44"/>
      <c r="AF23" s="64">
        <f>TripModeCoefficient!B31</f>
        <v>62</v>
      </c>
      <c r="AG23" s="64" t="str">
        <f>TripModeCoefficient!C31</f>
        <v>bi-ageu35</v>
      </c>
      <c r="AH23" s="65">
        <f>TripModeCoefficient!E31</f>
        <v>1.5869662598000001</v>
      </c>
      <c r="AI23" s="66">
        <f si="1" t="shared"/>
        <v>1.5869662598000001</v>
      </c>
    </row>
    <row ht="15.75" r="24" spans="2:35" thickBot="1" x14ac:dyDescent="0.3">
      <c r="B24" s="34" t="str">
        <f si="11" t="shared"/>
        <v>Total</v>
      </c>
      <c r="C24" s="40">
        <f>C47/C$47</f>
        <v>1</v>
      </c>
      <c r="D24" s="40">
        <f si="25" t="shared"/>
        <v>1</v>
      </c>
      <c r="E24" s="40">
        <f si="25" t="shared"/>
        <v>1</v>
      </c>
      <c r="F24" s="40">
        <f si="25" t="shared"/>
        <v>1</v>
      </c>
      <c r="G24" s="40">
        <f si="25" t="shared"/>
        <v>1</v>
      </c>
      <c r="H24" s="40">
        <f>H47/H$47</f>
        <v>1</v>
      </c>
      <c r="I24" s="21"/>
      <c r="J24" s="34" t="str">
        <f si="13" t="shared"/>
        <v>Total</v>
      </c>
      <c r="K24" s="40">
        <f ref="K24:P24" si="27" t="shared">K12/K$12</f>
        <v>1</v>
      </c>
      <c r="L24" s="40">
        <f si="27" t="shared"/>
        <v>1</v>
      </c>
      <c r="M24" s="40">
        <f si="27" t="shared"/>
        <v>1</v>
      </c>
      <c r="N24" s="40">
        <f si="27" t="shared"/>
        <v>1</v>
      </c>
      <c r="O24" s="40">
        <f si="27" t="shared"/>
        <v>1</v>
      </c>
      <c r="P24" s="40">
        <f si="27" t="shared"/>
        <v>1</v>
      </c>
      <c r="S24" s="20" t="s">
        <v>24</v>
      </c>
      <c r="T24" s="47"/>
      <c r="U24" s="47"/>
      <c r="V24" s="47"/>
      <c r="W24" s="47"/>
      <c r="X24" s="47"/>
      <c r="Y24" s="48"/>
      <c r="Z24" s="20"/>
      <c r="AA24" s="20"/>
      <c r="AF24" s="64">
        <f>TripModeCoefficient!B32</f>
        <v>65</v>
      </c>
      <c r="AG24" s="64" t="str">
        <f>TripModeCoefficient!C32</f>
        <v>bi-ointd</v>
      </c>
      <c r="AH24" s="65">
        <f>TripModeCoefficient!E32</f>
        <v>2.3745812036999998E-2</v>
      </c>
      <c r="AI24" s="66">
        <f si="1" t="shared"/>
        <v>2.3745812036999998E-2</v>
      </c>
    </row>
    <row r="25" spans="2:35" x14ac:dyDescent="0.25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AF25" s="64">
        <f>TripModeCoefficient!B33</f>
        <v>72</v>
      </c>
      <c r="AG25" s="64" t="str">
        <f>TripModeCoefficient!C33</f>
        <v>wk-ageu35</v>
      </c>
      <c r="AH25" s="65">
        <f>TripModeCoefficient!E33</f>
        <v>0.79006426845300004</v>
      </c>
      <c r="AI25" s="66">
        <f si="1" t="shared"/>
        <v>0.79006426845300004</v>
      </c>
    </row>
    <row r="26" spans="2:35" x14ac:dyDescent="0.25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AF26" s="64">
        <f>TripModeCoefficient!B34</f>
        <v>75</v>
      </c>
      <c r="AG26" s="64" t="str">
        <f>TripModeCoefficient!C34</f>
        <v>wk-ointd</v>
      </c>
      <c r="AH26" s="65">
        <f>TripModeCoefficient!E34</f>
        <v>2.5163211054E-2</v>
      </c>
      <c r="AI26" s="66">
        <f si="1" t="shared"/>
        <v>2.5163211054E-2</v>
      </c>
    </row>
    <row ht="15.75" r="27" spans="2:35" thickBot="1" x14ac:dyDescent="0.3">
      <c r="B27" s="18" t="s">
        <v>172</v>
      </c>
      <c r="C27" s="19"/>
      <c r="D27" s="19"/>
      <c r="E27" s="19"/>
      <c r="F27" s="19"/>
      <c r="G27" s="19"/>
      <c r="H27" s="19"/>
      <c r="I27" s="21"/>
      <c r="J27" s="18" t="s">
        <v>68</v>
      </c>
      <c r="K27" s="19"/>
      <c r="L27" s="19"/>
      <c r="M27" s="19"/>
      <c r="N27" s="19"/>
      <c r="O27" s="19"/>
      <c r="P27" s="19"/>
      <c r="S27" s="18" t="s">
        <v>76</v>
      </c>
      <c r="T27" s="19"/>
      <c r="U27" s="19"/>
      <c r="V27" s="19"/>
      <c r="W27" s="19"/>
      <c r="X27" s="19"/>
      <c r="Y27" s="19"/>
      <c r="AF27" s="64">
        <f>TripModeCoefficient!B35</f>
        <v>78</v>
      </c>
      <c r="AG27" s="64" t="str">
        <f>TripModeCoefficient!C35</f>
        <v>wk-dmixed</v>
      </c>
      <c r="AH27" s="65">
        <f>TripModeCoefficient!E35</f>
        <v>0.30945214249199998</v>
      </c>
      <c r="AI27" s="66">
        <f si="1" t="shared"/>
        <v>0.30945214249199998</v>
      </c>
    </row>
    <row r="28" spans="2:35" x14ac:dyDescent="0.25">
      <c r="B28" s="30" t="s">
        <v>0</v>
      </c>
      <c r="C28" s="31" t="s">
        <v>62</v>
      </c>
      <c r="D28" s="31" t="s">
        <v>63</v>
      </c>
      <c r="E28" s="31" t="s">
        <v>64</v>
      </c>
      <c r="F28" s="31" t="s">
        <v>65</v>
      </c>
      <c r="G28" s="31" t="s">
        <v>66</v>
      </c>
      <c r="H28" s="31" t="s">
        <v>7</v>
      </c>
      <c r="I28" s="21"/>
      <c r="J28" s="30" t="str">
        <f ref="J28:P28" si="28" t="shared">J16</f>
        <v>Mode</v>
      </c>
      <c r="K28" s="31" t="str">
        <f si="28" t="shared"/>
        <v>Work</v>
      </c>
      <c r="L28" s="31" t="str">
        <f si="28" t="shared"/>
        <v>School</v>
      </c>
      <c r="M28" s="31" t="str">
        <f si="28" t="shared"/>
        <v>Escort</v>
      </c>
      <c r="N28" s="31" t="str">
        <f si="28" t="shared"/>
        <v>Other</v>
      </c>
      <c r="O28" s="31" t="str">
        <f si="28" t="shared"/>
        <v>WorkBased</v>
      </c>
      <c r="P28" s="31" t="str">
        <f si="28" t="shared"/>
        <v>Total</v>
      </c>
      <c r="S28" s="30" t="str">
        <f ref="S28" si="29" t="shared">S16</f>
        <v>Trip Mode</v>
      </c>
      <c r="T28" s="31"/>
      <c r="U28" s="31"/>
      <c r="V28" s="31"/>
      <c r="W28" s="31"/>
      <c r="X28" s="31"/>
      <c r="Y28" s="31" t="s">
        <v>7</v>
      </c>
      <c r="AF28" s="64">
        <f>TripModeCoefficient!B36</f>
        <v>100</v>
      </c>
      <c r="AG28" s="64" t="str">
        <f>TripModeCoefficient!C36</f>
        <v>mainmode</v>
      </c>
      <c r="AH28" s="65">
        <f>TripModeCoefficient!E36</f>
        <v>4.7152383152799997</v>
      </c>
      <c r="AI28" s="66">
        <f si="1" t="shared"/>
        <v>4.7152383152799997</v>
      </c>
    </row>
    <row r="29" spans="2:35" x14ac:dyDescent="0.25">
      <c r="B29" s="21" t="s">
        <v>1</v>
      </c>
      <c r="C29" s="32">
        <f>C5*(C$12-C$32)/(C$12-C$8)</f>
        <v>1408083.5817603962</v>
      </c>
      <c r="D29" s="32">
        <f ref="D29:G29" si="30" t="shared">D5*(D$12-D$32)/(D$12-D$8)</f>
        <v>59056.886894416246</v>
      </c>
      <c r="E29" s="32">
        <f si="30" t="shared"/>
        <v>186797.32231082252</v>
      </c>
      <c r="F29" s="32">
        <f si="30" t="shared"/>
        <v>781017.18340400152</v>
      </c>
      <c r="G29" s="32">
        <f si="30" t="shared"/>
        <v>95229.014285147539</v>
      </c>
      <c r="H29" s="73">
        <f>SUM(C29:G29)</f>
        <v>2530183.9886547844</v>
      </c>
      <c r="I29" s="21"/>
      <c r="J29" s="21" t="str">
        <f>J17</f>
        <v>Drive Alone</v>
      </c>
      <c r="K29" s="41">
        <f ref="K29:P32" si="31" t="shared">K17-C17</f>
        <v>1.3535788554688066E-2</v>
      </c>
      <c r="L29" s="41">
        <f si="31" t="shared"/>
        <v>-1.436850463014229E-2</v>
      </c>
      <c r="M29" s="41">
        <f si="31" t="shared"/>
        <v>-2.3606835517509306E-2</v>
      </c>
      <c r="N29" s="41">
        <f si="31" t="shared"/>
        <v>-1.671343557807603E-2</v>
      </c>
      <c r="O29" s="41">
        <f si="31" t="shared"/>
        <v>0.16493121279070927</v>
      </c>
      <c r="P29" s="37">
        <f si="31" t="shared"/>
        <v>2.2399659316937326E-3</v>
      </c>
      <c r="S29" s="21" t="s">
        <v>1</v>
      </c>
      <c r="T29" s="41"/>
      <c r="U29" s="41"/>
      <c r="V29" s="41"/>
      <c r="W29" s="41"/>
      <c r="X29" s="41"/>
      <c r="Y29" s="50">
        <f>H17/P17</f>
        <v>0.99567970528675631</v>
      </c>
      <c r="AF29" s="64">
        <f>TripModeCoefficient!B37</f>
        <v>102</v>
      </c>
      <c r="AG29" s="64" t="str">
        <f>TripModeCoefficient!C37</f>
        <v>mm-onlyob</v>
      </c>
      <c r="AH29" s="65">
        <f>TripModeCoefficient!E37</f>
        <v>0.72270508522599997</v>
      </c>
      <c r="AI29" s="66">
        <f si="1" t="shared"/>
        <v>0.72270508522599997</v>
      </c>
    </row>
    <row r="30" spans="2:35" x14ac:dyDescent="0.25">
      <c r="B30" s="21" t="s">
        <v>2</v>
      </c>
      <c r="C30" s="32">
        <f ref="C30:G31" si="32" t="shared">C6*(C$12-C$32)/(C$12-C$8)</f>
        <v>276466.76963073027</v>
      </c>
      <c r="D30" s="32">
        <f si="32" t="shared"/>
        <v>134946.26996451549</v>
      </c>
      <c r="E30" s="32">
        <f si="32" t="shared"/>
        <v>201178.05473820094</v>
      </c>
      <c r="F30" s="32">
        <f si="32" t="shared"/>
        <v>594117.13594665239</v>
      </c>
      <c r="G30" s="32">
        <f si="32" t="shared"/>
        <v>57136.321202780666</v>
      </c>
      <c r="H30" s="46">
        <f ref="H30:H35" si="33" t="shared">SUM(C30:G30)</f>
        <v>1263844.5514828796</v>
      </c>
      <c r="I30" s="21"/>
      <c r="J30" s="21" t="str">
        <f>J18</f>
        <v>Shared Ride 2</v>
      </c>
      <c r="K30" s="41">
        <f si="31" t="shared"/>
        <v>-9.4629070262594872E-3</v>
      </c>
      <c r="L30" s="41">
        <f si="31" t="shared"/>
        <v>-1.3751334698143824E-3</v>
      </c>
      <c r="M30" s="41">
        <f si="31" t="shared"/>
        <v>1.4908161150905375E-2</v>
      </c>
      <c r="N30" s="41">
        <f si="31" t="shared"/>
        <v>1.441462770070312E-2</v>
      </c>
      <c r="O30" s="41">
        <f si="31" t="shared"/>
        <v>-1.3207545866273068E-2</v>
      </c>
      <c r="P30" s="37">
        <f si="31" t="shared"/>
        <v>2.6224124193859333E-3</v>
      </c>
      <c r="S30" s="21" t="s">
        <v>2</v>
      </c>
      <c r="T30" s="41"/>
      <c r="U30" s="41"/>
      <c r="V30" s="41"/>
      <c r="W30" s="41"/>
      <c r="X30" s="41"/>
      <c r="Y30" s="50">
        <f ref="Y30:Y36" si="34" t="shared">H18/P18</f>
        <v>0.98993533296670133</v>
      </c>
      <c r="AF30" s="64">
        <f>TripModeCoefficient!B38</f>
        <v>103</v>
      </c>
      <c r="AG30" s="64" t="str">
        <f>TripModeCoefficient!C38</f>
        <v>mm-onlyrt</v>
      </c>
      <c r="AH30" s="65">
        <f>TripModeCoefficient!E38</f>
        <v>0.58309321095</v>
      </c>
      <c r="AI30" s="66">
        <f si="1" t="shared"/>
        <v>0.58309321095</v>
      </c>
    </row>
    <row r="31" spans="2:35" x14ac:dyDescent="0.25">
      <c r="B31" s="21" t="s">
        <v>3</v>
      </c>
      <c r="C31" s="32">
        <f si="32" t="shared"/>
        <v>87741.489962087042</v>
      </c>
      <c r="D31" s="32">
        <f si="32" t="shared"/>
        <v>172846.70433477729</v>
      </c>
      <c r="E31" s="32">
        <f si="32" t="shared"/>
        <v>158846.96503059161</v>
      </c>
      <c r="F31" s="32">
        <f si="32" t="shared"/>
        <v>295035.92201849341</v>
      </c>
      <c r="G31" s="32">
        <f si="32" t="shared"/>
        <v>38226.882862096099</v>
      </c>
      <c r="H31" s="46">
        <f si="33" t="shared"/>
        <v>752697.96420804539</v>
      </c>
      <c r="I31" s="21"/>
      <c r="J31" s="21" t="str">
        <f>J19</f>
        <v>Shared Ride 3+</v>
      </c>
      <c r="K31" s="41">
        <f si="31" t="shared"/>
        <v>4.3579876836532458E-3</v>
      </c>
      <c r="L31" s="41">
        <f si="31" t="shared"/>
        <v>8.7352073402807151E-3</v>
      </c>
      <c r="M31" s="41">
        <f si="31" t="shared"/>
        <v>1.2690793557468272E-3</v>
      </c>
      <c r="N31" s="41">
        <f si="31" t="shared"/>
        <v>-5.7511675425362119E-3</v>
      </c>
      <c r="O31" s="41">
        <f si="31" t="shared"/>
        <v>-9.7503849125379127E-2</v>
      </c>
      <c r="P31" s="37">
        <f si="31" t="shared"/>
        <v>-3.7675401038730072E-3</v>
      </c>
      <c r="S31" s="21" t="s">
        <v>3</v>
      </c>
      <c r="T31" s="41"/>
      <c r="U31" s="41"/>
      <c r="V31" s="41"/>
      <c r="W31" s="41"/>
      <c r="X31" s="41"/>
      <c r="Y31" s="50">
        <f si="34" t="shared"/>
        <v>1.0251408510083224</v>
      </c>
      <c r="AF31" s="64">
        <f>TripModeCoefficient!B39</f>
        <v>104</v>
      </c>
      <c r="AG31" s="64" t="str">
        <f>TripModeCoefficient!C39</f>
        <v>mm-frstob</v>
      </c>
      <c r="AH31" s="65">
        <f>TripModeCoefficient!E39</f>
        <v>-0.165749142855</v>
      </c>
      <c r="AI31" s="66">
        <f si="1" t="shared"/>
        <v>-0.165749142855</v>
      </c>
    </row>
    <row r="32" spans="2:35" x14ac:dyDescent="0.25">
      <c r="B32" s="21" t="s">
        <v>69</v>
      </c>
      <c r="C32" s="75">
        <f>C8</f>
        <v>13595.604500000001</v>
      </c>
      <c r="D32" s="75">
        <f ref="D32:G32" si="35" t="shared">D8</f>
        <v>2204.1538999999998</v>
      </c>
      <c r="E32" s="75">
        <f si="35" t="shared"/>
        <v>0</v>
      </c>
      <c r="F32" s="75">
        <f si="35" t="shared"/>
        <v>8793.3968999999997</v>
      </c>
      <c r="G32" s="75">
        <f si="35" t="shared"/>
        <v>1099.6786999999999</v>
      </c>
      <c r="H32" s="76">
        <v>25693</v>
      </c>
      <c r="I32" s="21"/>
      <c r="J32" s="21" t="str">
        <f>J20</f>
        <v>Transit</v>
      </c>
      <c r="K32" s="41">
        <f si="31" t="shared"/>
        <v>-3.490565264255693E-4</v>
      </c>
      <c r="L32" s="41">
        <f si="31" t="shared"/>
        <v>-2.6503990248176283E-4</v>
      </c>
      <c r="M32" s="41">
        <f si="31" t="shared"/>
        <v>0</v>
      </c>
      <c r="N32" s="41">
        <f si="31" t="shared"/>
        <v>1.3934767451803665E-5</v>
      </c>
      <c r="O32" s="41">
        <f si="31" t="shared"/>
        <v>-1.2676989991328214E-3</v>
      </c>
      <c r="P32" s="37">
        <f si="31" t="shared"/>
        <v>-2.1087188516284196E-4</v>
      </c>
      <c r="S32" s="21" t="s">
        <v>69</v>
      </c>
      <c r="T32" s="41"/>
      <c r="U32" s="41"/>
      <c r="V32" s="41"/>
      <c r="W32" s="41"/>
      <c r="X32" s="41"/>
      <c r="Y32" s="50">
        <f si="34" t="shared"/>
        <v>1.0419252200008111</v>
      </c>
      <c r="AF32" s="64">
        <f>TripModeCoefficient!B40</f>
        <v>105</v>
      </c>
      <c r="AG32" s="64" t="str">
        <f>TripModeCoefficient!C40</f>
        <v>mm-frstrt</v>
      </c>
      <c r="AH32" s="65">
        <f>TripModeCoefficient!E40</f>
        <v>0.133840375096</v>
      </c>
      <c r="AI32" s="66">
        <f si="1" t="shared"/>
        <v>0.133840375096</v>
      </c>
    </row>
    <row r="33" spans="2:35" x14ac:dyDescent="0.25">
      <c r="B33" s="21" t="s">
        <v>4</v>
      </c>
      <c r="C33" s="32">
        <f ref="C33:G33" si="36" t="shared">C9*(C$12-C$32)/(C$12-C$8)</f>
        <v>11095.103722913622</v>
      </c>
      <c r="D33" s="32">
        <f si="36" t="shared"/>
        <v>1428.4769796934315</v>
      </c>
      <c r="E33" s="32">
        <f si="36" t="shared"/>
        <v>370.90716727784422</v>
      </c>
      <c r="F33" s="32">
        <f si="36" t="shared"/>
        <v>5471.0079918571164</v>
      </c>
      <c r="G33" s="32">
        <f si="36" t="shared"/>
        <v>2385.3958794805499</v>
      </c>
      <c r="H33" s="46">
        <f si="33" t="shared"/>
        <v>20750.891741222567</v>
      </c>
      <c r="I33" s="21"/>
      <c r="J33" s="21" t="str">
        <f ref="J33:J36" si="37" t="shared">J21</f>
        <v>Bike</v>
      </c>
      <c r="K33" s="41">
        <f ref="K33:K36" si="38" t="shared">K21-C21</f>
        <v>1.8384657158411997E-4</v>
      </c>
      <c r="L33" s="41">
        <f ref="L33:P36" si="39" t="shared">L21-D21</f>
        <v>3.1671899134990216E-3</v>
      </c>
      <c r="M33" s="41">
        <f si="39" t="shared"/>
        <v>2.9848228548743712E-3</v>
      </c>
      <c r="N33" s="41">
        <f si="39" t="shared"/>
        <v>3.78683387888886E-3</v>
      </c>
      <c r="O33" s="41">
        <f si="39" t="shared"/>
        <v>-9.0219338165647422E-3</v>
      </c>
      <c r="P33" s="37">
        <f si="39" t="shared"/>
        <v>1.7057118890158951E-3</v>
      </c>
      <c r="S33" s="21" t="s">
        <v>4</v>
      </c>
      <c r="T33" s="41"/>
      <c r="U33" s="41"/>
      <c r="V33" s="41"/>
      <c r="W33" s="41"/>
      <c r="X33" s="41"/>
      <c r="Y33" s="50">
        <f si="34" t="shared"/>
        <v>0.71284485019400368</v>
      </c>
      <c r="AF33" s="64">
        <f>TripModeCoefficient!B41</f>
        <v>106</v>
      </c>
      <c r="AG33" s="64" t="str">
        <f>TripModeCoefficient!C41</f>
        <v>mm-lastob</v>
      </c>
      <c r="AH33" s="65">
        <f>TripModeCoefficient!E41</f>
        <v>-3.6932048336999999E-2</v>
      </c>
      <c r="AI33" s="66">
        <f si="1" t="shared"/>
        <v>-3.6932048336999999E-2</v>
      </c>
    </row>
    <row r="34" spans="2:35" x14ac:dyDescent="0.25">
      <c r="B34" s="21" t="s">
        <v>5</v>
      </c>
      <c r="C34" s="32">
        <f ref="C34:G34" si="40" t="shared">C10*(C$12-C$32)/(C$12-C$8)</f>
        <v>31936.637056249914</v>
      </c>
      <c r="D34" s="32">
        <f si="40" t="shared"/>
        <v>20669.730917293491</v>
      </c>
      <c r="E34" s="32">
        <f si="40" t="shared"/>
        <v>13124.562880130574</v>
      </c>
      <c r="F34" s="32">
        <f si="40" t="shared"/>
        <v>79393.508727868219</v>
      </c>
      <c r="G34" s="32">
        <f si="40" t="shared"/>
        <v>24879.794736429885</v>
      </c>
      <c r="H34" s="46">
        <f si="33" t="shared"/>
        <v>170004.23431797209</v>
      </c>
      <c r="I34" s="21"/>
      <c r="J34" s="21" t="str">
        <f si="37" t="shared"/>
        <v>Walk</v>
      </c>
      <c r="K34" s="41">
        <f si="38" t="shared"/>
        <v>-7.8094162023531182E-3</v>
      </c>
      <c r="L34" s="41">
        <f si="39" t="shared"/>
        <v>-1.1058766198587582E-2</v>
      </c>
      <c r="M34" s="41">
        <f si="39" t="shared"/>
        <v>5.1941201098873804E-3</v>
      </c>
      <c r="N34" s="41">
        <f si="39" t="shared"/>
        <v>4.5223145393556638E-3</v>
      </c>
      <c r="O34" s="41">
        <f si="39" t="shared"/>
        <v>-3.4977626669563042E-2</v>
      </c>
      <c r="P34" s="37">
        <f si="39" t="shared"/>
        <v>-3.4550368827983916E-3</v>
      </c>
      <c r="S34" s="21" t="s">
        <v>5</v>
      </c>
      <c r="T34" s="41"/>
      <c r="U34" s="41"/>
      <c r="V34" s="41"/>
      <c r="W34" s="41"/>
      <c r="X34" s="41"/>
      <c r="Y34" s="50">
        <f si="34" t="shared"/>
        <v>1.110573629938886</v>
      </c>
      <c r="AF34" s="64">
        <f>TripModeCoefficient!B42</f>
        <v>107</v>
      </c>
      <c r="AG34" s="64" t="str">
        <f>TripModeCoefficient!C42</f>
        <v>mm-lastrt</v>
      </c>
      <c r="AH34" s="65">
        <f>TripModeCoefficient!E42</f>
        <v>-0.32011091736000002</v>
      </c>
      <c r="AI34" s="66">
        <f si="1" t="shared"/>
        <v>-0.32011091736000002</v>
      </c>
    </row>
    <row r="35" spans="2:35" x14ac:dyDescent="0.25">
      <c r="B35" s="20" t="s">
        <v>24</v>
      </c>
      <c r="C35" s="32">
        <f ref="C35:G35" si="41" t="shared">C11*(C$12-C$32)/(C$12-C$8)</f>
        <v>834.81336762307296</v>
      </c>
      <c r="D35" s="32">
        <f si="41" t="shared"/>
        <v>133638.77700930406</v>
      </c>
      <c r="E35" s="32">
        <f si="41" t="shared"/>
        <v>420.18787297647816</v>
      </c>
      <c r="F35" s="32">
        <f si="41" t="shared"/>
        <v>481.84501112737013</v>
      </c>
      <c r="G35" s="32">
        <f si="41" t="shared"/>
        <v>1977.9123340652427</v>
      </c>
      <c r="H35" s="48">
        <f si="33" t="shared"/>
        <v>137353.53559509621</v>
      </c>
      <c r="I35" s="21"/>
      <c r="J35" s="20" t="str">
        <f si="37" t="shared"/>
        <v>School Bus</v>
      </c>
      <c r="K35" s="42">
        <f si="38" t="shared"/>
        <v>-4.5624305488731659E-4</v>
      </c>
      <c r="L35" s="42">
        <f si="39" t="shared"/>
        <v>1.5165046947246241E-2</v>
      </c>
      <c r="M35" s="42">
        <f si="39" t="shared"/>
        <v>-7.4934795390445817E-4</v>
      </c>
      <c r="N35" s="42">
        <f si="39" t="shared"/>
        <v>-2.7310776578736616E-4</v>
      </c>
      <c r="O35" s="42">
        <f si="39" t="shared"/>
        <v>-8.9525583137964205E-3</v>
      </c>
      <c r="P35" s="39">
        <f si="39" t="shared"/>
        <v>8.6535863173882802E-4</v>
      </c>
      <c r="S35" s="20" t="s">
        <v>24</v>
      </c>
      <c r="T35" s="42"/>
      <c r="U35" s="42"/>
      <c r="V35" s="42"/>
      <c r="W35" s="42"/>
      <c r="X35" s="42"/>
      <c r="Y35" s="51">
        <f si="34" t="shared"/>
        <v>0.97005151267866319</v>
      </c>
      <c r="AF35" s="64">
        <f>TripModeCoefficient!B43</f>
        <v>115</v>
      </c>
      <c r="AG35" s="64" t="str">
        <f>TripModeCoefficient!C43</f>
        <v>s3-wttour</v>
      </c>
      <c r="AH35" s="65">
        <f>TripModeCoefficient!E43</f>
        <v>-3.12809755411</v>
      </c>
      <c r="AI35" s="66">
        <f si="1" t="shared"/>
        <v>-3.12809755411</v>
      </c>
    </row>
    <row ht="15.75" r="36" spans="2:35" thickBot="1" x14ac:dyDescent="0.3">
      <c r="B36" s="34" t="s">
        <v>7</v>
      </c>
      <c r="C36" s="35">
        <f>SUM(C29:C35)</f>
        <v>1829754</v>
      </c>
      <c r="D36" s="35">
        <f ref="D36:H36" si="42" t="shared">SUM(D29:D35)</f>
        <v>524791</v>
      </c>
      <c r="E36" s="35">
        <f si="42" t="shared"/>
        <v>560738.00000000012</v>
      </c>
      <c r="F36" s="35">
        <f si="42" t="shared"/>
        <v>1764310.0000000002</v>
      </c>
      <c r="G36" s="35">
        <f si="42" t="shared"/>
        <v>220934.99999999997</v>
      </c>
      <c r="H36" s="35">
        <f si="42" t="shared"/>
        <v>4900528.1660000011</v>
      </c>
      <c r="I36" s="21"/>
      <c r="J36" s="34" t="str">
        <f si="37" t="shared"/>
        <v>Total</v>
      </c>
      <c r="K36" s="43">
        <f si="38" t="shared"/>
        <v>0</v>
      </c>
      <c r="L36" s="43">
        <f si="39" t="shared"/>
        <v>0</v>
      </c>
      <c r="M36" s="43">
        <f si="39" t="shared"/>
        <v>0</v>
      </c>
      <c r="N36" s="43">
        <f si="39" t="shared"/>
        <v>0</v>
      </c>
      <c r="O36" s="43">
        <f si="39" t="shared"/>
        <v>0</v>
      </c>
      <c r="P36" s="43">
        <f si="39" t="shared"/>
        <v>0</v>
      </c>
      <c r="S36" s="34" t="str">
        <f ref="S36" si="43" t="shared">S24</f>
        <v>School Bus</v>
      </c>
      <c r="T36" s="43"/>
      <c r="U36" s="43"/>
      <c r="V36" s="43"/>
      <c r="W36" s="43"/>
      <c r="X36" s="43"/>
      <c r="Y36" s="52">
        <f si="34" t="shared"/>
        <v>1</v>
      </c>
      <c r="AF36" s="64">
        <f>TripModeCoefficient!B44</f>
        <v>116</v>
      </c>
      <c r="AG36" s="64" t="str">
        <f>TripModeCoefficient!C44</f>
        <v>s3-sbtour</v>
      </c>
      <c r="AH36" s="65">
        <f>TripModeCoefficient!E44</f>
        <v>2.3773241697900001</v>
      </c>
      <c r="AI36" s="66">
        <f si="1" t="shared"/>
        <v>2.3773241697900001</v>
      </c>
    </row>
    <row r="37" spans="2:35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AF37" s="64">
        <f>TripModeCoefficient!B45</f>
        <v>118</v>
      </c>
      <c r="AG37" s="64" t="str">
        <f>TripModeCoefficient!C45</f>
        <v>s2-wttour</v>
      </c>
      <c r="AH37" s="65">
        <f>TripModeCoefficient!E45</f>
        <v>-0.99931273161300005</v>
      </c>
      <c r="AI37" s="66">
        <f si="1" t="shared"/>
        <v>-0.99931273161300005</v>
      </c>
    </row>
    <row ht="15.75" r="38" spans="2:35" thickBot="1" x14ac:dyDescent="0.3">
      <c r="B38" s="18" t="s">
        <v>173</v>
      </c>
      <c r="C38" s="19"/>
      <c r="D38" s="19"/>
      <c r="E38" s="19"/>
      <c r="F38" s="19"/>
      <c r="G38" s="19"/>
      <c r="H38" s="19"/>
      <c r="AF38" s="64">
        <f>TripModeCoefficient!B46</f>
        <v>119</v>
      </c>
      <c r="AG38" s="64" t="str">
        <f>TripModeCoefficient!C46</f>
        <v>s2-sbtour</v>
      </c>
      <c r="AH38" s="65">
        <f>TripModeCoefficient!E46</f>
        <v>3.3103623093099999</v>
      </c>
      <c r="AI38" s="66">
        <f si="1" t="shared"/>
        <v>3.3103623093099999</v>
      </c>
    </row>
    <row ht="15.75" r="39" spans="2:35" thickBot="1" x14ac:dyDescent="0.3">
      <c r="B39" s="30" t="s">
        <v>0</v>
      </c>
      <c r="C39" s="31" t="s">
        <v>62</v>
      </c>
      <c r="D39" s="31" t="s">
        <v>63</v>
      </c>
      <c r="E39" s="31" t="s">
        <v>64</v>
      </c>
      <c r="F39" s="31" t="s">
        <v>65</v>
      </c>
      <c r="G39" s="31" t="s">
        <v>66</v>
      </c>
      <c r="H39" s="31" t="s">
        <v>7</v>
      </c>
      <c r="S39" s="18" t="s">
        <v>77</v>
      </c>
      <c r="T39" s="19"/>
      <c r="U39" s="19"/>
      <c r="V39" s="19"/>
      <c r="W39" s="19"/>
      <c r="X39" s="19"/>
      <c r="Y39" s="19"/>
      <c r="AF39" s="64">
        <f>TripModeCoefficient!B47</f>
        <v>120</v>
      </c>
      <c r="AG39" s="64" t="str">
        <f>TripModeCoefficient!C47</f>
        <v>s2-s3tour</v>
      </c>
      <c r="AH39" s="65">
        <f>TripModeCoefficient!E47</f>
        <v>4.5704245469</v>
      </c>
      <c r="AI39" s="66">
        <f si="1" t="shared"/>
        <v>4.5704245469</v>
      </c>
    </row>
    <row r="40" spans="2:35" x14ac:dyDescent="0.25">
      <c r="B40" s="21" t="s">
        <v>1</v>
      </c>
      <c r="C40" s="32">
        <f>C29*(K$12-C$32)/(C$36-C$32)</f>
        <v>1407899.0582665813</v>
      </c>
      <c r="D40" s="32">
        <f ref="D40:G42" si="44" t="shared">D29*(L$12-D$32)/(D$36-D$32)</f>
        <v>59083.895985963609</v>
      </c>
      <c r="E40" s="32">
        <f si="44" t="shared"/>
        <v>186924.24393874931</v>
      </c>
      <c r="F40" s="32">
        <f si="44" t="shared"/>
        <v>781587.09143573057</v>
      </c>
      <c r="G40" s="32">
        <f si="44" t="shared"/>
        <v>95433.910038434653</v>
      </c>
      <c r="H40" s="73">
        <f>SUM(C40:G40)</f>
        <v>2530928.1996654589</v>
      </c>
      <c r="S40" s="30" t="str">
        <f ref="S40" si="45" t="shared">S28</f>
        <v>Trip Mode</v>
      </c>
      <c r="T40" s="31"/>
      <c r="U40" s="31"/>
      <c r="V40" s="31"/>
      <c r="W40" s="31"/>
      <c r="X40" s="31"/>
      <c r="Y40" s="31" t="s">
        <v>79</v>
      </c>
      <c r="Z40" s="57" t="s">
        <v>77</v>
      </c>
      <c r="AB40" t="s">
        <v>170</v>
      </c>
      <c r="AF40" s="64">
        <f>TripModeCoefficient!B48</f>
        <v>121</v>
      </c>
      <c r="AG40" s="64" t="str">
        <f>TripModeCoefficient!C48</f>
        <v>da-dttour</v>
      </c>
      <c r="AH40" s="65">
        <f>TripModeCoefficient!E48</f>
        <v>-1.6664000000000001</v>
      </c>
      <c r="AI40" s="66">
        <f si="1" t="shared"/>
        <v>-1.6664000000000001</v>
      </c>
    </row>
    <row r="41" spans="2:35" x14ac:dyDescent="0.25">
      <c r="B41" s="21" t="s">
        <v>2</v>
      </c>
      <c r="C41" s="32">
        <f ref="C41:C42" si="46" t="shared">C30*(K$12-C$32)/(C$36-C$32)</f>
        <v>276430.53981105419</v>
      </c>
      <c r="D41" s="32">
        <f si="44" t="shared"/>
        <v>135007.98632565665</v>
      </c>
      <c r="E41" s="32">
        <f si="44" t="shared"/>
        <v>201314.7475231651</v>
      </c>
      <c r="F41" s="32">
        <f si="44" t="shared"/>
        <v>594550.66306328773</v>
      </c>
      <c r="G41" s="32">
        <f si="44" t="shared"/>
        <v>57259.256315159793</v>
      </c>
      <c r="H41" s="46">
        <f ref="H41:H46" si="47" t="shared">SUM(C41:G41)</f>
        <v>1264563.1930383237</v>
      </c>
      <c r="S41" s="21" t="str">
        <f>S29</f>
        <v>Drive Alone</v>
      </c>
      <c r="T41" s="41"/>
      <c r="U41" s="41"/>
      <c r="V41" s="41"/>
      <c r="W41" s="41"/>
      <c r="X41" s="41"/>
      <c r="Y41" s="53">
        <f>LN(Y29)</f>
        <v>-4.3296541532019256E-3</v>
      </c>
      <c r="Z41" s="55">
        <f>AB41*Y41-$Y$46</f>
        <v>-0.10920631971944686</v>
      </c>
      <c r="AB41" s="72">
        <v>1</v>
      </c>
      <c r="AF41" s="64">
        <f>TripModeCoefficient!B49</f>
        <v>122</v>
      </c>
      <c r="AG41" s="64" t="str">
        <f>TripModeCoefficient!C49</f>
        <v>da-wttour</v>
      </c>
      <c r="AH41" s="65">
        <f>TripModeCoefficient!E49</f>
        <v>-4.4721669229399996</v>
      </c>
      <c r="AI41" s="66">
        <f si="1" t="shared"/>
        <v>-4.4721669229399996</v>
      </c>
    </row>
    <row r="42" spans="2:35" x14ac:dyDescent="0.25">
      <c r="B42" s="21" t="s">
        <v>3</v>
      </c>
      <c r="C42" s="32">
        <f si="46" t="shared"/>
        <v>87729.991804953446</v>
      </c>
      <c r="D42" s="32">
        <f si="44" t="shared"/>
        <v>172925.75409013242</v>
      </c>
      <c r="E42" s="32">
        <f si="44" t="shared"/>
        <v>158954.89546098269</v>
      </c>
      <c r="F42" s="32">
        <f si="44" t="shared"/>
        <v>295251.20965259394</v>
      </c>
      <c r="G42" s="32">
        <f si="44" t="shared"/>
        <v>38309.132227151946</v>
      </c>
      <c r="H42" s="46">
        <f si="47" t="shared"/>
        <v>753170.98323581438</v>
      </c>
      <c r="S42" s="21" t="str">
        <f>S30</f>
        <v>Shared Ride 2</v>
      </c>
      <c r="T42" s="41"/>
      <c r="U42" s="41"/>
      <c r="V42" s="41"/>
      <c r="W42" s="41"/>
      <c r="X42" s="41"/>
      <c r="Y42" s="53">
        <f ref="Y42:Y47" si="48" t="shared">LN(Y30)</f>
        <v>-1.0115658222616161E-2</v>
      </c>
      <c r="Z42" s="55">
        <f ref="Z42:Z47" si="49" t="shared">Y42-$Y$46</f>
        <v>-0.11499232378886109</v>
      </c>
      <c r="AB42" s="72">
        <v>1</v>
      </c>
      <c r="AF42" s="64">
        <f>TripModeCoefficient!B50</f>
        <v>124</v>
      </c>
      <c r="AG42" s="64" t="str">
        <f>TripModeCoefficient!C50</f>
        <v>da-s3tour</v>
      </c>
      <c r="AH42" s="65">
        <f>TripModeCoefficient!E50</f>
        <v>2.0504122622600001</v>
      </c>
      <c r="AI42" s="66">
        <f si="1" t="shared"/>
        <v>2.0504122622600001</v>
      </c>
    </row>
    <row r="43" spans="2:35" x14ac:dyDescent="0.25">
      <c r="B43" s="21" t="s">
        <v>69</v>
      </c>
      <c r="C43" s="75">
        <f>C32</f>
        <v>13595.604500000001</v>
      </c>
      <c r="D43" s="75">
        <f ref="D43:G43" si="50" t="shared">D32</f>
        <v>2204.1538999999998</v>
      </c>
      <c r="E43" s="75">
        <f si="50" t="shared"/>
        <v>0</v>
      </c>
      <c r="F43" s="75">
        <f si="50" t="shared"/>
        <v>8793.3968999999997</v>
      </c>
      <c r="G43" s="75">
        <f si="50" t="shared"/>
        <v>1099.6786999999999</v>
      </c>
      <c r="H43" s="76">
        <f si="47" t="shared"/>
        <v>25692.833999999999</v>
      </c>
      <c r="S43" s="21" t="str">
        <f>S31</f>
        <v>Shared Ride 3+</v>
      </c>
      <c r="T43" s="41"/>
      <c r="U43" s="41"/>
      <c r="V43" s="41"/>
      <c r="W43" s="41"/>
      <c r="X43" s="41"/>
      <c r="Y43" s="53">
        <f si="48" t="shared"/>
        <v>2.4830018767585865E-2</v>
      </c>
      <c r="Z43" s="55">
        <f si="49" t="shared"/>
        <v>-8.0046646798659069E-2</v>
      </c>
      <c r="AB43" s="72">
        <v>1</v>
      </c>
      <c r="AF43" s="64">
        <f>TripModeCoefficient!B51</f>
        <v>125</v>
      </c>
      <c r="AG43" s="64" t="str">
        <f>TripModeCoefficient!C51</f>
        <v>da-s2tour</v>
      </c>
      <c r="AH43" s="65">
        <f>TripModeCoefficient!E51</f>
        <v>2.5001086848899998</v>
      </c>
      <c r="AI43" s="66">
        <f si="1" t="shared"/>
        <v>2.5001086848899998</v>
      </c>
    </row>
    <row r="44" spans="2:35" x14ac:dyDescent="0.25">
      <c r="B44" s="21" t="s">
        <v>4</v>
      </c>
      <c r="C44" s="32">
        <f ref="C44:C46" si="51" t="shared">C33*(K$12-C$32)/(C$36-C$32)</f>
        <v>11093.649755741708</v>
      </c>
      <c r="D44" s="32">
        <f ref="D44:D46" si="52" t="shared">D33*(L$12-D$32)/(D$36-D$32)</f>
        <v>1429.1302797156088</v>
      </c>
      <c r="E44" s="32">
        <f ref="E44:E46" si="53" t="shared">E33*(M$12-E$32)/(E$36-E$32)</f>
        <v>371.15918449574781</v>
      </c>
      <c r="F44" s="32">
        <f ref="F44:F46" si="54" t="shared">F33*(N$12-F$32)/(F$36-F$32)</f>
        <v>5475.0001849387381</v>
      </c>
      <c r="G44" s="32">
        <f ref="G44:G46" si="55" t="shared">G33*(O$12-G$32)/(G$36-G$32)</f>
        <v>2390.5283224579671</v>
      </c>
      <c r="H44" s="46">
        <f si="47" t="shared"/>
        <v>20759.467727349773</v>
      </c>
      <c r="S44" s="21" t="str">
        <f>S32</f>
        <v>Transit</v>
      </c>
      <c r="T44" s="41"/>
      <c r="U44" s="41"/>
      <c r="V44" s="41"/>
      <c r="W44" s="41"/>
      <c r="X44" s="41"/>
      <c r="Y44" s="53">
        <f si="48" t="shared"/>
        <v>4.1070174921730089E-2</v>
      </c>
      <c r="Z44" s="55">
        <f si="49" t="shared"/>
        <v>-6.3806490644514852E-2</v>
      </c>
      <c r="AB44" s="72">
        <v>1</v>
      </c>
      <c r="AF44" s="64">
        <f>TripModeCoefficient!B52</f>
        <v>127</v>
      </c>
      <c r="AG44" s="64" t="str">
        <f>TripModeCoefficient!C52</f>
        <v>bi-wttour</v>
      </c>
      <c r="AH44" s="65">
        <f>TripModeCoefficient!E52</f>
        <v>-0.59112748741700005</v>
      </c>
      <c r="AI44" s="66">
        <f si="1" t="shared"/>
        <v>-0.59112748741700005</v>
      </c>
    </row>
    <row r="45" spans="2:35" x14ac:dyDescent="0.25">
      <c r="B45" s="21" t="s">
        <v>5</v>
      </c>
      <c r="C45" s="32">
        <f si="51" t="shared"/>
        <v>31932.451892864265</v>
      </c>
      <c r="D45" s="32">
        <f si="52" t="shared"/>
        <v>20679.184017244439</v>
      </c>
      <c r="E45" s="32">
        <f si="53" t="shared"/>
        <v>13133.480518060103</v>
      </c>
      <c r="F45" s="32">
        <f si="54" t="shared"/>
        <v>79451.442150144474</v>
      </c>
      <c r="G45" s="32">
        <f si="55" t="shared"/>
        <v>24933.326365654619</v>
      </c>
      <c r="H45" s="46">
        <f si="47" t="shared"/>
        <v>170129.88494396789</v>
      </c>
      <c r="S45" s="21" t="str">
        <f ref="S45:S48" si="56" t="shared">S33</f>
        <v>Bike</v>
      </c>
      <c r="T45" s="41"/>
      <c r="U45" s="41"/>
      <c r="V45" s="41"/>
      <c r="W45" s="41"/>
      <c r="X45" s="41"/>
      <c r="Y45" s="53">
        <f si="48" t="shared"/>
        <v>-0.33849148365739773</v>
      </c>
      <c r="Z45" s="55">
        <f si="49" t="shared"/>
        <v>-0.44336814922364265</v>
      </c>
      <c r="AB45" s="72">
        <v>1</v>
      </c>
      <c r="AF45" s="64">
        <f>TripModeCoefficient!B53</f>
        <v>128</v>
      </c>
      <c r="AG45" s="64" t="str">
        <f>TripModeCoefficient!C53</f>
        <v>bi-sbtour</v>
      </c>
      <c r="AH45" s="65">
        <f>TripModeCoefficient!E53</f>
        <v>0</v>
      </c>
      <c r="AI45" s="66">
        <f si="1" t="shared"/>
        <v>0</v>
      </c>
    </row>
    <row r="46" spans="2:35" x14ac:dyDescent="0.25">
      <c r="B46" s="20" t="s">
        <v>24</v>
      </c>
      <c r="C46" s="32">
        <f si="51" t="shared"/>
        <v>834.70396880522389</v>
      </c>
      <c r="D46" s="32">
        <f si="52" t="shared"/>
        <v>133699.8954012873</v>
      </c>
      <c r="E46" s="32">
        <f si="53" t="shared"/>
        <v>420.47337454691569</v>
      </c>
      <c r="F46" s="32">
        <f si="54" t="shared"/>
        <v>482.19661330428153</v>
      </c>
      <c r="G46" s="32">
        <f si="55" t="shared"/>
        <v>1982.168031141038</v>
      </c>
      <c r="H46" s="48">
        <f si="47" t="shared"/>
        <v>137419.43738908478</v>
      </c>
      <c r="S46" s="21" t="str">
        <f si="56" t="shared"/>
        <v>Walk</v>
      </c>
      <c r="T46" s="41"/>
      <c r="U46" s="41"/>
      <c r="V46" s="41"/>
      <c r="W46" s="41"/>
      <c r="X46" s="41"/>
      <c r="Y46" s="53">
        <f si="48" t="shared"/>
        <v>0.10487666556624493</v>
      </c>
      <c r="Z46" s="56">
        <f si="49" t="shared"/>
        <v>0</v>
      </c>
      <c r="AA46" t="s">
        <v>78</v>
      </c>
      <c r="AB46" s="72">
        <v>1</v>
      </c>
      <c r="AF46" s="64">
        <f>TripModeCoefficient!B54</f>
        <v>130</v>
      </c>
      <c r="AG46" s="64" t="str">
        <f>TripModeCoefficient!C54</f>
        <v>bi-s2tour</v>
      </c>
      <c r="AH46" s="65">
        <f>TripModeCoefficient!E54</f>
        <v>-1.0520453446E-2</v>
      </c>
      <c r="AI46" s="66">
        <f si="1" t="shared"/>
        <v>-1.0520453446E-2</v>
      </c>
    </row>
    <row ht="15.75" r="47" spans="2:35" thickBot="1" x14ac:dyDescent="0.3">
      <c r="B47" s="34" t="s">
        <v>7</v>
      </c>
      <c r="C47" s="35">
        <f>SUM(C40:C46)</f>
        <v>1829516</v>
      </c>
      <c r="D47" s="35">
        <f ref="D47:H47" si="57" t="shared">SUM(D40:D46)</f>
        <v>525030</v>
      </c>
      <c r="E47" s="35">
        <f si="57" t="shared"/>
        <v>561119</v>
      </c>
      <c r="F47" s="35">
        <f si="57" t="shared"/>
        <v>1765590.9999999995</v>
      </c>
      <c r="G47" s="35">
        <f si="57" t="shared"/>
        <v>221408.00000000003</v>
      </c>
      <c r="H47" s="35">
        <f si="57" t="shared"/>
        <v>4902664</v>
      </c>
      <c r="S47" s="20" t="str">
        <f si="56" t="shared"/>
        <v>School Bus</v>
      </c>
      <c r="T47" s="42"/>
      <c r="U47" s="42"/>
      <c r="V47" s="42"/>
      <c r="W47" s="42"/>
      <c r="X47" s="42"/>
      <c r="Y47" s="53">
        <f si="48" t="shared"/>
        <v>-3.0406103040482559E-2</v>
      </c>
      <c r="Z47" s="55">
        <f si="49" t="shared"/>
        <v>-0.1352827686067275</v>
      </c>
      <c r="AB47" s="72">
        <v>1</v>
      </c>
      <c r="AF47" s="64">
        <f>TripModeCoefficient!B55</f>
        <v>131</v>
      </c>
      <c r="AG47" s="64" t="str">
        <f>TripModeCoefficient!C55</f>
        <v>bi-datour</v>
      </c>
      <c r="AH47" s="65">
        <f>TripModeCoefficient!E55</f>
        <v>-1.1576030554500001</v>
      </c>
      <c r="AI47" s="66">
        <f si="1" t="shared"/>
        <v>-1.1576030554500001</v>
      </c>
    </row>
    <row ht="15.75" r="48" spans="2:35" thickBot="1" x14ac:dyDescent="0.3">
      <c r="S48" s="34" t="str">
        <f si="56" t="shared"/>
        <v>School Bus</v>
      </c>
      <c r="T48" s="43"/>
      <c r="U48" s="43"/>
      <c r="V48" s="43"/>
      <c r="W48" s="43"/>
      <c r="X48" s="43"/>
      <c r="Y48" s="52"/>
      <c r="AF48" s="64">
        <f>TripModeCoefficient!B56</f>
        <v>141</v>
      </c>
      <c r="AG48" s="64" t="str">
        <f>TripModeCoefficient!C56</f>
        <v>wk-wktour</v>
      </c>
      <c r="AH48" s="65">
        <f>TripModeCoefficient!E56</f>
        <v>1.59837047918</v>
      </c>
      <c r="AI48" s="66">
        <f si="1" t="shared"/>
        <v>1.59837047918</v>
      </c>
    </row>
    <row r="49" spans="19:35" x14ac:dyDescent="0.25">
      <c r="AF49" s="64">
        <f>TripModeCoefficient!B57</f>
        <v>142</v>
      </c>
      <c r="AG49" s="64" t="str">
        <f>TripModeCoefficient!C57</f>
        <v>wk-sctour</v>
      </c>
      <c r="AH49" s="65">
        <f>TripModeCoefficient!E57</f>
        <v>1.3131750950100001</v>
      </c>
      <c r="AI49" s="66">
        <f si="1" t="shared"/>
        <v>1.3131750950100001</v>
      </c>
    </row>
    <row r="50" spans="19:35" x14ac:dyDescent="0.25">
      <c r="AF50" s="64">
        <f>TripModeCoefficient!B58</f>
        <v>147</v>
      </c>
      <c r="AG50" s="64" t="str">
        <f>TripModeCoefficient!C58</f>
        <v>bi-wbtour</v>
      </c>
      <c r="AH50" s="65">
        <f>TripModeCoefficient!E58</f>
        <v>-0.39171382450100001</v>
      </c>
      <c r="AI50" s="66">
        <f si="1" t="shared"/>
        <v>-0.39171382450100001</v>
      </c>
    </row>
    <row r="51" spans="19:35" x14ac:dyDescent="0.25">
      <c r="AF51" s="64">
        <f>TripModeCoefficient!B59</f>
        <v>149</v>
      </c>
      <c r="AG51" s="64" t="str">
        <f>TripModeCoefficient!C59</f>
        <v>sr-wktour</v>
      </c>
      <c r="AH51" s="65">
        <f>TripModeCoefficient!E59</f>
        <v>-3.3909637626300002</v>
      </c>
      <c r="AI51" s="66">
        <f si="1" t="shared"/>
        <v>-3.3909637626300002</v>
      </c>
    </row>
    <row r="52" spans="19:35" x14ac:dyDescent="0.25">
      <c r="S52" s="30" t="s">
        <v>72</v>
      </c>
      <c r="T52" s="68" t="s">
        <v>167</v>
      </c>
      <c r="U52" s="68" t="s">
        <v>165</v>
      </c>
      <c r="V52" s="68" t="s">
        <v>77</v>
      </c>
      <c r="W52" s="68" t="s">
        <v>166</v>
      </c>
      <c r="AF52" s="64">
        <f>TripModeCoefficient!B60</f>
        <v>150</v>
      </c>
      <c r="AG52" s="64" t="str">
        <f>TripModeCoefficient!C60</f>
        <v>sr-sctour</v>
      </c>
      <c r="AH52" s="65">
        <f>TripModeCoefficient!E60</f>
        <v>-2.6802167852399998</v>
      </c>
      <c r="AI52" s="66">
        <f si="1" t="shared"/>
        <v>-2.6802167852399998</v>
      </c>
    </row>
    <row r="53" spans="19:35" x14ac:dyDescent="0.25">
      <c r="S53" s="21" t="s">
        <v>1</v>
      </c>
      <c r="T53">
        <v>50</v>
      </c>
      <c r="U53">
        <f>VLOOKUP($T53,$AF:$AH,3,FALSE)</f>
        <v>3.1809591471630001</v>
      </c>
      <c r="V53" s="54">
        <f>Z41</f>
        <v>-0.10920631971944686</v>
      </c>
      <c r="W53" s="69">
        <f>U53+V53</f>
        <v>3.0717528274435533</v>
      </c>
      <c r="AF53" s="64">
        <f>TripModeCoefficient!B61</f>
        <v>152</v>
      </c>
      <c r="AG53" s="64" t="str">
        <f>TripModeCoefficient!C61</f>
        <v>sr-estour</v>
      </c>
      <c r="AH53" s="65">
        <f>TripModeCoefficient!E61</f>
        <v>-2.8276511902300001</v>
      </c>
      <c r="AI53" s="66">
        <f si="1" t="shared"/>
        <v>-2.8276511902300001</v>
      </c>
    </row>
    <row r="54" spans="19:35" x14ac:dyDescent="0.25">
      <c r="S54" s="21" t="s">
        <v>2</v>
      </c>
      <c r="T54">
        <v>40</v>
      </c>
      <c r="U54">
        <f ref="U54:U60" si="58" t="shared">VLOOKUP($T54,$AF:$AH,3,FALSE)</f>
        <v>3.3492566242640001</v>
      </c>
      <c r="V54" s="54">
        <f ref="V54:V56" si="59" t="shared">Z42</f>
        <v>-0.11499232378886109</v>
      </c>
      <c r="W54" s="69">
        <f ref="W54:W60" si="60" t="shared">U54+V54</f>
        <v>3.234264300475139</v>
      </c>
      <c r="AF54" s="64">
        <f>TripModeCoefficient!B62</f>
        <v>153</v>
      </c>
      <c r="AG54" s="64" t="str">
        <f>TripModeCoefficient!C62</f>
        <v>sr-shtour</v>
      </c>
      <c r="AH54" s="65">
        <f>TripModeCoefficient!E62</f>
        <v>2.2408251348300001</v>
      </c>
      <c r="AI54" s="66">
        <f si="1" t="shared"/>
        <v>2.2408251348300001</v>
      </c>
    </row>
    <row r="55" spans="19:35" x14ac:dyDescent="0.25">
      <c r="S55" s="21" t="s">
        <v>3</v>
      </c>
      <c r="T55">
        <v>30</v>
      </c>
      <c r="U55">
        <f si="58" t="shared"/>
        <v>4.8312209613929999</v>
      </c>
      <c r="V55" s="54">
        <f si="59" t="shared"/>
        <v>-8.0046646798659069E-2</v>
      </c>
      <c r="W55" s="69">
        <f si="60" t="shared"/>
        <v>4.7511743145943406</v>
      </c>
      <c r="AF55" s="64">
        <f>TripModeCoefficient!B63</f>
        <v>154</v>
      </c>
      <c r="AG55" s="64" t="str">
        <f>TripModeCoefficient!C63</f>
        <v>sr-metour</v>
      </c>
      <c r="AH55" s="65">
        <f>TripModeCoefficient!E63</f>
        <v>1.1042610670599999</v>
      </c>
      <c r="AI55" s="66">
        <f si="1" t="shared"/>
        <v>1.1042610670599999</v>
      </c>
    </row>
    <row r="56" spans="19:35" x14ac:dyDescent="0.25">
      <c r="S56" s="21" t="s">
        <v>70</v>
      </c>
      <c r="T56">
        <v>20</v>
      </c>
      <c r="U56">
        <f si="58" t="shared"/>
        <v>-0.60445453169800001</v>
      </c>
      <c r="V56" s="54">
        <f si="59" t="shared"/>
        <v>-6.3806490644514852E-2</v>
      </c>
      <c r="W56" s="69">
        <f si="60" t="shared"/>
        <v>-0.66826102234251483</v>
      </c>
      <c r="AF56" s="64">
        <f>TripModeCoefficient!B64</f>
        <v>155</v>
      </c>
      <c r="AG56" s="64" t="str">
        <f>TripModeCoefficient!C64</f>
        <v>sr-srtour</v>
      </c>
      <c r="AH56" s="65">
        <f>TripModeCoefficient!E64</f>
        <v>-1.9412386931E-2</v>
      </c>
      <c r="AI56" s="66">
        <f si="1" t="shared"/>
        <v>-1.9412386931E-2</v>
      </c>
    </row>
    <row r="57" spans="19:35" x14ac:dyDescent="0.25">
      <c r="S57" s="21" t="s">
        <v>71</v>
      </c>
      <c r="V57" s="54"/>
      <c r="W57" s="69"/>
      <c r="AF57" s="64">
        <f>TripModeCoefficient!B65</f>
        <v>161</v>
      </c>
      <c r="AG57" s="64" t="str">
        <f>TripModeCoefficient!C65</f>
        <v>sr-escwkam</v>
      </c>
      <c r="AH57" s="65">
        <f>TripModeCoefficient!E65</f>
        <v>-3.2843746505999998</v>
      </c>
      <c r="AI57" s="66">
        <f si="1" t="shared"/>
        <v>-3.2843746505999998</v>
      </c>
    </row>
    <row r="58" spans="19:35" x14ac:dyDescent="0.25">
      <c r="S58" s="21" t="s">
        <v>4</v>
      </c>
      <c r="T58">
        <v>60</v>
      </c>
      <c r="U58">
        <f si="58" t="shared"/>
        <v>-3.5744955287289999</v>
      </c>
      <c r="V58" s="71">
        <f>Z45</f>
        <v>-0.44336814922364265</v>
      </c>
      <c r="W58" s="69">
        <f si="60" t="shared"/>
        <v>-4.0178636779526427</v>
      </c>
      <c r="AF58" s="64">
        <f>TripModeCoefficient!B66</f>
        <v>162</v>
      </c>
      <c r="AG58" s="64" t="str">
        <f>TripModeCoefficient!C66</f>
        <v>sr-wkescpm</v>
      </c>
      <c r="AH58" s="65">
        <f>TripModeCoefficient!E66</f>
        <v>-2.8141136067299999</v>
      </c>
      <c r="AI58" s="66">
        <f si="1" t="shared"/>
        <v>-2.8141136067299999</v>
      </c>
    </row>
    <row r="59" spans="19:35" x14ac:dyDescent="0.25">
      <c r="S59" s="44" t="s">
        <v>5</v>
      </c>
      <c r="V59" s="71">
        <f ref="V59:V60" si="61" t="shared">Z46</f>
        <v>0</v>
      </c>
      <c r="W59" s="69"/>
      <c r="AF59" s="64">
        <f>TripModeCoefficient!B67</f>
        <v>163</v>
      </c>
      <c r="AG59" s="64" t="str">
        <f>TripModeCoefficient!C67</f>
        <v>sr-hmescam</v>
      </c>
      <c r="AH59" s="65">
        <f>TripModeCoefficient!E67</f>
        <v>3.2395625539199999</v>
      </c>
      <c r="AI59" s="66">
        <f si="1" t="shared"/>
        <v>3.2395625539199999</v>
      </c>
    </row>
    <row r="60" spans="19:35" x14ac:dyDescent="0.25">
      <c r="S60" s="20" t="s">
        <v>24</v>
      </c>
      <c r="T60" s="4">
        <v>18</v>
      </c>
      <c r="U60" s="4">
        <f si="58" t="shared"/>
        <v>0.18368466538200001</v>
      </c>
      <c r="V60" s="71">
        <f si="61" t="shared"/>
        <v>-0.1352827686067275</v>
      </c>
      <c r="W60" s="70">
        <f si="60" t="shared"/>
        <v>4.8401896775272513E-2</v>
      </c>
      <c r="AF60" s="64">
        <f>TripModeCoefficient!B68</f>
        <v>164</v>
      </c>
      <c r="AG60" s="64" t="str">
        <f>TripModeCoefficient!C68</f>
        <v>sr-hmescmd</v>
      </c>
      <c r="AH60" s="65">
        <f>TripModeCoefficient!E68</f>
        <v>-2.0056580198799998</v>
      </c>
      <c r="AI60" s="66">
        <f si="1" t="shared"/>
        <v>-2.0056580198799998</v>
      </c>
    </row>
    <row r="61" spans="19:35" x14ac:dyDescent="0.25">
      <c r="AF61" s="64">
        <f>TripModeCoefficient!B69</f>
        <v>165</v>
      </c>
      <c r="AG61" s="64" t="str">
        <f>TripModeCoefficient!C69</f>
        <v>sr-hmescpm</v>
      </c>
      <c r="AH61" s="65">
        <f>TripModeCoefficient!E69</f>
        <v>-1.8081120470400001</v>
      </c>
      <c r="AI61" s="66">
        <f si="1" t="shared"/>
        <v>-1.8081120470400001</v>
      </c>
    </row>
    <row r="62" spans="19:35" x14ac:dyDescent="0.25">
      <c r="AF62" s="64">
        <f>TripModeCoefficient!B70</f>
        <v>166</v>
      </c>
      <c r="AG62" s="64" t="str">
        <f>TripModeCoefficient!C70</f>
        <v>sr-hmescev</v>
      </c>
      <c r="AH62" s="65">
        <f>TripModeCoefficient!E70</f>
        <v>-1.9120753725599999</v>
      </c>
      <c r="AI62" s="66">
        <f si="1" t="shared"/>
        <v>-1.9120753725599999</v>
      </c>
    </row>
    <row r="63" spans="19:35" x14ac:dyDescent="0.25">
      <c r="AF63" s="64">
        <f>TripModeCoefficient!B71</f>
        <v>167</v>
      </c>
      <c r="AG63" s="64" t="str">
        <f>TripModeCoefficient!C71</f>
        <v>sr-eschmam</v>
      </c>
      <c r="AH63" s="65">
        <f>TripModeCoefficient!E71</f>
        <v>-3.9497912193100002</v>
      </c>
      <c r="AI63" s="66">
        <f si="1" t="shared"/>
        <v>-3.9497912193100002</v>
      </c>
    </row>
    <row r="64" spans="19:35" x14ac:dyDescent="0.25">
      <c r="AF64" s="64">
        <f>TripModeCoefficient!B72</f>
        <v>168</v>
      </c>
      <c r="AG64" s="64" t="str">
        <f>TripModeCoefficient!C72</f>
        <v>sr-eschmmd</v>
      </c>
      <c r="AH64" s="65">
        <f>TripModeCoefficient!E72</f>
        <v>-0.71345416296700004</v>
      </c>
      <c r="AI64" s="66">
        <f si="1" t="shared"/>
        <v>-0.71345416296700004</v>
      </c>
    </row>
    <row r="65" spans="32:35" x14ac:dyDescent="0.25">
      <c r="AF65" s="64">
        <f>TripModeCoefficient!B73</f>
        <v>169</v>
      </c>
      <c r="AG65" s="64" t="str">
        <f>TripModeCoefficient!C73</f>
        <v>sr-eschmpm</v>
      </c>
      <c r="AH65" s="65">
        <f>TripModeCoefficient!E73</f>
        <v>0.23361631003899999</v>
      </c>
      <c r="AI65" s="66">
        <f si="1" t="shared"/>
        <v>0.23361631003899999</v>
      </c>
    </row>
    <row r="66" spans="32:35" x14ac:dyDescent="0.25">
      <c r="AF66" s="64">
        <f>TripModeCoefficient!B74</f>
        <v>170</v>
      </c>
      <c r="AG66" s="64" t="str">
        <f>TripModeCoefficient!C74</f>
        <v>sr-eschmev</v>
      </c>
      <c r="AH66" s="65">
        <f>TripModeCoefficient!E74</f>
        <v>-1.7384161057900001</v>
      </c>
      <c r="AI66" s="66">
        <f si="1" t="shared"/>
        <v>-1.7384161057900001</v>
      </c>
    </row>
    <row r="67" spans="32:35" x14ac:dyDescent="0.25">
      <c r="AF67" s="64">
        <f>TripModeCoefficient!B75</f>
        <v>99</v>
      </c>
      <c r="AG67" s="64" t="str">
        <f>TripModeCoefficient!C75</f>
        <v>Theta0099</v>
      </c>
      <c r="AH67" s="65">
        <f>TripModeCoefficient!E75</f>
        <v>0.60320506042599997</v>
      </c>
      <c r="AI67" s="66">
        <f si="1" t="shared"/>
        <v>0.60320506042599997</v>
      </c>
    </row>
    <row r="68" spans="32:35" x14ac:dyDescent="0.25">
      <c r="AF68" s="64"/>
      <c r="AG68" s="64"/>
      <c r="AH68" s="65"/>
    </row>
  </sheetData>
  <mergeCells count="4">
    <mergeCell ref="B2:H2"/>
    <mergeCell ref="J2:P2"/>
    <mergeCell ref="T15:AA15"/>
    <mergeCell ref="T3:X3"/>
  </mergeCells>
  <pageMargins bottom="0.75" footer="0.3" header="0.3" left="0.7" right="0.7" top="0.75"/>
  <pageSetup orientation="portrait" r:id="rId1"/>
  <ignoredErrors>
    <ignoredError formula="1" sqref="H32 C43:H43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86"/>
  <sheetViews>
    <sheetView workbookViewId="0">
      <selection activeCell="A8" sqref="A8:K286"/>
    </sheetView>
  </sheetViews>
  <sheetFormatPr defaultRowHeight="15" x14ac:dyDescent="0.25"/>
  <sheetData>
    <row r="1" spans="1:11" x14ac:dyDescent="0.25">
      <c r="A1" s="58" t="s">
        <v>80</v>
      </c>
      <c r="B1" s="59"/>
      <c r="C1" s="59"/>
      <c r="D1" s="59"/>
      <c r="E1" s="59"/>
      <c r="F1" s="59"/>
      <c r="G1" s="59"/>
      <c r="H1" s="59" t="s">
        <v>81</v>
      </c>
      <c r="I1" s="59"/>
      <c r="J1" s="59"/>
      <c r="K1" s="59"/>
    </row>
    <row r="2" spans="1:11" x14ac:dyDescent="0.25">
      <c r="A2" s="59">
        <v>1</v>
      </c>
      <c r="B2" s="59" t="s">
        <v>85</v>
      </c>
      <c r="C2" s="59"/>
      <c r="D2" s="59"/>
      <c r="E2" s="59"/>
      <c r="F2" s="59"/>
      <c r="G2" s="59"/>
      <c r="H2" s="59"/>
      <c r="I2" s="59"/>
      <c r="J2" s="59"/>
      <c r="K2" s="59"/>
    </row>
    <row r="3" spans="1:11" x14ac:dyDescent="0.25">
      <c r="A3" s="59">
        <v>2</v>
      </c>
      <c r="B3" s="59" t="s">
        <v>82</v>
      </c>
      <c r="C3" s="59"/>
      <c r="D3" s="59"/>
      <c r="E3" s="59"/>
      <c r="F3" s="59"/>
      <c r="G3" s="59"/>
      <c r="H3" s="59"/>
      <c r="I3" s="59"/>
      <c r="J3" s="59"/>
      <c r="K3" s="59"/>
    </row>
    <row r="4" spans="1:11" x14ac:dyDescent="0.25">
      <c r="A4" s="59">
        <v>3</v>
      </c>
      <c r="B4" s="59" t="s">
        <v>83</v>
      </c>
      <c r="C4" s="59"/>
      <c r="D4" s="59"/>
      <c r="E4" s="59"/>
      <c r="F4" s="59"/>
      <c r="G4" s="59"/>
      <c r="H4" s="59"/>
      <c r="I4" s="59"/>
      <c r="J4" s="59"/>
      <c r="K4" s="59"/>
    </row>
    <row r="5" spans="1:11" x14ac:dyDescent="0.25">
      <c r="A5" s="59">
        <v>4</v>
      </c>
      <c r="B5" s="59" t="s">
        <v>84</v>
      </c>
      <c r="C5" s="59"/>
      <c r="D5" s="59"/>
      <c r="E5" s="59"/>
      <c r="F5" s="59"/>
      <c r="G5" s="59"/>
      <c r="H5" s="59"/>
      <c r="I5" s="59"/>
      <c r="J5" s="59"/>
      <c r="K5" s="59"/>
    </row>
    <row r="6" spans="1:1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</row>
    <row r="8" spans="1:11" x14ac:dyDescent="0.25">
      <c r="A8" t="s">
        <v>87</v>
      </c>
      <c r="B8" t="s">
        <v>88</v>
      </c>
      <c r="C8" t="s">
        <v>89</v>
      </c>
      <c r="D8" t="s">
        <v>90</v>
      </c>
    </row>
    <row r="9" spans="1:11" x14ac:dyDescent="0.25">
      <c r="A9" t="s">
        <v>91</v>
      </c>
      <c r="B9" t="s">
        <v>92</v>
      </c>
      <c r="C9" t="s">
        <v>93</v>
      </c>
      <c r="D9" t="s">
        <v>94</v>
      </c>
      <c r="E9">
        <v>4</v>
      </c>
      <c r="F9" s="60">
        <v>0.59940972222222222</v>
      </c>
      <c r="G9" t="s">
        <v>95</v>
      </c>
      <c r="H9">
        <v>3</v>
      </c>
      <c r="I9" t="s">
        <v>96</v>
      </c>
      <c r="J9">
        <v>12</v>
      </c>
    </row>
    <row r="10" spans="1:11" x14ac:dyDescent="0.25">
      <c r="A10" t="s">
        <v>86</v>
      </c>
    </row>
    <row r="11" spans="1:11" x14ac:dyDescent="0.25">
      <c r="B11">
        <v>1</v>
      </c>
      <c r="C11" t="s">
        <v>97</v>
      </c>
      <c r="D11" t="s">
        <v>98</v>
      </c>
      <c r="E11">
        <v>0.95365225963900002</v>
      </c>
    </row>
    <row r="12" spans="1:11" x14ac:dyDescent="0.25">
      <c r="B12">
        <v>2</v>
      </c>
      <c r="C12" t="s">
        <v>99</v>
      </c>
      <c r="D12" t="s">
        <v>98</v>
      </c>
      <c r="E12">
        <v>2.45567434768</v>
      </c>
    </row>
    <row r="13" spans="1:11" x14ac:dyDescent="0.25">
      <c r="B13">
        <v>18</v>
      </c>
      <c r="C13" t="s">
        <v>100</v>
      </c>
      <c r="D13" t="s">
        <v>101</v>
      </c>
      <c r="E13">
        <v>0.18368466538200001</v>
      </c>
    </row>
    <row r="14" spans="1:11" x14ac:dyDescent="0.25">
      <c r="B14">
        <v>20</v>
      </c>
      <c r="C14" t="s">
        <v>102</v>
      </c>
      <c r="D14" t="s">
        <v>98</v>
      </c>
      <c r="E14">
        <v>-0.60445453169800001</v>
      </c>
    </row>
    <row r="15" spans="1:11" x14ac:dyDescent="0.25">
      <c r="B15">
        <v>22</v>
      </c>
      <c r="C15" t="s">
        <v>103</v>
      </c>
      <c r="D15" t="s">
        <v>98</v>
      </c>
      <c r="E15">
        <v>-0.35055045638499999</v>
      </c>
    </row>
    <row r="16" spans="1:11" x14ac:dyDescent="0.25">
      <c r="B16">
        <v>30</v>
      </c>
      <c r="C16" t="s">
        <v>104</v>
      </c>
      <c r="D16" t="s">
        <v>98</v>
      </c>
      <c r="E16">
        <v>4.8312209613929999</v>
      </c>
    </row>
    <row r="17" spans="2:6" x14ac:dyDescent="0.25">
      <c r="B17">
        <v>32</v>
      </c>
      <c r="C17" t="s">
        <v>105</v>
      </c>
      <c r="D17" t="s">
        <v>98</v>
      </c>
      <c r="E17">
        <v>-0.224225619795</v>
      </c>
      <c r="F17" s="61"/>
    </row>
    <row r="18" spans="2:6" x14ac:dyDescent="0.25">
      <c r="B18">
        <v>34</v>
      </c>
      <c r="C18" t="s">
        <v>106</v>
      </c>
      <c r="D18" t="s">
        <v>98</v>
      </c>
      <c r="E18" s="61">
        <v>-9.3941481079999993E-3</v>
      </c>
      <c r="F18" s="61"/>
    </row>
    <row r="19" spans="2:6" x14ac:dyDescent="0.25">
      <c r="B19">
        <v>36</v>
      </c>
      <c r="C19" t="s">
        <v>107</v>
      </c>
      <c r="D19" t="s">
        <v>98</v>
      </c>
      <c r="E19">
        <v>-1.31282193692</v>
      </c>
    </row>
    <row r="20" spans="2:6" x14ac:dyDescent="0.25">
      <c r="B20">
        <v>37</v>
      </c>
      <c r="C20" t="s">
        <v>108</v>
      </c>
      <c r="D20" t="s">
        <v>98</v>
      </c>
      <c r="E20">
        <v>-0.41849713864999999</v>
      </c>
      <c r="F20" s="61"/>
    </row>
    <row r="21" spans="2:6" x14ac:dyDescent="0.25">
      <c r="B21">
        <v>38</v>
      </c>
      <c r="C21" t="s">
        <v>109</v>
      </c>
      <c r="D21" t="s">
        <v>98</v>
      </c>
      <c r="E21">
        <v>-0.95024427417599999</v>
      </c>
    </row>
    <row r="22" spans="2:6" x14ac:dyDescent="0.25">
      <c r="B22">
        <v>40</v>
      </c>
      <c r="C22" t="s">
        <v>110</v>
      </c>
      <c r="D22" t="s">
        <v>98</v>
      </c>
      <c r="E22">
        <v>3.3492566242640001</v>
      </c>
    </row>
    <row r="23" spans="2:6" x14ac:dyDescent="0.25">
      <c r="B23">
        <v>41</v>
      </c>
      <c r="C23" t="s">
        <v>111</v>
      </c>
      <c r="D23" t="s">
        <v>98</v>
      </c>
      <c r="E23">
        <v>-2.7633018629400001</v>
      </c>
    </row>
    <row r="24" spans="2:6" x14ac:dyDescent="0.25">
      <c r="B24">
        <v>50</v>
      </c>
      <c r="C24" t="s">
        <v>112</v>
      </c>
      <c r="D24" t="s">
        <v>98</v>
      </c>
      <c r="E24">
        <v>3.1809591471630001</v>
      </c>
    </row>
    <row r="25" spans="2:6" x14ac:dyDescent="0.25">
      <c r="B25">
        <v>52</v>
      </c>
      <c r="C25" t="s">
        <v>113</v>
      </c>
      <c r="D25" t="s">
        <v>98</v>
      </c>
      <c r="E25">
        <v>-0.74064759656800006</v>
      </c>
    </row>
    <row r="26" spans="2:6" x14ac:dyDescent="0.25">
      <c r="B26">
        <v>54</v>
      </c>
      <c r="C26" t="s">
        <v>114</v>
      </c>
      <c r="D26" t="s">
        <v>98</v>
      </c>
      <c r="E26">
        <v>-0.386979332166</v>
      </c>
    </row>
    <row r="27" spans="2:6" x14ac:dyDescent="0.25">
      <c r="B27">
        <v>55</v>
      </c>
      <c r="C27" t="s">
        <v>115</v>
      </c>
      <c r="D27" t="s">
        <v>98</v>
      </c>
      <c r="E27">
        <v>-0.13091449214600001</v>
      </c>
    </row>
    <row r="28" spans="2:6" x14ac:dyDescent="0.25">
      <c r="B28">
        <v>59</v>
      </c>
      <c r="C28" t="s">
        <v>116</v>
      </c>
      <c r="D28" t="s">
        <v>98</v>
      </c>
      <c r="E28">
        <v>-0.985520337395</v>
      </c>
    </row>
    <row r="29" spans="2:6" x14ac:dyDescent="0.25">
      <c r="B29">
        <v>60</v>
      </c>
      <c r="C29" t="s">
        <v>117</v>
      </c>
      <c r="D29" t="s">
        <v>98</v>
      </c>
      <c r="E29">
        <v>-3.5744955287289999</v>
      </c>
    </row>
    <row r="30" spans="2:6" x14ac:dyDescent="0.25">
      <c r="B30">
        <v>61</v>
      </c>
      <c r="C30" t="s">
        <v>118</v>
      </c>
      <c r="D30" t="s">
        <v>98</v>
      </c>
      <c r="E30">
        <v>0.72115785049900005</v>
      </c>
    </row>
    <row r="31" spans="2:6" x14ac:dyDescent="0.25">
      <c r="B31">
        <v>62</v>
      </c>
      <c r="C31" t="s">
        <v>119</v>
      </c>
      <c r="D31" t="s">
        <v>98</v>
      </c>
      <c r="E31">
        <v>1.5869662598000001</v>
      </c>
    </row>
    <row r="32" spans="2:6" x14ac:dyDescent="0.25">
      <c r="B32">
        <v>65</v>
      </c>
      <c r="C32" t="s">
        <v>120</v>
      </c>
      <c r="D32" t="s">
        <v>98</v>
      </c>
      <c r="E32" s="61">
        <v>2.3745812036999998E-2</v>
      </c>
      <c r="F32" s="61"/>
    </row>
    <row r="33" spans="2:6" x14ac:dyDescent="0.25">
      <c r="B33">
        <v>72</v>
      </c>
      <c r="C33" t="s">
        <v>121</v>
      </c>
      <c r="D33" t="s">
        <v>98</v>
      </c>
      <c r="E33">
        <v>0.79006426845300004</v>
      </c>
    </row>
    <row r="34" spans="2:6" x14ac:dyDescent="0.25">
      <c r="B34">
        <v>75</v>
      </c>
      <c r="C34" t="s">
        <v>122</v>
      </c>
      <c r="D34" t="s">
        <v>98</v>
      </c>
      <c r="E34" s="61">
        <v>2.5163211054E-2</v>
      </c>
      <c r="F34" s="61"/>
    </row>
    <row r="35" spans="2:6" x14ac:dyDescent="0.25">
      <c r="B35">
        <v>78</v>
      </c>
      <c r="C35" t="s">
        <v>123</v>
      </c>
      <c r="D35" t="s">
        <v>98</v>
      </c>
      <c r="E35">
        <v>0.30945214249199998</v>
      </c>
    </row>
    <row r="36" spans="2:6" x14ac:dyDescent="0.25">
      <c r="B36">
        <v>100</v>
      </c>
      <c r="C36" t="s">
        <v>124</v>
      </c>
      <c r="D36" t="s">
        <v>98</v>
      </c>
      <c r="E36">
        <v>4.7152383152799997</v>
      </c>
    </row>
    <row r="37" spans="2:6" x14ac:dyDescent="0.25">
      <c r="B37">
        <v>102</v>
      </c>
      <c r="C37" t="s">
        <v>125</v>
      </c>
      <c r="D37" t="s">
        <v>98</v>
      </c>
      <c r="E37">
        <v>0.72270508522599997</v>
      </c>
      <c r="F37" s="61"/>
    </row>
    <row r="38" spans="2:6" x14ac:dyDescent="0.25">
      <c r="B38">
        <v>103</v>
      </c>
      <c r="C38" t="s">
        <v>126</v>
      </c>
      <c r="D38" t="s">
        <v>98</v>
      </c>
      <c r="E38">
        <v>0.58309321095</v>
      </c>
      <c r="F38" s="61"/>
    </row>
    <row r="39" spans="2:6" x14ac:dyDescent="0.25">
      <c r="B39">
        <v>104</v>
      </c>
      <c r="C39" t="s">
        <v>127</v>
      </c>
      <c r="D39" t="s">
        <v>98</v>
      </c>
      <c r="E39">
        <v>-0.165749142855</v>
      </c>
    </row>
    <row r="40" spans="2:6" x14ac:dyDescent="0.25">
      <c r="B40">
        <v>105</v>
      </c>
      <c r="C40" t="s">
        <v>128</v>
      </c>
      <c r="D40" t="s">
        <v>98</v>
      </c>
      <c r="E40">
        <v>0.133840375096</v>
      </c>
      <c r="F40" s="61"/>
    </row>
    <row r="41" spans="2:6" x14ac:dyDescent="0.25">
      <c r="B41">
        <v>106</v>
      </c>
      <c r="C41" t="s">
        <v>129</v>
      </c>
      <c r="D41" t="s">
        <v>98</v>
      </c>
      <c r="E41" s="61">
        <v>-3.6932048336999999E-2</v>
      </c>
    </row>
    <row r="42" spans="2:6" x14ac:dyDescent="0.25">
      <c r="B42">
        <v>107</v>
      </c>
      <c r="C42" t="s">
        <v>130</v>
      </c>
      <c r="D42" t="s">
        <v>98</v>
      </c>
      <c r="E42">
        <v>-0.32011091736000002</v>
      </c>
      <c r="F42" s="61"/>
    </row>
    <row r="43" spans="2:6" x14ac:dyDescent="0.25">
      <c r="B43">
        <v>115</v>
      </c>
      <c r="C43" t="s">
        <v>131</v>
      </c>
      <c r="D43" t="s">
        <v>98</v>
      </c>
      <c r="E43">
        <v>-3.12809755411</v>
      </c>
    </row>
    <row r="44" spans="2:6" x14ac:dyDescent="0.25">
      <c r="B44">
        <v>116</v>
      </c>
      <c r="C44" t="s">
        <v>132</v>
      </c>
      <c r="D44" t="s">
        <v>98</v>
      </c>
      <c r="E44">
        <v>2.3773241697900001</v>
      </c>
    </row>
    <row r="45" spans="2:6" x14ac:dyDescent="0.25">
      <c r="B45">
        <v>118</v>
      </c>
      <c r="C45" t="s">
        <v>133</v>
      </c>
      <c r="D45" t="s">
        <v>98</v>
      </c>
      <c r="E45">
        <v>-0.99931273161300005</v>
      </c>
    </row>
    <row r="46" spans="2:6" x14ac:dyDescent="0.25">
      <c r="B46">
        <v>119</v>
      </c>
      <c r="C46" t="s">
        <v>134</v>
      </c>
      <c r="D46" t="s">
        <v>98</v>
      </c>
      <c r="E46">
        <v>3.3103623093099999</v>
      </c>
    </row>
    <row r="47" spans="2:6" x14ac:dyDescent="0.25">
      <c r="B47">
        <v>120</v>
      </c>
      <c r="C47" t="s">
        <v>135</v>
      </c>
      <c r="D47" t="s">
        <v>98</v>
      </c>
      <c r="E47">
        <v>4.5704245469</v>
      </c>
    </row>
    <row r="48" spans="2:6" x14ac:dyDescent="0.25">
      <c r="B48">
        <v>121</v>
      </c>
      <c r="C48" t="s">
        <v>136</v>
      </c>
      <c r="D48" t="s">
        <v>101</v>
      </c>
      <c r="E48">
        <v>-1.6664000000000001</v>
      </c>
    </row>
    <row r="49" spans="2:5" x14ac:dyDescent="0.25">
      <c r="B49">
        <v>122</v>
      </c>
      <c r="C49" t="s">
        <v>137</v>
      </c>
      <c r="D49" t="s">
        <v>98</v>
      </c>
      <c r="E49">
        <v>-4.4721669229399996</v>
      </c>
    </row>
    <row r="50" spans="2:5" x14ac:dyDescent="0.25">
      <c r="B50">
        <v>124</v>
      </c>
      <c r="C50" t="s">
        <v>138</v>
      </c>
      <c r="D50" t="s">
        <v>98</v>
      </c>
      <c r="E50">
        <v>2.0504122622600001</v>
      </c>
    </row>
    <row r="51" spans="2:5" x14ac:dyDescent="0.25">
      <c r="B51">
        <v>125</v>
      </c>
      <c r="C51" t="s">
        <v>139</v>
      </c>
      <c r="D51" t="s">
        <v>98</v>
      </c>
      <c r="E51">
        <v>2.5001086848899998</v>
      </c>
    </row>
    <row r="52" spans="2:5" x14ac:dyDescent="0.25">
      <c r="B52">
        <v>127</v>
      </c>
      <c r="C52" t="s">
        <v>140</v>
      </c>
      <c r="D52" t="s">
        <v>98</v>
      </c>
      <c r="E52">
        <v>-0.59112748741700005</v>
      </c>
    </row>
    <row r="53" spans="2:5" x14ac:dyDescent="0.25">
      <c r="B53">
        <v>128</v>
      </c>
      <c r="C53" t="s">
        <v>141</v>
      </c>
      <c r="D53" t="s">
        <v>101</v>
      </c>
      <c r="E53">
        <v>0</v>
      </c>
    </row>
    <row r="54" spans="2:5" x14ac:dyDescent="0.25">
      <c r="B54">
        <v>130</v>
      </c>
      <c r="C54" t="s">
        <v>142</v>
      </c>
      <c r="D54" t="s">
        <v>98</v>
      </c>
      <c r="E54" s="61">
        <v>-1.0520453446E-2</v>
      </c>
    </row>
    <row r="55" spans="2:5" x14ac:dyDescent="0.25">
      <c r="B55">
        <v>131</v>
      </c>
      <c r="C55" t="s">
        <v>143</v>
      </c>
      <c r="D55" t="s">
        <v>98</v>
      </c>
      <c r="E55">
        <v>-1.1576030554500001</v>
      </c>
    </row>
    <row r="56" spans="2:5" x14ac:dyDescent="0.25">
      <c r="B56">
        <v>141</v>
      </c>
      <c r="C56" t="s">
        <v>144</v>
      </c>
      <c r="D56" t="s">
        <v>98</v>
      </c>
      <c r="E56">
        <v>1.59837047918</v>
      </c>
    </row>
    <row r="57" spans="2:5" x14ac:dyDescent="0.25">
      <c r="B57">
        <v>142</v>
      </c>
      <c r="C57" t="s">
        <v>145</v>
      </c>
      <c r="D57" t="s">
        <v>98</v>
      </c>
      <c r="E57">
        <v>1.3131750950100001</v>
      </c>
    </row>
    <row r="58" spans="2:5" x14ac:dyDescent="0.25">
      <c r="B58">
        <v>147</v>
      </c>
      <c r="C58" t="s">
        <v>146</v>
      </c>
      <c r="D58" t="s">
        <v>98</v>
      </c>
      <c r="E58">
        <v>-0.39171382450100001</v>
      </c>
    </row>
    <row r="59" spans="2:5" x14ac:dyDescent="0.25">
      <c r="B59">
        <v>149</v>
      </c>
      <c r="C59" t="s">
        <v>147</v>
      </c>
      <c r="D59" t="s">
        <v>98</v>
      </c>
      <c r="E59">
        <v>-3.3909637626300002</v>
      </c>
    </row>
    <row r="60" spans="2:5" x14ac:dyDescent="0.25">
      <c r="B60">
        <v>150</v>
      </c>
      <c r="C60" t="s">
        <v>148</v>
      </c>
      <c r="D60" t="s">
        <v>98</v>
      </c>
      <c r="E60">
        <v>-2.6802167852399998</v>
      </c>
    </row>
    <row r="61" spans="2:5" x14ac:dyDescent="0.25">
      <c r="B61">
        <v>152</v>
      </c>
      <c r="C61" t="s">
        <v>149</v>
      </c>
      <c r="D61" t="s">
        <v>98</v>
      </c>
      <c r="E61">
        <v>-2.8276511902300001</v>
      </c>
    </row>
    <row r="62" spans="2:5" x14ac:dyDescent="0.25">
      <c r="B62">
        <v>153</v>
      </c>
      <c r="C62" t="s">
        <v>150</v>
      </c>
      <c r="D62" t="s">
        <v>98</v>
      </c>
      <c r="E62">
        <v>2.2408251348300001</v>
      </c>
    </row>
    <row r="63" spans="2:5" x14ac:dyDescent="0.25">
      <c r="B63">
        <v>154</v>
      </c>
      <c r="C63" t="s">
        <v>151</v>
      </c>
      <c r="D63" t="s">
        <v>98</v>
      </c>
      <c r="E63">
        <v>1.1042610670599999</v>
      </c>
    </row>
    <row r="64" spans="2:5" x14ac:dyDescent="0.25">
      <c r="B64">
        <v>155</v>
      </c>
      <c r="C64" t="s">
        <v>152</v>
      </c>
      <c r="D64" t="s">
        <v>98</v>
      </c>
      <c r="E64" s="61">
        <v>-1.9412386931E-2</v>
      </c>
    </row>
    <row r="65" spans="2:11" x14ac:dyDescent="0.25">
      <c r="B65">
        <v>161</v>
      </c>
      <c r="C65" t="s">
        <v>153</v>
      </c>
      <c r="D65" t="s">
        <v>98</v>
      </c>
      <c r="E65">
        <v>-3.2843746505999998</v>
      </c>
    </row>
    <row r="66" spans="2:11" x14ac:dyDescent="0.25">
      <c r="B66">
        <v>162</v>
      </c>
      <c r="C66" t="s">
        <v>154</v>
      </c>
      <c r="D66" t="s">
        <v>98</v>
      </c>
      <c r="E66">
        <v>-2.8141136067299999</v>
      </c>
    </row>
    <row r="67" spans="2:11" x14ac:dyDescent="0.25">
      <c r="B67">
        <v>163</v>
      </c>
      <c r="C67" t="s">
        <v>155</v>
      </c>
      <c r="D67" t="s">
        <v>98</v>
      </c>
      <c r="E67">
        <v>3.2395625539199999</v>
      </c>
    </row>
    <row r="68" spans="2:11" x14ac:dyDescent="0.25">
      <c r="B68">
        <v>164</v>
      </c>
      <c r="C68" t="s">
        <v>156</v>
      </c>
      <c r="D68" t="s">
        <v>98</v>
      </c>
      <c r="E68">
        <v>-2.0056580198799998</v>
      </c>
    </row>
    <row r="69" spans="2:11" x14ac:dyDescent="0.25">
      <c r="B69">
        <v>165</v>
      </c>
      <c r="C69" t="s">
        <v>157</v>
      </c>
      <c r="D69" t="s">
        <v>98</v>
      </c>
      <c r="E69">
        <v>-1.8081120470400001</v>
      </c>
    </row>
    <row r="70" spans="2:11" x14ac:dyDescent="0.25">
      <c r="B70">
        <v>166</v>
      </c>
      <c r="C70" t="s">
        <v>158</v>
      </c>
      <c r="D70" t="s">
        <v>98</v>
      </c>
      <c r="E70">
        <v>-1.9120753725599999</v>
      </c>
    </row>
    <row r="71" spans="2:11" x14ac:dyDescent="0.25">
      <c r="B71">
        <v>167</v>
      </c>
      <c r="C71" t="s">
        <v>159</v>
      </c>
      <c r="D71" t="s">
        <v>98</v>
      </c>
      <c r="E71">
        <v>-3.9497912193100002</v>
      </c>
    </row>
    <row r="72" spans="2:11" x14ac:dyDescent="0.25">
      <c r="B72">
        <v>168</v>
      </c>
      <c r="C72" t="s">
        <v>160</v>
      </c>
      <c r="D72" t="s">
        <v>98</v>
      </c>
      <c r="E72">
        <v>-0.71345416296700004</v>
      </c>
    </row>
    <row r="73" spans="2:11" x14ac:dyDescent="0.25">
      <c r="B73">
        <v>169</v>
      </c>
      <c r="C73" t="s">
        <v>161</v>
      </c>
      <c r="D73" t="s">
        <v>98</v>
      </c>
      <c r="E73">
        <v>0.23361631003899999</v>
      </c>
    </row>
    <row r="74" spans="2:11" x14ac:dyDescent="0.25">
      <c r="B74">
        <v>170</v>
      </c>
      <c r="C74" t="s">
        <v>162</v>
      </c>
      <c r="D74" t="s">
        <v>98</v>
      </c>
      <c r="E74">
        <v>-1.7384161057900001</v>
      </c>
    </row>
    <row r="75" spans="2:11" x14ac:dyDescent="0.25">
      <c r="B75">
        <v>99</v>
      </c>
      <c r="C75" t="s">
        <v>163</v>
      </c>
      <c r="D75" t="s">
        <v>98</v>
      </c>
      <c r="E75">
        <v>0.60320506042599997</v>
      </c>
      <c r="F75" s="61"/>
    </row>
    <row r="76" spans="2:11" x14ac:dyDescent="0.25">
      <c r="B76">
        <v>-1</v>
      </c>
    </row>
    <row r="77" spans="2:11" x14ac:dyDescent="0.25">
      <c r="B77">
        <v>29627</v>
      </c>
      <c r="C77" s="61">
        <v>-19653.930139799999</v>
      </c>
      <c r="D77" s="61">
        <v>-36148.279974700003</v>
      </c>
      <c r="E77" s="61">
        <v>-10502.079645</v>
      </c>
    </row>
    <row r="78" spans="2:11" x14ac:dyDescent="0.25">
      <c r="B78">
        <v>17</v>
      </c>
      <c r="C78" t="s">
        <v>164</v>
      </c>
      <c r="D78" t="s">
        <v>95</v>
      </c>
      <c r="E78">
        <v>3</v>
      </c>
      <c r="F78" t="s">
        <v>96</v>
      </c>
      <c r="G78">
        <v>12</v>
      </c>
    </row>
    <row r="79" spans="2:11" x14ac:dyDescent="0.25">
      <c r="B79">
        <v>13941</v>
      </c>
      <c r="C79">
        <v>0</v>
      </c>
      <c r="D79">
        <v>0</v>
      </c>
      <c r="E79">
        <v>-11478</v>
      </c>
      <c r="F79">
        <v>143</v>
      </c>
      <c r="G79">
        <v>0</v>
      </c>
      <c r="H79">
        <v>104</v>
      </c>
      <c r="I79">
        <v>-3852</v>
      </c>
      <c r="J79">
        <v>0</v>
      </c>
      <c r="K79">
        <v>-31086</v>
      </c>
    </row>
    <row r="80" spans="2:11" x14ac:dyDescent="0.25">
      <c r="B80">
        <v>14113</v>
      </c>
      <c r="C80">
        <v>42301</v>
      </c>
      <c r="D80">
        <v>0</v>
      </c>
      <c r="E80">
        <v>32291</v>
      </c>
      <c r="F80">
        <v>-4485</v>
      </c>
      <c r="G80">
        <v>310</v>
      </c>
      <c r="H80">
        <v>-536</v>
      </c>
      <c r="I80">
        <v>0</v>
      </c>
      <c r="J80">
        <v>-594</v>
      </c>
      <c r="K80">
        <v>-722</v>
      </c>
    </row>
    <row r="81" spans="2:11" x14ac:dyDescent="0.25">
      <c r="B81">
        <v>-8463</v>
      </c>
      <c r="C81">
        <v>-3499</v>
      </c>
      <c r="D81">
        <v>-17443</v>
      </c>
      <c r="E81">
        <v>0</v>
      </c>
      <c r="F81">
        <v>202</v>
      </c>
      <c r="G81">
        <v>3059</v>
      </c>
      <c r="H81">
        <v>-24217</v>
      </c>
      <c r="I81">
        <v>-19409</v>
      </c>
      <c r="J81">
        <v>-11002</v>
      </c>
      <c r="K81">
        <v>-19851</v>
      </c>
    </row>
    <row r="82" spans="2:11" x14ac:dyDescent="0.25">
      <c r="B82">
        <v>0</v>
      </c>
      <c r="C82">
        <v>2646</v>
      </c>
      <c r="D82">
        <v>-1018</v>
      </c>
      <c r="E82">
        <v>-21252</v>
      </c>
      <c r="F82">
        <v>12013</v>
      </c>
      <c r="G82">
        <v>11234</v>
      </c>
      <c r="H82">
        <v>-1607</v>
      </c>
      <c r="I82">
        <v>523</v>
      </c>
      <c r="J82">
        <v>0</v>
      </c>
      <c r="K82">
        <v>503</v>
      </c>
    </row>
    <row r="83" spans="2:11" x14ac:dyDescent="0.25">
      <c r="B83">
        <v>-1056</v>
      </c>
      <c r="C83">
        <v>-2491</v>
      </c>
      <c r="D83">
        <v>22686</v>
      </c>
      <c r="E83">
        <v>-16201</v>
      </c>
      <c r="F83">
        <v>8953</v>
      </c>
      <c r="G83">
        <v>-10624</v>
      </c>
      <c r="H83">
        <v>-29291</v>
      </c>
      <c r="I83">
        <v>0</v>
      </c>
      <c r="J83">
        <v>2867</v>
      </c>
      <c r="K83">
        <v>-446</v>
      </c>
    </row>
    <row r="84" spans="2:11" x14ac:dyDescent="0.25">
      <c r="B84">
        <v>-27327</v>
      </c>
      <c r="C84">
        <v>5387</v>
      </c>
      <c r="D84">
        <v>13861</v>
      </c>
      <c r="E84">
        <v>60156</v>
      </c>
      <c r="F84">
        <v>1521</v>
      </c>
      <c r="G84">
        <v>14527</v>
      </c>
      <c r="H84">
        <v>38246</v>
      </c>
      <c r="I84">
        <v>0</v>
      </c>
      <c r="J84">
        <v>33954</v>
      </c>
      <c r="K84">
        <v>-5142</v>
      </c>
    </row>
    <row r="85" spans="2:11" x14ac:dyDescent="0.25">
      <c r="B85">
        <v>88986</v>
      </c>
      <c r="C85">
        <v>-3687</v>
      </c>
      <c r="D85">
        <v>-23477</v>
      </c>
      <c r="E85">
        <v>-18020</v>
      </c>
      <c r="F85">
        <v>1279</v>
      </c>
      <c r="G85">
        <v>-27035</v>
      </c>
      <c r="H85">
        <v>-4645</v>
      </c>
      <c r="I85">
        <v>-29993</v>
      </c>
      <c r="J85">
        <v>0</v>
      </c>
      <c r="K85">
        <v>9029</v>
      </c>
    </row>
    <row r="86" spans="2:11" x14ac:dyDescent="0.25">
      <c r="B86">
        <v>-11092</v>
      </c>
      <c r="C86">
        <v>-31438</v>
      </c>
      <c r="D86">
        <v>2011</v>
      </c>
      <c r="E86">
        <v>5136</v>
      </c>
      <c r="F86">
        <v>88</v>
      </c>
      <c r="G86">
        <v>-972</v>
      </c>
      <c r="H86">
        <v>4553</v>
      </c>
      <c r="I86">
        <v>-27252</v>
      </c>
      <c r="J86">
        <v>17819</v>
      </c>
      <c r="K86">
        <v>29461</v>
      </c>
    </row>
    <row r="87" spans="2:11" x14ac:dyDescent="0.25">
      <c r="B87">
        <v>0</v>
      </c>
      <c r="C87">
        <v>38593</v>
      </c>
      <c r="D87">
        <v>-4920</v>
      </c>
      <c r="E87">
        <v>74216</v>
      </c>
      <c r="F87">
        <v>-2883</v>
      </c>
      <c r="G87">
        <v>-12206</v>
      </c>
      <c r="H87">
        <v>-14151</v>
      </c>
      <c r="I87">
        <v>740</v>
      </c>
      <c r="J87">
        <v>-21299</v>
      </c>
      <c r="K87">
        <v>74997</v>
      </c>
    </row>
    <row r="88" spans="2:11" x14ac:dyDescent="0.25">
      <c r="B88">
        <v>-19294</v>
      </c>
      <c r="C88">
        <v>-12505</v>
      </c>
      <c r="D88">
        <v>-36715</v>
      </c>
      <c r="E88">
        <v>0</v>
      </c>
      <c r="F88">
        <v>1104</v>
      </c>
      <c r="G88">
        <v>5910</v>
      </c>
      <c r="H88">
        <v>-34135</v>
      </c>
      <c r="I88">
        <v>-2669</v>
      </c>
      <c r="J88">
        <v>17549</v>
      </c>
      <c r="K88">
        <v>3640</v>
      </c>
    </row>
    <row r="89" spans="2:11" x14ac:dyDescent="0.25">
      <c r="B89">
        <v>-4145</v>
      </c>
      <c r="C89">
        <v>7359</v>
      </c>
      <c r="D89">
        <v>-32853</v>
      </c>
      <c r="E89">
        <v>21243</v>
      </c>
      <c r="F89">
        <v>-30301</v>
      </c>
      <c r="G89">
        <v>4138</v>
      </c>
      <c r="H89">
        <v>-14563</v>
      </c>
      <c r="I89">
        <v>0</v>
      </c>
      <c r="J89">
        <v>347</v>
      </c>
      <c r="K89">
        <v>926</v>
      </c>
    </row>
    <row r="90" spans="2:11" x14ac:dyDescent="0.25">
      <c r="B90">
        <v>-16838</v>
      </c>
      <c r="C90">
        <v>-20</v>
      </c>
      <c r="D90">
        <v>9698</v>
      </c>
      <c r="E90">
        <v>16098</v>
      </c>
      <c r="F90">
        <v>120</v>
      </c>
      <c r="G90">
        <v>23170</v>
      </c>
      <c r="H90">
        <v>-15996</v>
      </c>
      <c r="I90">
        <v>7850</v>
      </c>
      <c r="J90">
        <v>-19977</v>
      </c>
      <c r="K90">
        <v>-3284</v>
      </c>
    </row>
    <row r="91" spans="2:11" x14ac:dyDescent="0.25">
      <c r="B91">
        <v>-2861</v>
      </c>
      <c r="C91">
        <v>-6206</v>
      </c>
      <c r="D91">
        <v>0</v>
      </c>
      <c r="E91">
        <v>167</v>
      </c>
      <c r="F91">
        <v>219</v>
      </c>
      <c r="G91">
        <v>-7228</v>
      </c>
      <c r="H91">
        <v>-1080</v>
      </c>
      <c r="I91">
        <v>6101</v>
      </c>
      <c r="J91">
        <v>10970</v>
      </c>
      <c r="K91">
        <v>-135</v>
      </c>
    </row>
    <row r="92" spans="2:11" x14ac:dyDescent="0.25">
      <c r="B92">
        <v>15007</v>
      </c>
      <c r="C92">
        <v>-7058</v>
      </c>
      <c r="D92">
        <v>2217</v>
      </c>
      <c r="E92">
        <v>-13781</v>
      </c>
      <c r="F92">
        <v>-681</v>
      </c>
      <c r="G92">
        <v>22068</v>
      </c>
      <c r="H92">
        <v>-11472</v>
      </c>
      <c r="I92">
        <v>-24736</v>
      </c>
      <c r="J92">
        <v>0</v>
      </c>
      <c r="K92">
        <v>-1779</v>
      </c>
    </row>
    <row r="93" spans="2:11" x14ac:dyDescent="0.25">
      <c r="B93">
        <v>4668</v>
      </c>
      <c r="C93">
        <v>-32432</v>
      </c>
      <c r="D93">
        <v>1731</v>
      </c>
      <c r="E93">
        <v>6196</v>
      </c>
      <c r="F93">
        <v>7636</v>
      </c>
      <c r="G93">
        <v>-228</v>
      </c>
      <c r="H93">
        <v>12353</v>
      </c>
      <c r="I93">
        <v>-32147</v>
      </c>
      <c r="J93">
        <v>17028</v>
      </c>
      <c r="K93">
        <v>-30984</v>
      </c>
    </row>
    <row r="94" spans="2:11" x14ac:dyDescent="0.25">
      <c r="B94">
        <v>13638</v>
      </c>
      <c r="C94">
        <v>10974</v>
      </c>
      <c r="D94">
        <v>5049</v>
      </c>
      <c r="E94">
        <v>-9753</v>
      </c>
      <c r="F94">
        <v>-45236</v>
      </c>
      <c r="G94">
        <v>0</v>
      </c>
      <c r="H94">
        <v>23879</v>
      </c>
      <c r="I94">
        <v>2653</v>
      </c>
      <c r="J94">
        <v>-13867</v>
      </c>
      <c r="K94">
        <v>104</v>
      </c>
    </row>
    <row r="95" spans="2:11" x14ac:dyDescent="0.25">
      <c r="B95">
        <v>12829</v>
      </c>
      <c r="C95">
        <v>14667</v>
      </c>
      <c r="D95">
        <v>-541</v>
      </c>
      <c r="E95">
        <v>22433</v>
      </c>
      <c r="F95">
        <v>-11846</v>
      </c>
      <c r="G95">
        <v>22072</v>
      </c>
      <c r="H95">
        <v>-2295</v>
      </c>
      <c r="I95">
        <v>27272</v>
      </c>
      <c r="J95">
        <v>13214</v>
      </c>
      <c r="K95">
        <v>5326</v>
      </c>
    </row>
    <row r="96" spans="2:11" x14ac:dyDescent="0.25">
      <c r="B96">
        <v>16593</v>
      </c>
      <c r="C96">
        <v>37</v>
      </c>
      <c r="D96">
        <v>2112</v>
      </c>
      <c r="E96">
        <v>0</v>
      </c>
      <c r="F96">
        <v>-4378</v>
      </c>
      <c r="G96">
        <v>-50</v>
      </c>
      <c r="H96">
        <v>-1094</v>
      </c>
      <c r="I96">
        <v>8</v>
      </c>
      <c r="J96">
        <v>-1427</v>
      </c>
      <c r="K96">
        <v>-1435</v>
      </c>
    </row>
    <row r="97" spans="2:11" x14ac:dyDescent="0.25">
      <c r="B97">
        <v>53</v>
      </c>
      <c r="C97">
        <v>-2292</v>
      </c>
      <c r="D97">
        <v>-1895</v>
      </c>
      <c r="E97">
        <v>-1792</v>
      </c>
      <c r="F97">
        <v>-2657</v>
      </c>
      <c r="G97">
        <v>-2649</v>
      </c>
      <c r="H97">
        <v>-1813</v>
      </c>
      <c r="I97">
        <v>-679</v>
      </c>
      <c r="J97">
        <v>-254</v>
      </c>
      <c r="K97">
        <v>-30973</v>
      </c>
    </row>
    <row r="98" spans="2:11" x14ac:dyDescent="0.25">
      <c r="B98">
        <v>8181</v>
      </c>
      <c r="C98">
        <v>31545</v>
      </c>
      <c r="D98">
        <v>0</v>
      </c>
      <c r="E98">
        <v>183</v>
      </c>
      <c r="F98">
        <v>1702</v>
      </c>
      <c r="G98">
        <v>25544</v>
      </c>
      <c r="H98">
        <v>1712</v>
      </c>
      <c r="I98">
        <v>-9209</v>
      </c>
      <c r="J98">
        <v>-11725</v>
      </c>
      <c r="K98">
        <v>7</v>
      </c>
    </row>
    <row r="99" spans="2:11" x14ac:dyDescent="0.25">
      <c r="B99">
        <v>-16515</v>
      </c>
      <c r="C99">
        <v>21792</v>
      </c>
      <c r="D99">
        <v>-14141</v>
      </c>
      <c r="E99">
        <v>14869</v>
      </c>
      <c r="F99">
        <v>-17118</v>
      </c>
      <c r="G99">
        <v>-7674</v>
      </c>
      <c r="H99">
        <v>-3277</v>
      </c>
      <c r="I99">
        <v>-761</v>
      </c>
      <c r="J99">
        <v>-62373</v>
      </c>
      <c r="K99">
        <v>7449</v>
      </c>
    </row>
    <row r="100" spans="2:11" x14ac:dyDescent="0.25">
      <c r="B100">
        <v>-8123</v>
      </c>
      <c r="C100">
        <v>25859</v>
      </c>
      <c r="D100">
        <v>0</v>
      </c>
      <c r="E100">
        <v>16762</v>
      </c>
      <c r="F100">
        <v>-3806</v>
      </c>
      <c r="G100">
        <v>28489</v>
      </c>
      <c r="H100">
        <v>-1873</v>
      </c>
      <c r="I100">
        <v>-7182</v>
      </c>
      <c r="J100">
        <v>-6520</v>
      </c>
      <c r="K100">
        <v>723</v>
      </c>
    </row>
    <row r="101" spans="2:11" x14ac:dyDescent="0.25">
      <c r="B101">
        <v>-11122</v>
      </c>
      <c r="C101">
        <v>29602</v>
      </c>
      <c r="D101">
        <v>-10647</v>
      </c>
      <c r="E101">
        <v>28388</v>
      </c>
      <c r="F101">
        <v>-15460</v>
      </c>
      <c r="G101">
        <v>-8395</v>
      </c>
      <c r="H101">
        <v>-3137</v>
      </c>
      <c r="I101">
        <v>-14189</v>
      </c>
      <c r="J101">
        <v>-53945</v>
      </c>
      <c r="K101">
        <v>114</v>
      </c>
    </row>
    <row r="102" spans="2:11" x14ac:dyDescent="0.25">
      <c r="B102">
        <v>27811</v>
      </c>
      <c r="C102">
        <v>6463</v>
      </c>
      <c r="D102">
        <v>20985</v>
      </c>
      <c r="E102">
        <v>0</v>
      </c>
      <c r="F102">
        <v>10328</v>
      </c>
      <c r="G102">
        <v>2313</v>
      </c>
      <c r="H102">
        <v>28939</v>
      </c>
      <c r="I102">
        <v>2033</v>
      </c>
      <c r="J102">
        <v>-5982</v>
      </c>
      <c r="K102">
        <v>-9601</v>
      </c>
    </row>
    <row r="103" spans="2:11" x14ac:dyDescent="0.25">
      <c r="B103">
        <v>-402</v>
      </c>
      <c r="C103">
        <v>-12426</v>
      </c>
      <c r="D103">
        <v>23418</v>
      </c>
      <c r="E103">
        <v>-6972</v>
      </c>
      <c r="F103">
        <v>16556</v>
      </c>
      <c r="G103">
        <v>-10452</v>
      </c>
      <c r="H103">
        <v>-5516</v>
      </c>
      <c r="I103">
        <v>-1713</v>
      </c>
      <c r="J103">
        <v>-1022</v>
      </c>
      <c r="K103">
        <v>-15540</v>
      </c>
    </row>
    <row r="104" spans="2:11" x14ac:dyDescent="0.25">
      <c r="B104">
        <v>-90</v>
      </c>
      <c r="C104">
        <v>41263</v>
      </c>
      <c r="D104">
        <v>8769</v>
      </c>
      <c r="E104">
        <v>-18420</v>
      </c>
      <c r="F104">
        <v>30557</v>
      </c>
      <c r="G104">
        <v>0</v>
      </c>
      <c r="H104">
        <v>24663</v>
      </c>
      <c r="I104">
        <v>-6439</v>
      </c>
      <c r="J104">
        <v>35527</v>
      </c>
      <c r="K104">
        <v>-2094</v>
      </c>
    </row>
    <row r="105" spans="2:11" x14ac:dyDescent="0.25">
      <c r="B105">
        <v>-9488</v>
      </c>
      <c r="C105">
        <v>-8015</v>
      </c>
      <c r="D105">
        <v>1214</v>
      </c>
      <c r="E105">
        <v>-14280</v>
      </c>
      <c r="F105">
        <v>36279</v>
      </c>
      <c r="G105">
        <v>-15496</v>
      </c>
      <c r="H105">
        <v>32295</v>
      </c>
      <c r="I105">
        <v>-19987</v>
      </c>
      <c r="J105">
        <v>-11920</v>
      </c>
      <c r="K105">
        <v>-4063</v>
      </c>
    </row>
    <row r="106" spans="2:11" x14ac:dyDescent="0.25">
      <c r="B106">
        <v>-16855</v>
      </c>
      <c r="C106">
        <v>-27752</v>
      </c>
      <c r="D106">
        <v>4994</v>
      </c>
      <c r="E106">
        <v>15691</v>
      </c>
      <c r="F106">
        <v>46171</v>
      </c>
      <c r="G106">
        <v>15015</v>
      </c>
      <c r="H106">
        <v>1696</v>
      </c>
      <c r="I106">
        <v>-7628</v>
      </c>
      <c r="J106">
        <v>0</v>
      </c>
      <c r="K106">
        <v>21858</v>
      </c>
    </row>
    <row r="107" spans="2:11" x14ac:dyDescent="0.25">
      <c r="B107">
        <v>-418</v>
      </c>
      <c r="C107">
        <v>9284</v>
      </c>
      <c r="D107">
        <v>-2319</v>
      </c>
      <c r="E107">
        <v>2436</v>
      </c>
      <c r="F107">
        <v>3690</v>
      </c>
      <c r="G107">
        <v>-283</v>
      </c>
      <c r="H107">
        <v>5282</v>
      </c>
      <c r="I107">
        <v>13729</v>
      </c>
      <c r="J107">
        <v>8634</v>
      </c>
      <c r="K107">
        <v>25599</v>
      </c>
    </row>
    <row r="108" spans="2:11" x14ac:dyDescent="0.25">
      <c r="B108">
        <v>4252</v>
      </c>
      <c r="C108">
        <v>4264</v>
      </c>
      <c r="D108">
        <v>1432</v>
      </c>
      <c r="E108">
        <v>2379</v>
      </c>
      <c r="F108">
        <v>34669</v>
      </c>
      <c r="G108">
        <v>-4111</v>
      </c>
      <c r="H108">
        <v>-2049</v>
      </c>
      <c r="I108">
        <v>-3139</v>
      </c>
      <c r="J108">
        <v>-8937</v>
      </c>
      <c r="K108">
        <v>-28590</v>
      </c>
    </row>
    <row r="109" spans="2:11" x14ac:dyDescent="0.25">
      <c r="B109">
        <v>11013</v>
      </c>
      <c r="C109">
        <v>46255</v>
      </c>
      <c r="D109">
        <v>0</v>
      </c>
      <c r="E109">
        <v>-18261</v>
      </c>
      <c r="F109">
        <v>-3336</v>
      </c>
      <c r="G109">
        <v>22487</v>
      </c>
      <c r="H109">
        <v>-1681</v>
      </c>
      <c r="I109">
        <v>-16322</v>
      </c>
      <c r="J109">
        <v>-17547</v>
      </c>
      <c r="K109">
        <v>-408</v>
      </c>
    </row>
    <row r="110" spans="2:11" x14ac:dyDescent="0.25">
      <c r="B110">
        <v>-26059</v>
      </c>
      <c r="C110">
        <v>22151</v>
      </c>
      <c r="D110">
        <v>-25189</v>
      </c>
      <c r="E110">
        <v>15406</v>
      </c>
      <c r="F110">
        <v>-34327</v>
      </c>
      <c r="G110">
        <v>-16093</v>
      </c>
      <c r="H110">
        <v>-6420</v>
      </c>
      <c r="I110">
        <v>-17218</v>
      </c>
      <c r="J110">
        <v>-45208</v>
      </c>
      <c r="K110">
        <v>10468</v>
      </c>
    </row>
    <row r="111" spans="2:11" x14ac:dyDescent="0.25">
      <c r="B111">
        <v>36489</v>
      </c>
      <c r="C111">
        <v>19890</v>
      </c>
      <c r="D111">
        <v>21906</v>
      </c>
      <c r="E111">
        <v>32312</v>
      </c>
      <c r="F111">
        <v>19433</v>
      </c>
      <c r="G111">
        <v>4368</v>
      </c>
      <c r="H111">
        <v>14487</v>
      </c>
      <c r="I111">
        <v>0</v>
      </c>
      <c r="J111">
        <v>-1494</v>
      </c>
      <c r="K111">
        <v>-2336</v>
      </c>
    </row>
    <row r="112" spans="2:11" x14ac:dyDescent="0.25">
      <c r="B112">
        <v>13571</v>
      </c>
      <c r="C112">
        <v>-1109</v>
      </c>
      <c r="D112">
        <v>-605</v>
      </c>
      <c r="E112">
        <v>-1616</v>
      </c>
      <c r="F112">
        <v>4912</v>
      </c>
      <c r="G112">
        <v>-8644</v>
      </c>
      <c r="H112">
        <v>12616</v>
      </c>
      <c r="I112">
        <v>-9759</v>
      </c>
      <c r="J112">
        <v>10943</v>
      </c>
      <c r="K112">
        <v>-8202</v>
      </c>
    </row>
    <row r="113" spans="2:11" x14ac:dyDescent="0.25">
      <c r="B113">
        <v>-4726</v>
      </c>
      <c r="C113">
        <v>-2192</v>
      </c>
      <c r="D113">
        <v>-6997</v>
      </c>
      <c r="E113">
        <v>-14238</v>
      </c>
      <c r="F113">
        <v>1733</v>
      </c>
      <c r="G113">
        <v>9338</v>
      </c>
      <c r="H113">
        <v>6879</v>
      </c>
      <c r="I113">
        <v>6800</v>
      </c>
      <c r="J113">
        <v>9487</v>
      </c>
      <c r="K113">
        <v>-7205</v>
      </c>
    </row>
    <row r="114" spans="2:11" x14ac:dyDescent="0.25">
      <c r="B114">
        <v>-598</v>
      </c>
      <c r="C114">
        <v>6331</v>
      </c>
      <c r="D114">
        <v>14471</v>
      </c>
      <c r="E114">
        <v>0</v>
      </c>
      <c r="F114">
        <v>-386</v>
      </c>
      <c r="G114">
        <v>-1966</v>
      </c>
      <c r="H114">
        <v>13325</v>
      </c>
      <c r="I114">
        <v>690</v>
      </c>
      <c r="J114">
        <v>2361</v>
      </c>
      <c r="K114">
        <v>-1203</v>
      </c>
    </row>
    <row r="115" spans="2:11" x14ac:dyDescent="0.25">
      <c r="B115">
        <v>4955</v>
      </c>
      <c r="C115">
        <v>-8297</v>
      </c>
      <c r="D115">
        <v>12590</v>
      </c>
      <c r="E115">
        <v>-9167</v>
      </c>
      <c r="F115">
        <v>11440</v>
      </c>
      <c r="G115">
        <v>-8119</v>
      </c>
      <c r="H115">
        <v>-3980</v>
      </c>
      <c r="I115">
        <v>-2901</v>
      </c>
      <c r="J115">
        <v>-7030</v>
      </c>
      <c r="K115">
        <v>-13153</v>
      </c>
    </row>
    <row r="116" spans="2:11" x14ac:dyDescent="0.25">
      <c r="B116">
        <v>1507</v>
      </c>
      <c r="C116">
        <v>9029</v>
      </c>
      <c r="D116">
        <v>5967</v>
      </c>
      <c r="E116">
        <v>6594</v>
      </c>
      <c r="F116">
        <v>8834</v>
      </c>
      <c r="G116">
        <v>-4871</v>
      </c>
      <c r="H116">
        <v>70</v>
      </c>
      <c r="I116">
        <v>53966</v>
      </c>
      <c r="J116">
        <v>-643</v>
      </c>
      <c r="K116">
        <v>-1187</v>
      </c>
    </row>
    <row r="117" spans="2:11" x14ac:dyDescent="0.25">
      <c r="B117">
        <v>0</v>
      </c>
      <c r="C117">
        <v>642</v>
      </c>
      <c r="D117">
        <v>-1176</v>
      </c>
      <c r="E117">
        <v>-707</v>
      </c>
      <c r="F117">
        <v>-1471</v>
      </c>
      <c r="G117">
        <v>1983</v>
      </c>
      <c r="H117">
        <v>1900</v>
      </c>
      <c r="I117">
        <v>2764</v>
      </c>
      <c r="J117">
        <v>-169</v>
      </c>
      <c r="K117">
        <v>-498</v>
      </c>
    </row>
    <row r="118" spans="2:11" x14ac:dyDescent="0.25">
      <c r="B118">
        <v>572</v>
      </c>
      <c r="C118">
        <v>-968</v>
      </c>
      <c r="D118">
        <v>1381</v>
      </c>
      <c r="E118">
        <v>729</v>
      </c>
      <c r="F118">
        <v>-336</v>
      </c>
      <c r="G118">
        <v>835</v>
      </c>
      <c r="H118">
        <v>-421</v>
      </c>
      <c r="I118">
        <v>231</v>
      </c>
      <c r="J118">
        <v>440</v>
      </c>
      <c r="K118">
        <v>-169</v>
      </c>
    </row>
    <row r="119" spans="2:11" x14ac:dyDescent="0.25">
      <c r="B119">
        <v>-638</v>
      </c>
      <c r="C119">
        <v>291</v>
      </c>
      <c r="D119">
        <v>-868</v>
      </c>
      <c r="E119">
        <v>-11358</v>
      </c>
      <c r="F119">
        <v>40709</v>
      </c>
      <c r="G119">
        <v>38710</v>
      </c>
      <c r="H119">
        <v>1929</v>
      </c>
      <c r="I119">
        <v>6629</v>
      </c>
      <c r="J119">
        <v>0</v>
      </c>
      <c r="K119">
        <v>204</v>
      </c>
    </row>
    <row r="120" spans="2:11" x14ac:dyDescent="0.25">
      <c r="B120">
        <v>-2211</v>
      </c>
      <c r="C120">
        <v>6747</v>
      </c>
      <c r="D120">
        <v>-1409</v>
      </c>
      <c r="E120">
        <v>-2097</v>
      </c>
      <c r="F120">
        <v>103</v>
      </c>
      <c r="G120">
        <v>3021</v>
      </c>
      <c r="H120">
        <v>-3312</v>
      </c>
      <c r="I120">
        <v>6541</v>
      </c>
      <c r="J120">
        <v>-3671</v>
      </c>
      <c r="K120">
        <v>4949</v>
      </c>
    </row>
    <row r="121" spans="2:11" x14ac:dyDescent="0.25">
      <c r="B121">
        <v>-3382</v>
      </c>
      <c r="C121">
        <v>-2366</v>
      </c>
      <c r="D121">
        <v>-691</v>
      </c>
      <c r="E121">
        <v>-3407</v>
      </c>
      <c r="F121">
        <v>-6285</v>
      </c>
      <c r="G121">
        <v>1439</v>
      </c>
      <c r="H121">
        <v>4146</v>
      </c>
      <c r="I121">
        <v>2644</v>
      </c>
      <c r="J121">
        <v>2394</v>
      </c>
      <c r="K121">
        <v>4440</v>
      </c>
    </row>
    <row r="122" spans="2:11" x14ac:dyDescent="0.25">
      <c r="B122">
        <v>-2320</v>
      </c>
      <c r="C122">
        <v>-6106</v>
      </c>
      <c r="D122">
        <v>47042</v>
      </c>
      <c r="E122">
        <v>44616</v>
      </c>
      <c r="F122">
        <v>36988</v>
      </c>
      <c r="G122">
        <v>3618</v>
      </c>
      <c r="H122">
        <v>8483</v>
      </c>
      <c r="I122">
        <v>0</v>
      </c>
      <c r="J122">
        <v>-1224</v>
      </c>
      <c r="K122">
        <v>-1461</v>
      </c>
    </row>
    <row r="123" spans="2:11" x14ac:dyDescent="0.25">
      <c r="B123">
        <v>7476</v>
      </c>
      <c r="C123">
        <v>-150</v>
      </c>
      <c r="D123">
        <v>151</v>
      </c>
      <c r="E123">
        <v>-1159</v>
      </c>
      <c r="F123">
        <v>4286</v>
      </c>
      <c r="G123">
        <v>-6061</v>
      </c>
      <c r="H123">
        <v>7200</v>
      </c>
      <c r="I123">
        <v>-5536</v>
      </c>
      <c r="J123">
        <v>5727</v>
      </c>
      <c r="K123">
        <v>-5261</v>
      </c>
    </row>
    <row r="124" spans="2:11" x14ac:dyDescent="0.25">
      <c r="B124">
        <v>-2457</v>
      </c>
      <c r="C124">
        <v>-2047</v>
      </c>
      <c r="D124">
        <v>-4402</v>
      </c>
      <c r="E124">
        <v>-8601</v>
      </c>
      <c r="F124">
        <v>1275</v>
      </c>
      <c r="G124">
        <v>5559</v>
      </c>
      <c r="H124">
        <v>3727</v>
      </c>
      <c r="I124">
        <v>3300</v>
      </c>
      <c r="J124">
        <v>5344</v>
      </c>
      <c r="K124">
        <v>-4481</v>
      </c>
    </row>
    <row r="125" spans="2:11" x14ac:dyDescent="0.25">
      <c r="B125">
        <v>-2720</v>
      </c>
      <c r="C125">
        <v>47096</v>
      </c>
      <c r="D125">
        <v>43057</v>
      </c>
      <c r="E125">
        <v>34006</v>
      </c>
      <c r="F125">
        <v>38672</v>
      </c>
      <c r="G125">
        <v>1001</v>
      </c>
      <c r="H125">
        <v>-5366</v>
      </c>
      <c r="I125">
        <v>0</v>
      </c>
      <c r="J125">
        <v>458</v>
      </c>
      <c r="K125">
        <v>-465</v>
      </c>
    </row>
    <row r="126" spans="2:11" x14ac:dyDescent="0.25">
      <c r="B126">
        <v>-3032</v>
      </c>
      <c r="C126">
        <v>746</v>
      </c>
      <c r="D126">
        <v>1947</v>
      </c>
      <c r="E126">
        <v>5040</v>
      </c>
      <c r="F126">
        <v>4366</v>
      </c>
      <c r="G126">
        <v>2463</v>
      </c>
      <c r="H126">
        <v>-2813</v>
      </c>
      <c r="I126">
        <v>1510</v>
      </c>
      <c r="J126">
        <v>-2580</v>
      </c>
      <c r="K126">
        <v>4263</v>
      </c>
    </row>
    <row r="127" spans="2:11" x14ac:dyDescent="0.25">
      <c r="B127">
        <v>794</v>
      </c>
      <c r="C127">
        <v>412</v>
      </c>
      <c r="D127">
        <v>1750</v>
      </c>
      <c r="E127">
        <v>1774</v>
      </c>
      <c r="F127">
        <v>615</v>
      </c>
      <c r="G127">
        <v>-1290</v>
      </c>
      <c r="H127">
        <v>-2004</v>
      </c>
      <c r="I127">
        <v>-1031</v>
      </c>
      <c r="J127">
        <v>-2867</v>
      </c>
      <c r="K127">
        <v>-562</v>
      </c>
    </row>
    <row r="128" spans="2:11" x14ac:dyDescent="0.25">
      <c r="B128">
        <v>-16130</v>
      </c>
      <c r="C128">
        <v>45832</v>
      </c>
      <c r="D128">
        <v>45376</v>
      </c>
      <c r="E128">
        <v>38004</v>
      </c>
      <c r="F128">
        <v>41649</v>
      </c>
      <c r="G128">
        <v>38354</v>
      </c>
      <c r="H128">
        <v>-10117</v>
      </c>
      <c r="I128">
        <v>-37489</v>
      </c>
      <c r="J128">
        <v>0</v>
      </c>
      <c r="K128">
        <v>18618</v>
      </c>
    </row>
    <row r="129" spans="2:11" x14ac:dyDescent="0.25">
      <c r="B129">
        <v>8989</v>
      </c>
      <c r="C129">
        <v>-42147</v>
      </c>
      <c r="D129">
        <v>4386</v>
      </c>
      <c r="E129">
        <v>8573</v>
      </c>
      <c r="F129">
        <v>8443</v>
      </c>
      <c r="G129">
        <v>-66</v>
      </c>
      <c r="H129">
        <v>12747</v>
      </c>
      <c r="I129">
        <v>-31978</v>
      </c>
      <c r="J129">
        <v>7726</v>
      </c>
      <c r="K129">
        <v>-26812</v>
      </c>
    </row>
    <row r="130" spans="2:11" x14ac:dyDescent="0.25">
      <c r="B130">
        <v>16908</v>
      </c>
      <c r="C130">
        <v>7072</v>
      </c>
      <c r="D130">
        <v>3266</v>
      </c>
      <c r="E130">
        <v>16850</v>
      </c>
      <c r="F130">
        <v>13772</v>
      </c>
      <c r="G130">
        <v>3531</v>
      </c>
      <c r="H130">
        <v>-7140</v>
      </c>
      <c r="I130">
        <v>-8059</v>
      </c>
      <c r="J130">
        <v>-7636</v>
      </c>
      <c r="K130">
        <v>-2927</v>
      </c>
    </row>
    <row r="131" spans="2:11" x14ac:dyDescent="0.25">
      <c r="B131">
        <v>21564</v>
      </c>
      <c r="C131">
        <v>14168</v>
      </c>
      <c r="D131">
        <v>-7956</v>
      </c>
      <c r="E131">
        <v>-7394</v>
      </c>
      <c r="F131">
        <v>205</v>
      </c>
      <c r="G131">
        <v>-4039</v>
      </c>
      <c r="H131">
        <v>-4277</v>
      </c>
      <c r="I131">
        <v>1363</v>
      </c>
      <c r="J131">
        <v>2701</v>
      </c>
      <c r="K131">
        <v>12146</v>
      </c>
    </row>
    <row r="132" spans="2:11" x14ac:dyDescent="0.25">
      <c r="B132">
        <v>0</v>
      </c>
      <c r="C132">
        <v>-39886</v>
      </c>
      <c r="D132">
        <v>-2031</v>
      </c>
      <c r="E132">
        <v>-40550</v>
      </c>
      <c r="F132">
        <v>473</v>
      </c>
      <c r="G132">
        <v>-3244</v>
      </c>
      <c r="H132">
        <v>-1206</v>
      </c>
      <c r="I132">
        <v>1098</v>
      </c>
      <c r="J132">
        <v>-5016</v>
      </c>
      <c r="K132">
        <v>-31852</v>
      </c>
    </row>
    <row r="133" spans="2:11" x14ac:dyDescent="0.25">
      <c r="B133">
        <v>-2778</v>
      </c>
      <c r="C133">
        <v>-35614</v>
      </c>
      <c r="D133">
        <v>-8323</v>
      </c>
      <c r="E133">
        <v>-3786</v>
      </c>
      <c r="F133">
        <v>-785</v>
      </c>
      <c r="G133">
        <v>-5677</v>
      </c>
      <c r="H133">
        <v>-31527</v>
      </c>
      <c r="I133">
        <v>8667</v>
      </c>
      <c r="J133">
        <v>5774</v>
      </c>
      <c r="K133">
        <v>-2052</v>
      </c>
    </row>
    <row r="134" spans="2:11" x14ac:dyDescent="0.25">
      <c r="B134">
        <v>-7030</v>
      </c>
      <c r="C134">
        <v>2185</v>
      </c>
      <c r="D134">
        <v>3368</v>
      </c>
      <c r="E134">
        <v>60553</v>
      </c>
      <c r="F134">
        <v>2876</v>
      </c>
      <c r="G134">
        <v>2217</v>
      </c>
      <c r="H134">
        <v>-167</v>
      </c>
      <c r="I134">
        <v>632</v>
      </c>
      <c r="J134">
        <v>2002</v>
      </c>
      <c r="K134">
        <v>-1613</v>
      </c>
    </row>
    <row r="135" spans="2:11" x14ac:dyDescent="0.25">
      <c r="B135">
        <v>35059</v>
      </c>
      <c r="C135">
        <v>-8682</v>
      </c>
      <c r="D135">
        <v>-35126</v>
      </c>
      <c r="E135">
        <v>0</v>
      </c>
      <c r="F135">
        <v>21275</v>
      </c>
      <c r="G135">
        <v>9793</v>
      </c>
      <c r="H135">
        <v>-32061</v>
      </c>
      <c r="I135">
        <v>1619</v>
      </c>
      <c r="J135">
        <v>7023</v>
      </c>
      <c r="K135">
        <v>8215</v>
      </c>
    </row>
    <row r="136" spans="2:11" x14ac:dyDescent="0.25">
      <c r="B136">
        <v>-114</v>
      </c>
      <c r="C136">
        <v>10963</v>
      </c>
      <c r="D136">
        <v>-39322</v>
      </c>
      <c r="E136">
        <v>2648</v>
      </c>
      <c r="F136">
        <v>-25821</v>
      </c>
      <c r="G136">
        <v>15158</v>
      </c>
      <c r="H136">
        <v>6131</v>
      </c>
      <c r="I136">
        <v>2931</v>
      </c>
      <c r="J136">
        <v>16319</v>
      </c>
      <c r="K136">
        <v>12180</v>
      </c>
    </row>
    <row r="137" spans="2:11" x14ac:dyDescent="0.25">
      <c r="B137">
        <v>4630</v>
      </c>
      <c r="C137">
        <v>-2935</v>
      </c>
      <c r="D137">
        <v>-8199</v>
      </c>
      <c r="E137">
        <v>-2069</v>
      </c>
      <c r="F137">
        <v>-1827</v>
      </c>
      <c r="G137">
        <v>21027</v>
      </c>
      <c r="H137">
        <v>18441</v>
      </c>
      <c r="I137">
        <v>-6719</v>
      </c>
      <c r="J137">
        <v>-6227</v>
      </c>
      <c r="K137">
        <v>186</v>
      </c>
    </row>
    <row r="138" spans="2:11" x14ac:dyDescent="0.25">
      <c r="B138">
        <v>-3652</v>
      </c>
      <c r="C138">
        <v>-3678</v>
      </c>
      <c r="D138">
        <v>1457</v>
      </c>
      <c r="E138">
        <v>78930</v>
      </c>
      <c r="F138">
        <v>30392</v>
      </c>
      <c r="G138">
        <v>3690</v>
      </c>
      <c r="H138">
        <v>18639</v>
      </c>
      <c r="I138">
        <v>0</v>
      </c>
      <c r="J138">
        <v>-39790</v>
      </c>
      <c r="K138">
        <v>-1761</v>
      </c>
    </row>
    <row r="139" spans="2:11" x14ac:dyDescent="0.25">
      <c r="B139">
        <v>-25254</v>
      </c>
      <c r="C139">
        <v>-3791</v>
      </c>
      <c r="D139">
        <v>-5640</v>
      </c>
      <c r="E139">
        <v>-5219</v>
      </c>
      <c r="F139">
        <v>-784</v>
      </c>
      <c r="G139">
        <v>-7048</v>
      </c>
      <c r="H139">
        <v>-36267</v>
      </c>
      <c r="I139">
        <v>-8413</v>
      </c>
      <c r="J139">
        <v>-32012</v>
      </c>
      <c r="K139">
        <v>-11745</v>
      </c>
    </row>
    <row r="140" spans="2:11" x14ac:dyDescent="0.25">
      <c r="B140">
        <v>-5558</v>
      </c>
      <c r="C140">
        <v>-1399</v>
      </c>
      <c r="D140">
        <v>-7968</v>
      </c>
      <c r="E140">
        <v>-34545</v>
      </c>
      <c r="F140">
        <v>9374</v>
      </c>
      <c r="G140">
        <v>10743</v>
      </c>
      <c r="H140">
        <v>-1314</v>
      </c>
      <c r="I140">
        <v>-483</v>
      </c>
      <c r="J140">
        <v>3656</v>
      </c>
      <c r="K140">
        <v>28</v>
      </c>
    </row>
    <row r="141" spans="2:11" x14ac:dyDescent="0.25">
      <c r="B141">
        <v>62815</v>
      </c>
      <c r="C141">
        <v>4658</v>
      </c>
      <c r="D141">
        <v>3799</v>
      </c>
      <c r="E141">
        <v>-360</v>
      </c>
      <c r="F141">
        <v>1284</v>
      </c>
      <c r="G141">
        <v>2807</v>
      </c>
      <c r="H141">
        <v>-1938</v>
      </c>
      <c r="I141">
        <v>23826</v>
      </c>
      <c r="J141">
        <v>84205</v>
      </c>
      <c r="K141">
        <v>34904</v>
      </c>
    </row>
    <row r="142" spans="2:11" x14ac:dyDescent="0.25">
      <c r="B142">
        <v>10994</v>
      </c>
      <c r="C142">
        <v>47341</v>
      </c>
      <c r="D142">
        <v>0</v>
      </c>
      <c r="E142">
        <v>-14980</v>
      </c>
      <c r="F142">
        <v>-2725</v>
      </c>
      <c r="G142">
        <v>37752</v>
      </c>
      <c r="H142">
        <v>-3535</v>
      </c>
      <c r="I142">
        <v>-14266</v>
      </c>
      <c r="J142">
        <v>-17852</v>
      </c>
      <c r="K142">
        <v>-76</v>
      </c>
    </row>
    <row r="143" spans="2:11" x14ac:dyDescent="0.25">
      <c r="B143">
        <v>-24746</v>
      </c>
      <c r="C143">
        <v>13967</v>
      </c>
      <c r="D143">
        <v>-28655</v>
      </c>
      <c r="E143">
        <v>18157</v>
      </c>
      <c r="F143">
        <v>-33180</v>
      </c>
      <c r="G143">
        <v>-15752</v>
      </c>
      <c r="H143">
        <v>-6250</v>
      </c>
      <c r="I143">
        <v>-17656</v>
      </c>
      <c r="J143">
        <v>-42362</v>
      </c>
      <c r="K143">
        <v>9750</v>
      </c>
    </row>
    <row r="144" spans="2:11" x14ac:dyDescent="0.25">
      <c r="B144">
        <v>37270</v>
      </c>
      <c r="C144">
        <v>17919</v>
      </c>
      <c r="D144">
        <v>26839</v>
      </c>
      <c r="E144">
        <v>29394</v>
      </c>
      <c r="F144">
        <v>11555</v>
      </c>
      <c r="G144">
        <v>84448</v>
      </c>
      <c r="H144">
        <v>13229</v>
      </c>
      <c r="I144">
        <v>13115</v>
      </c>
      <c r="J144">
        <v>-774</v>
      </c>
      <c r="K144">
        <v>5521</v>
      </c>
    </row>
    <row r="145" spans="2:11" x14ac:dyDescent="0.25">
      <c r="B145">
        <v>8379</v>
      </c>
      <c r="C145">
        <v>-3610</v>
      </c>
      <c r="D145">
        <v>-2227</v>
      </c>
      <c r="E145">
        <v>39260</v>
      </c>
      <c r="F145">
        <v>20286</v>
      </c>
      <c r="G145">
        <v>62679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-12939</v>
      </c>
      <c r="F149">
        <v>-50066</v>
      </c>
      <c r="G149">
        <v>0</v>
      </c>
      <c r="H149">
        <v>17621</v>
      </c>
      <c r="I149">
        <v>8846</v>
      </c>
      <c r="J149">
        <v>-41283</v>
      </c>
      <c r="K149">
        <v>1056</v>
      </c>
    </row>
    <row r="150" spans="2:11" x14ac:dyDescent="0.25">
      <c r="B150">
        <v>12182</v>
      </c>
      <c r="C150">
        <v>14847</v>
      </c>
      <c r="D150">
        <v>-406</v>
      </c>
      <c r="E150">
        <v>21775</v>
      </c>
      <c r="F150">
        <v>-38814</v>
      </c>
      <c r="G150">
        <v>18471</v>
      </c>
      <c r="H150">
        <v>-44331</v>
      </c>
      <c r="I150">
        <v>23828</v>
      </c>
      <c r="J150">
        <v>14186</v>
      </c>
      <c r="K150">
        <v>7510</v>
      </c>
    </row>
    <row r="151" spans="2:11" x14ac:dyDescent="0.25">
      <c r="B151">
        <v>23832</v>
      </c>
      <c r="C151">
        <v>26872</v>
      </c>
      <c r="D151">
        <v>1140</v>
      </c>
      <c r="E151">
        <v>-12338</v>
      </c>
      <c r="F151">
        <v>-15751</v>
      </c>
      <c r="G151">
        <v>-6149</v>
      </c>
      <c r="H151">
        <v>-13979</v>
      </c>
      <c r="I151">
        <v>15096</v>
      </c>
      <c r="J151">
        <v>-10537</v>
      </c>
      <c r="K151">
        <v>-11150</v>
      </c>
    </row>
    <row r="152" spans="2:11" x14ac:dyDescent="0.25">
      <c r="B152">
        <v>-10568</v>
      </c>
      <c r="C152">
        <v>806</v>
      </c>
      <c r="D152">
        <v>-5289</v>
      </c>
      <c r="E152">
        <v>-6408</v>
      </c>
      <c r="F152">
        <v>3069</v>
      </c>
      <c r="G152">
        <v>57208</v>
      </c>
      <c r="H152">
        <v>13177</v>
      </c>
      <c r="I152">
        <v>59141</v>
      </c>
      <c r="J152">
        <v>8467</v>
      </c>
      <c r="K152">
        <v>-15269</v>
      </c>
    </row>
    <row r="153" spans="2:11" x14ac:dyDescent="0.25">
      <c r="B153">
        <v>0</v>
      </c>
      <c r="C153">
        <v>-6048</v>
      </c>
      <c r="D153">
        <v>2346</v>
      </c>
      <c r="E153">
        <v>0</v>
      </c>
      <c r="F153">
        <v>-13725</v>
      </c>
      <c r="G153">
        <v>2488</v>
      </c>
      <c r="H153">
        <v>572</v>
      </c>
      <c r="I153">
        <v>-716</v>
      </c>
      <c r="J153">
        <v>-1108</v>
      </c>
      <c r="K153">
        <v>-974</v>
      </c>
    </row>
    <row r="154" spans="2:11" x14ac:dyDescent="0.25">
      <c r="B154">
        <v>340</v>
      </c>
      <c r="C154">
        <v>-1320</v>
      </c>
      <c r="D154">
        <v>-12150</v>
      </c>
      <c r="E154">
        <v>-9313</v>
      </c>
      <c r="F154">
        <v>-41953</v>
      </c>
      <c r="G154">
        <v>-3781</v>
      </c>
      <c r="H154">
        <v>1223</v>
      </c>
      <c r="I154">
        <v>876</v>
      </c>
      <c r="J154">
        <v>5257</v>
      </c>
      <c r="K154">
        <v>-9330</v>
      </c>
    </row>
    <row r="155" spans="2:11" x14ac:dyDescent="0.25">
      <c r="B155">
        <v>6964</v>
      </c>
      <c r="C155">
        <v>21105</v>
      </c>
      <c r="D155">
        <v>-1719</v>
      </c>
      <c r="E155">
        <v>21724</v>
      </c>
      <c r="F155">
        <v>6694</v>
      </c>
      <c r="G155">
        <v>16088</v>
      </c>
      <c r="H155">
        <v>50058</v>
      </c>
      <c r="I155">
        <v>-184</v>
      </c>
      <c r="J155">
        <v>326</v>
      </c>
      <c r="K155">
        <v>-66</v>
      </c>
    </row>
    <row r="156" spans="2:11" x14ac:dyDescent="0.25">
      <c r="B156">
        <v>-67</v>
      </c>
      <c r="C156">
        <v>626</v>
      </c>
      <c r="D156">
        <v>-673</v>
      </c>
      <c r="E156">
        <v>19579</v>
      </c>
      <c r="F156">
        <v>32814</v>
      </c>
      <c r="G156">
        <v>32608</v>
      </c>
      <c r="H156">
        <v>44127</v>
      </c>
      <c r="I156">
        <v>55364</v>
      </c>
      <c r="J156">
        <v>0</v>
      </c>
      <c r="K156">
        <v>32595</v>
      </c>
    </row>
    <row r="157" spans="2:11" x14ac:dyDescent="0.25">
      <c r="B157">
        <v>-690</v>
      </c>
      <c r="C157">
        <v>15534</v>
      </c>
      <c r="D157">
        <v>0</v>
      </c>
      <c r="E157">
        <v>-14528</v>
      </c>
      <c r="F157">
        <v>-44</v>
      </c>
      <c r="G157">
        <v>441</v>
      </c>
      <c r="H157">
        <v>-1616</v>
      </c>
      <c r="I157">
        <v>-6229</v>
      </c>
      <c r="J157">
        <v>-5457</v>
      </c>
      <c r="K157">
        <v>-239</v>
      </c>
    </row>
    <row r="158" spans="2:11" x14ac:dyDescent="0.25">
      <c r="B158">
        <v>-9371</v>
      </c>
      <c r="C158">
        <v>14776</v>
      </c>
      <c r="D158">
        <v>-13038</v>
      </c>
      <c r="E158">
        <v>-29150</v>
      </c>
      <c r="F158">
        <v>-14874</v>
      </c>
      <c r="G158">
        <v>-3480</v>
      </c>
      <c r="H158">
        <v>81</v>
      </c>
      <c r="I158">
        <v>-2282</v>
      </c>
      <c r="J158">
        <v>-21879</v>
      </c>
      <c r="K158">
        <v>7452</v>
      </c>
    </row>
    <row r="159" spans="2:11" x14ac:dyDescent="0.25">
      <c r="B159">
        <v>24552</v>
      </c>
      <c r="C159">
        <v>6807</v>
      </c>
      <c r="D159">
        <v>18492</v>
      </c>
      <c r="E159">
        <v>16840</v>
      </c>
      <c r="F159">
        <v>16924</v>
      </c>
      <c r="G159">
        <v>65609</v>
      </c>
      <c r="H159">
        <v>4246</v>
      </c>
      <c r="I159">
        <v>4628</v>
      </c>
      <c r="J159">
        <v>154</v>
      </c>
      <c r="K159">
        <v>2256</v>
      </c>
    </row>
    <row r="160" spans="2:11" x14ac:dyDescent="0.25">
      <c r="B160">
        <v>3124</v>
      </c>
      <c r="C160">
        <v>-1335</v>
      </c>
      <c r="D160">
        <v>24449</v>
      </c>
      <c r="E160">
        <v>49177</v>
      </c>
      <c r="F160">
        <v>15899</v>
      </c>
      <c r="G160">
        <v>37109</v>
      </c>
      <c r="H160">
        <v>40321</v>
      </c>
      <c r="I160">
        <v>0</v>
      </c>
      <c r="J160">
        <v>21939</v>
      </c>
      <c r="K160">
        <v>75918</v>
      </c>
    </row>
    <row r="161" spans="2:11" x14ac:dyDescent="0.25">
      <c r="B161">
        <v>1165</v>
      </c>
      <c r="C161">
        <v>2608</v>
      </c>
      <c r="D161">
        <v>0</v>
      </c>
      <c r="E161">
        <v>7590</v>
      </c>
      <c r="F161">
        <v>2196</v>
      </c>
      <c r="G161">
        <v>-268</v>
      </c>
      <c r="H161">
        <v>-733</v>
      </c>
      <c r="I161">
        <v>-3304</v>
      </c>
      <c r="J161">
        <v>-3106</v>
      </c>
      <c r="K161">
        <v>260</v>
      </c>
    </row>
    <row r="162" spans="2:11" x14ac:dyDescent="0.25">
      <c r="B162">
        <v>-5596</v>
      </c>
      <c r="C162">
        <v>1548</v>
      </c>
      <c r="D162">
        <v>-5573</v>
      </c>
      <c r="E162">
        <v>462</v>
      </c>
      <c r="F162">
        <v>-7645</v>
      </c>
      <c r="G162">
        <v>-4333</v>
      </c>
      <c r="H162">
        <v>-1653</v>
      </c>
      <c r="I162">
        <v>-3020</v>
      </c>
      <c r="J162">
        <v>-16611</v>
      </c>
      <c r="K162">
        <v>2825</v>
      </c>
    </row>
    <row r="163" spans="2:11" x14ac:dyDescent="0.25">
      <c r="B163">
        <v>7283</v>
      </c>
      <c r="C163">
        <v>-2223</v>
      </c>
      <c r="D163">
        <v>8538</v>
      </c>
      <c r="E163">
        <v>12103</v>
      </c>
      <c r="F163">
        <v>6257</v>
      </c>
      <c r="G163">
        <v>33430</v>
      </c>
      <c r="H163">
        <v>3849</v>
      </c>
      <c r="I163">
        <v>4221</v>
      </c>
      <c r="J163">
        <v>307</v>
      </c>
      <c r="K163">
        <v>1877</v>
      </c>
    </row>
    <row r="164" spans="2:11" x14ac:dyDescent="0.25">
      <c r="B164">
        <v>2076</v>
      </c>
      <c r="C164">
        <v>-10</v>
      </c>
      <c r="D164">
        <v>27415</v>
      </c>
      <c r="E164">
        <v>25983</v>
      </c>
      <c r="F164">
        <v>29501</v>
      </c>
      <c r="G164">
        <v>24598</v>
      </c>
      <c r="H164">
        <v>26482</v>
      </c>
      <c r="I164">
        <v>0</v>
      </c>
      <c r="J164">
        <v>14963</v>
      </c>
      <c r="K164">
        <v>19530</v>
      </c>
    </row>
    <row r="165" spans="2:11" x14ac:dyDescent="0.25">
      <c r="B165">
        <v>25557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4599</v>
      </c>
      <c r="F169">
        <v>18026</v>
      </c>
      <c r="G169">
        <v>0</v>
      </c>
      <c r="H169">
        <v>-12068</v>
      </c>
      <c r="I169">
        <v>-1666</v>
      </c>
      <c r="J169">
        <v>4888</v>
      </c>
      <c r="K169">
        <v>-1197</v>
      </c>
    </row>
    <row r="170" spans="2:11" x14ac:dyDescent="0.25">
      <c r="B170">
        <v>-7115</v>
      </c>
      <c r="C170">
        <v>-7073</v>
      </c>
      <c r="D170">
        <v>440</v>
      </c>
      <c r="E170">
        <v>-11756</v>
      </c>
      <c r="F170">
        <v>13472</v>
      </c>
      <c r="G170">
        <v>-10959</v>
      </c>
      <c r="H170">
        <v>2589</v>
      </c>
      <c r="I170">
        <v>-15095</v>
      </c>
      <c r="J170">
        <v>-7340</v>
      </c>
      <c r="K170">
        <v>-2921</v>
      </c>
    </row>
    <row r="171" spans="2:11" x14ac:dyDescent="0.25">
      <c r="B171">
        <v>-7064</v>
      </c>
      <c r="C171">
        <v>-38346</v>
      </c>
      <c r="D171">
        <v>-3841</v>
      </c>
      <c r="E171">
        <v>23846</v>
      </c>
      <c r="F171">
        <v>13604</v>
      </c>
      <c r="G171">
        <v>10472</v>
      </c>
      <c r="H171">
        <v>16613</v>
      </c>
      <c r="I171">
        <v>5792</v>
      </c>
      <c r="J171">
        <v>47812</v>
      </c>
      <c r="K171">
        <v>7014</v>
      </c>
    </row>
    <row r="172" spans="2:11" x14ac:dyDescent="0.25">
      <c r="B172">
        <v>7218</v>
      </c>
      <c r="C172">
        <v>210</v>
      </c>
      <c r="D172">
        <v>3554</v>
      </c>
      <c r="E172">
        <v>3986</v>
      </c>
      <c r="F172">
        <v>-704</v>
      </c>
      <c r="G172">
        <v>11110</v>
      </c>
      <c r="H172">
        <v>34733</v>
      </c>
      <c r="I172">
        <v>6100</v>
      </c>
      <c r="J172">
        <v>27889</v>
      </c>
      <c r="K172">
        <v>32085</v>
      </c>
    </row>
    <row r="173" spans="2:11" x14ac:dyDescent="0.25">
      <c r="B173">
        <v>0</v>
      </c>
      <c r="C173">
        <v>-1981</v>
      </c>
      <c r="D173">
        <v>24482</v>
      </c>
      <c r="E173">
        <v>43052</v>
      </c>
      <c r="F173">
        <v>29243</v>
      </c>
      <c r="G173">
        <v>0</v>
      </c>
      <c r="H173">
        <v>1253</v>
      </c>
      <c r="I173">
        <v>2978</v>
      </c>
      <c r="J173">
        <v>0</v>
      </c>
      <c r="K173">
        <v>-8236</v>
      </c>
    </row>
    <row r="174" spans="2:11" x14ac:dyDescent="0.25">
      <c r="B174">
        <v>-512</v>
      </c>
      <c r="C174">
        <v>-5452</v>
      </c>
      <c r="D174">
        <v>-730</v>
      </c>
      <c r="E174">
        <v>-1875</v>
      </c>
      <c r="F174">
        <v>-1642</v>
      </c>
      <c r="G174">
        <v>241</v>
      </c>
      <c r="H174">
        <v>-3041</v>
      </c>
      <c r="I174">
        <v>-3854</v>
      </c>
      <c r="J174">
        <v>-2566</v>
      </c>
      <c r="K174">
        <v>3379</v>
      </c>
    </row>
    <row r="175" spans="2:11" x14ac:dyDescent="0.25">
      <c r="B175">
        <v>-4155</v>
      </c>
      <c r="C175">
        <v>-2336</v>
      </c>
      <c r="D175">
        <v>-723</v>
      </c>
      <c r="E175">
        <v>-1137</v>
      </c>
      <c r="F175">
        <v>-23957</v>
      </c>
      <c r="G175">
        <v>-1090</v>
      </c>
      <c r="H175">
        <v>19200</v>
      </c>
      <c r="I175">
        <v>7586</v>
      </c>
      <c r="J175">
        <v>4476</v>
      </c>
      <c r="K175">
        <v>5419</v>
      </c>
    </row>
    <row r="176" spans="2:11" x14ac:dyDescent="0.25">
      <c r="B176">
        <v>9986</v>
      </c>
      <c r="C176">
        <v>26184</v>
      </c>
      <c r="D176">
        <v>2017</v>
      </c>
      <c r="E176">
        <v>2267</v>
      </c>
      <c r="F176">
        <v>250</v>
      </c>
      <c r="G176">
        <v>1222</v>
      </c>
      <c r="H176">
        <v>1096</v>
      </c>
      <c r="I176">
        <v>77</v>
      </c>
      <c r="J176">
        <v>13092</v>
      </c>
      <c r="K176">
        <v>24318</v>
      </c>
    </row>
    <row r="177" spans="2:11" x14ac:dyDescent="0.25">
      <c r="B177">
        <v>13251</v>
      </c>
      <c r="C177">
        <v>22806</v>
      </c>
      <c r="D177">
        <v>20115</v>
      </c>
      <c r="E177">
        <v>0</v>
      </c>
      <c r="F177">
        <v>1988</v>
      </c>
      <c r="G177">
        <v>8021</v>
      </c>
      <c r="H177">
        <v>12717</v>
      </c>
      <c r="I177">
        <v>18354</v>
      </c>
      <c r="J177">
        <v>0</v>
      </c>
      <c r="K177">
        <v>26280</v>
      </c>
    </row>
    <row r="178" spans="2:11" x14ac:dyDescent="0.25">
      <c r="B178">
        <v>6386</v>
      </c>
      <c r="C178">
        <v>40489</v>
      </c>
      <c r="D178">
        <v>0</v>
      </c>
      <c r="E178">
        <v>6239</v>
      </c>
      <c r="F178">
        <v>1004</v>
      </c>
      <c r="G178">
        <v>28070</v>
      </c>
      <c r="H178">
        <v>-1072</v>
      </c>
      <c r="I178">
        <v>-9627</v>
      </c>
      <c r="J178">
        <v>-10527</v>
      </c>
      <c r="K178">
        <v>571</v>
      </c>
    </row>
    <row r="179" spans="2:11" x14ac:dyDescent="0.25">
      <c r="B179">
        <v>-15657</v>
      </c>
      <c r="C179">
        <v>27968</v>
      </c>
      <c r="D179">
        <v>-20253</v>
      </c>
      <c r="E179">
        <v>24810</v>
      </c>
      <c r="F179">
        <v>-20668</v>
      </c>
      <c r="G179">
        <v>-11072</v>
      </c>
      <c r="H179">
        <v>-5037</v>
      </c>
      <c r="I179">
        <v>-13316</v>
      </c>
      <c r="J179">
        <v>-15072</v>
      </c>
      <c r="K179">
        <v>5098</v>
      </c>
    </row>
    <row r="180" spans="2:11" x14ac:dyDescent="0.25">
      <c r="B180">
        <v>14490</v>
      </c>
      <c r="C180">
        <v>11073</v>
      </c>
      <c r="D180">
        <v>10477</v>
      </c>
      <c r="E180">
        <v>9603</v>
      </c>
      <c r="F180">
        <v>-9131</v>
      </c>
      <c r="G180">
        <v>35518</v>
      </c>
      <c r="H180">
        <v>7877</v>
      </c>
      <c r="I180">
        <v>7244</v>
      </c>
      <c r="J180">
        <v>-429</v>
      </c>
      <c r="K180">
        <v>4488</v>
      </c>
    </row>
    <row r="181" spans="2:11" x14ac:dyDescent="0.25">
      <c r="B181">
        <v>4780</v>
      </c>
      <c r="C181">
        <v>-2658</v>
      </c>
      <c r="D181">
        <v>-7552</v>
      </c>
      <c r="E181">
        <v>8799</v>
      </c>
      <c r="F181">
        <v>-6210</v>
      </c>
      <c r="G181">
        <v>10770</v>
      </c>
      <c r="H181">
        <v>32526</v>
      </c>
      <c r="I181">
        <v>0</v>
      </c>
      <c r="J181">
        <v>-16857</v>
      </c>
      <c r="K181">
        <v>10484</v>
      </c>
    </row>
    <row r="182" spans="2:11" x14ac:dyDescent="0.25">
      <c r="B182">
        <v>19597</v>
      </c>
      <c r="C182">
        <v>11388</v>
      </c>
      <c r="D182">
        <v>0</v>
      </c>
      <c r="E182">
        <v>14479</v>
      </c>
      <c r="F182">
        <v>4049</v>
      </c>
      <c r="G182">
        <v>1120</v>
      </c>
      <c r="H182">
        <v>15790</v>
      </c>
      <c r="I182">
        <v>0</v>
      </c>
      <c r="J182">
        <v>807</v>
      </c>
      <c r="K182">
        <v>2570</v>
      </c>
    </row>
    <row r="183" spans="2:11" x14ac:dyDescent="0.25">
      <c r="B183">
        <v>4576</v>
      </c>
      <c r="C183">
        <v>1415</v>
      </c>
      <c r="D183">
        <v>-4138</v>
      </c>
      <c r="E183">
        <v>-3047</v>
      </c>
      <c r="F183">
        <v>510</v>
      </c>
      <c r="G183">
        <v>-4957</v>
      </c>
      <c r="H183">
        <v>5818</v>
      </c>
      <c r="I183">
        <v>-10663</v>
      </c>
      <c r="J183">
        <v>845</v>
      </c>
      <c r="K183">
        <v>-6804</v>
      </c>
    </row>
    <row r="184" spans="2:11" x14ac:dyDescent="0.25">
      <c r="B184">
        <v>-2096</v>
      </c>
      <c r="C184">
        <v>-1857</v>
      </c>
      <c r="D184">
        <v>11080</v>
      </c>
      <c r="E184">
        <v>-3046</v>
      </c>
      <c r="F184">
        <v>4801</v>
      </c>
      <c r="G184">
        <v>13341</v>
      </c>
      <c r="H184">
        <v>68</v>
      </c>
      <c r="I184">
        <v>-42827</v>
      </c>
      <c r="J184">
        <v>4136</v>
      </c>
      <c r="K184">
        <v>4283</v>
      </c>
    </row>
    <row r="185" spans="2:11" x14ac:dyDescent="0.25">
      <c r="B185">
        <v>25207</v>
      </c>
      <c r="C185">
        <v>3882</v>
      </c>
      <c r="D185">
        <v>3748</v>
      </c>
      <c r="E185">
        <v>457</v>
      </c>
      <c r="F185">
        <v>1931</v>
      </c>
      <c r="G185">
        <v>2278</v>
      </c>
      <c r="H185">
        <v>-20</v>
      </c>
      <c r="I185">
        <v>5994</v>
      </c>
      <c r="J185">
        <v>6773</v>
      </c>
      <c r="K185">
        <v>6233</v>
      </c>
    </row>
    <row r="186" spans="2:11" x14ac:dyDescent="0.25">
      <c r="B186">
        <v>6109</v>
      </c>
      <c r="C186">
        <v>20603</v>
      </c>
      <c r="D186">
        <v>0</v>
      </c>
      <c r="E186">
        <v>1718</v>
      </c>
      <c r="F186">
        <v>17744</v>
      </c>
      <c r="G186">
        <v>22997</v>
      </c>
      <c r="H186">
        <v>4706</v>
      </c>
      <c r="I186">
        <v>0</v>
      </c>
      <c r="J186">
        <v>11191</v>
      </c>
      <c r="K186">
        <v>323</v>
      </c>
    </row>
    <row r="187" spans="2:11" x14ac:dyDescent="0.25">
      <c r="B187">
        <v>36752</v>
      </c>
      <c r="C187">
        <v>-600</v>
      </c>
      <c r="D187">
        <v>-2703</v>
      </c>
      <c r="E187">
        <v>0</v>
      </c>
      <c r="F187">
        <v>1427</v>
      </c>
      <c r="G187">
        <v>-349</v>
      </c>
      <c r="H187">
        <v>-1123</v>
      </c>
      <c r="I187">
        <v>90</v>
      </c>
      <c r="J187">
        <v>833</v>
      </c>
      <c r="K187">
        <v>1206</v>
      </c>
    </row>
    <row r="188" spans="2:11" x14ac:dyDescent="0.25">
      <c r="B188">
        <v>64</v>
      </c>
      <c r="C188">
        <v>1819</v>
      </c>
      <c r="D188">
        <v>-741</v>
      </c>
      <c r="E188">
        <v>2379</v>
      </c>
      <c r="F188">
        <v>136</v>
      </c>
      <c r="G188">
        <v>2157</v>
      </c>
      <c r="H188">
        <v>1216</v>
      </c>
      <c r="I188">
        <v>534</v>
      </c>
      <c r="J188">
        <v>79</v>
      </c>
      <c r="K188">
        <v>-2103</v>
      </c>
    </row>
    <row r="189" spans="2:11" x14ac:dyDescent="0.25">
      <c r="B189">
        <v>-9615</v>
      </c>
      <c r="C189">
        <v>6930</v>
      </c>
      <c r="D189">
        <v>-6240</v>
      </c>
      <c r="E189">
        <v>-1434</v>
      </c>
      <c r="F189">
        <v>-933</v>
      </c>
      <c r="G189">
        <v>805</v>
      </c>
      <c r="H189">
        <v>-8582</v>
      </c>
      <c r="I189">
        <v>-551</v>
      </c>
      <c r="J189">
        <v>-403</v>
      </c>
      <c r="K189">
        <v>-620</v>
      </c>
    </row>
    <row r="190" spans="2:11" x14ac:dyDescent="0.25">
      <c r="B190">
        <v>469</v>
      </c>
      <c r="C190">
        <v>-488</v>
      </c>
      <c r="D190">
        <v>798</v>
      </c>
      <c r="E190">
        <v>-2229</v>
      </c>
      <c r="F190">
        <v>-4887</v>
      </c>
      <c r="G190">
        <v>-2953</v>
      </c>
      <c r="H190">
        <v>-5334</v>
      </c>
      <c r="I190">
        <v>-7694</v>
      </c>
      <c r="J190">
        <v>0</v>
      </c>
      <c r="K190">
        <v>-966</v>
      </c>
    </row>
    <row r="191" spans="2:11" x14ac:dyDescent="0.25">
      <c r="B191">
        <v>-6802</v>
      </c>
      <c r="C191">
        <v>-7220</v>
      </c>
      <c r="D191">
        <v>1387</v>
      </c>
      <c r="E191">
        <v>0</v>
      </c>
      <c r="F191">
        <v>1069</v>
      </c>
      <c r="G191">
        <v>-1607</v>
      </c>
      <c r="H191">
        <v>-11886</v>
      </c>
      <c r="I191">
        <v>-8347</v>
      </c>
      <c r="J191">
        <v>-18569</v>
      </c>
      <c r="K191">
        <v>-63598</v>
      </c>
    </row>
    <row r="192" spans="2:11" x14ac:dyDescent="0.25">
      <c r="B192">
        <v>0</v>
      </c>
      <c r="C192">
        <v>2798</v>
      </c>
      <c r="D192">
        <v>6751</v>
      </c>
      <c r="E192">
        <v>-70707</v>
      </c>
      <c r="F192">
        <v>-2273</v>
      </c>
      <c r="G192">
        <v>31225</v>
      </c>
      <c r="H192">
        <v>21627</v>
      </c>
      <c r="I192">
        <v>-2708</v>
      </c>
      <c r="J192">
        <v>32438</v>
      </c>
      <c r="K192">
        <v>-68548</v>
      </c>
    </row>
    <row r="193" spans="2:11" x14ac:dyDescent="0.25">
      <c r="B193">
        <v>34954</v>
      </c>
      <c r="C193">
        <v>-44092</v>
      </c>
      <c r="D193">
        <v>43908</v>
      </c>
      <c r="E193">
        <v>18180</v>
      </c>
      <c r="F193">
        <v>6395</v>
      </c>
      <c r="G193">
        <v>30959</v>
      </c>
      <c r="H193">
        <v>47373</v>
      </c>
      <c r="I193">
        <v>-4585</v>
      </c>
      <c r="J193">
        <v>-31643</v>
      </c>
      <c r="K193">
        <v>-26043</v>
      </c>
    </row>
    <row r="194" spans="2:11" x14ac:dyDescent="0.25">
      <c r="B194">
        <v>-20643</v>
      </c>
      <c r="C194">
        <v>-34466</v>
      </c>
      <c r="D194">
        <v>9348</v>
      </c>
      <c r="E194">
        <v>-57051</v>
      </c>
      <c r="F194">
        <v>-14691</v>
      </c>
      <c r="G194">
        <v>-13681</v>
      </c>
      <c r="H194">
        <v>2221</v>
      </c>
      <c r="I194">
        <v>-7667</v>
      </c>
      <c r="J194">
        <v>-9163</v>
      </c>
      <c r="K194">
        <v>5345</v>
      </c>
    </row>
    <row r="195" spans="2:11" x14ac:dyDescent="0.25">
      <c r="B195">
        <v>28408</v>
      </c>
      <c r="C195">
        <v>-12173</v>
      </c>
      <c r="D195">
        <v>24918</v>
      </c>
      <c r="E195">
        <v>-18627</v>
      </c>
      <c r="F195">
        <v>-56039</v>
      </c>
      <c r="G195">
        <v>0</v>
      </c>
      <c r="H195">
        <v>45416</v>
      </c>
      <c r="I195">
        <v>-3864</v>
      </c>
      <c r="J195">
        <v>-21897</v>
      </c>
      <c r="K195">
        <v>-12216</v>
      </c>
    </row>
    <row r="196" spans="2:11" x14ac:dyDescent="0.25">
      <c r="B196">
        <v>0</v>
      </c>
      <c r="C196">
        <v>-25346</v>
      </c>
      <c r="D196">
        <v>-6727</v>
      </c>
      <c r="E196">
        <v>-31950</v>
      </c>
      <c r="F196">
        <v>-11718</v>
      </c>
      <c r="G196">
        <v>3049</v>
      </c>
      <c r="H196">
        <v>-17379</v>
      </c>
      <c r="I196">
        <v>-49969</v>
      </c>
      <c r="J196">
        <v>0</v>
      </c>
      <c r="K196">
        <v>544</v>
      </c>
    </row>
    <row r="197" spans="2:11" x14ac:dyDescent="0.25">
      <c r="B197">
        <v>7917</v>
      </c>
      <c r="C197">
        <v>-69591</v>
      </c>
      <c r="D197">
        <v>-3618</v>
      </c>
      <c r="E197">
        <v>27462</v>
      </c>
      <c r="F197">
        <v>19049</v>
      </c>
      <c r="G197">
        <v>-2119</v>
      </c>
      <c r="H197">
        <v>28387</v>
      </c>
      <c r="I197">
        <v>-67681</v>
      </c>
      <c r="J197">
        <v>32318</v>
      </c>
      <c r="K197">
        <v>-44736</v>
      </c>
    </row>
    <row r="198" spans="2:11" x14ac:dyDescent="0.25">
      <c r="B198">
        <v>39280</v>
      </c>
      <c r="C198">
        <v>19290</v>
      </c>
      <c r="D198">
        <v>7401</v>
      </c>
      <c r="E198">
        <v>49251</v>
      </c>
      <c r="F198">
        <v>36795</v>
      </c>
      <c r="G198">
        <v>-2384</v>
      </c>
      <c r="H198">
        <v>-14624</v>
      </c>
      <c r="I198">
        <v>-24076</v>
      </c>
      <c r="J198">
        <v>-11943</v>
      </c>
      <c r="K198">
        <v>-29982</v>
      </c>
    </row>
    <row r="199" spans="2:11" x14ac:dyDescent="0.25">
      <c r="B199">
        <v>6009</v>
      </c>
      <c r="C199">
        <v>-42522</v>
      </c>
      <c r="D199">
        <v>-13336</v>
      </c>
      <c r="E199">
        <v>-12593</v>
      </c>
      <c r="F199">
        <v>1338</v>
      </c>
      <c r="G199">
        <v>-6634</v>
      </c>
      <c r="H199">
        <v>-7646</v>
      </c>
      <c r="I199">
        <v>4381</v>
      </c>
      <c r="J199">
        <v>28044</v>
      </c>
      <c r="K199">
        <v>-14895</v>
      </c>
    </row>
    <row r="200" spans="2:11" x14ac:dyDescent="0.25">
      <c r="B200">
        <v>25026</v>
      </c>
      <c r="C200">
        <v>-20963</v>
      </c>
      <c r="D200">
        <v>-43465</v>
      </c>
      <c r="E200">
        <v>0</v>
      </c>
      <c r="F200">
        <v>40659</v>
      </c>
      <c r="G200">
        <v>-2087</v>
      </c>
      <c r="H200">
        <v>-15967</v>
      </c>
      <c r="I200">
        <v>-8995</v>
      </c>
      <c r="J200">
        <v>0</v>
      </c>
      <c r="K200">
        <v>-18896</v>
      </c>
    </row>
    <row r="201" spans="2:11" x14ac:dyDescent="0.25">
      <c r="B201">
        <v>-5033</v>
      </c>
      <c r="C201">
        <v>-26203</v>
      </c>
      <c r="D201">
        <v>8517</v>
      </c>
      <c r="E201">
        <v>1314</v>
      </c>
      <c r="F201">
        <v>82370</v>
      </c>
      <c r="G201">
        <v>-16119</v>
      </c>
      <c r="H201">
        <v>-58409</v>
      </c>
      <c r="I201">
        <v>0</v>
      </c>
      <c r="J201">
        <v>1977</v>
      </c>
      <c r="K201">
        <v>6290</v>
      </c>
    </row>
    <row r="202" spans="2:11" x14ac:dyDescent="0.25">
      <c r="B202">
        <v>-69275</v>
      </c>
      <c r="C202">
        <v>1706</v>
      </c>
      <c r="D202">
        <v>30668</v>
      </c>
      <c r="E202">
        <v>20427</v>
      </c>
      <c r="F202">
        <v>-2235</v>
      </c>
      <c r="G202">
        <v>28856</v>
      </c>
      <c r="H202">
        <v>-66837</v>
      </c>
      <c r="I202">
        <v>31908</v>
      </c>
      <c r="J202">
        <v>-41494</v>
      </c>
      <c r="K202">
        <v>40939</v>
      </c>
    </row>
    <row r="203" spans="2:11" x14ac:dyDescent="0.25">
      <c r="B203">
        <v>18713</v>
      </c>
      <c r="C203">
        <v>7385</v>
      </c>
      <c r="D203">
        <v>28470</v>
      </c>
      <c r="E203">
        <v>43782</v>
      </c>
      <c r="F203">
        <v>-4419</v>
      </c>
      <c r="G203">
        <v>-29092</v>
      </c>
      <c r="H203">
        <v>-24577</v>
      </c>
      <c r="I203">
        <v>-18328</v>
      </c>
      <c r="J203">
        <v>-32665</v>
      </c>
      <c r="K203">
        <v>8692</v>
      </c>
    </row>
    <row r="204" spans="2:11" x14ac:dyDescent="0.25">
      <c r="B204">
        <v>-54096</v>
      </c>
      <c r="C204">
        <v>-10755</v>
      </c>
      <c r="D204">
        <v>-10051</v>
      </c>
      <c r="E204">
        <v>1842</v>
      </c>
      <c r="F204">
        <v>-7229</v>
      </c>
      <c r="G204">
        <v>-6632</v>
      </c>
      <c r="H204">
        <v>6747</v>
      </c>
      <c r="I204">
        <v>27367</v>
      </c>
      <c r="J204">
        <v>-11091</v>
      </c>
      <c r="K204">
        <v>23811</v>
      </c>
    </row>
    <row r="205" spans="2:11" x14ac:dyDescent="0.25">
      <c r="B205">
        <v>-17650</v>
      </c>
      <c r="C205">
        <v>-53168</v>
      </c>
      <c r="D205">
        <v>0</v>
      </c>
      <c r="E205">
        <v>41422</v>
      </c>
      <c r="F205">
        <v>-3636</v>
      </c>
      <c r="G205">
        <v>-21054</v>
      </c>
      <c r="H205">
        <v>-11917</v>
      </c>
      <c r="I205">
        <v>0</v>
      </c>
      <c r="J205">
        <v>-23945</v>
      </c>
      <c r="K205">
        <v>-6575</v>
      </c>
    </row>
    <row r="206" spans="2:11" x14ac:dyDescent="0.25">
      <c r="B206">
        <v>-32140</v>
      </c>
      <c r="C206">
        <v>-12445</v>
      </c>
      <c r="D206">
        <v>3102</v>
      </c>
      <c r="E206">
        <v>92318</v>
      </c>
      <c r="F206">
        <v>80419</v>
      </c>
      <c r="G206">
        <v>10471</v>
      </c>
      <c r="H206">
        <v>32884</v>
      </c>
      <c r="I206">
        <v>0</v>
      </c>
      <c r="J206">
        <v>-1729</v>
      </c>
      <c r="K206">
        <v>-3283</v>
      </c>
    </row>
    <row r="207" spans="2:11" x14ac:dyDescent="0.25">
      <c r="B207">
        <v>17659</v>
      </c>
      <c r="C207">
        <v>-131</v>
      </c>
      <c r="D207">
        <v>-12319</v>
      </c>
      <c r="E207">
        <v>-12243</v>
      </c>
      <c r="F207">
        <v>1002</v>
      </c>
      <c r="G207">
        <v>-18988</v>
      </c>
      <c r="H207">
        <v>15367</v>
      </c>
      <c r="I207">
        <v>-21909</v>
      </c>
      <c r="J207">
        <v>23140</v>
      </c>
      <c r="K207">
        <v>-21777</v>
      </c>
    </row>
    <row r="208" spans="2:11" x14ac:dyDescent="0.25">
      <c r="B208">
        <v>-10168</v>
      </c>
      <c r="C208">
        <v>-4531</v>
      </c>
      <c r="D208">
        <v>-15382</v>
      </c>
      <c r="E208">
        <v>-24448</v>
      </c>
      <c r="F208">
        <v>2416</v>
      </c>
      <c r="G208">
        <v>16516</v>
      </c>
      <c r="H208">
        <v>13299</v>
      </c>
      <c r="I208">
        <v>10966</v>
      </c>
      <c r="J208">
        <v>17335</v>
      </c>
      <c r="K208">
        <v>-4951</v>
      </c>
    </row>
    <row r="209" spans="2:11" x14ac:dyDescent="0.25">
      <c r="B209">
        <v>29218</v>
      </c>
      <c r="C209">
        <v>10598</v>
      </c>
      <c r="D209">
        <v>10172</v>
      </c>
      <c r="E209">
        <v>-1646</v>
      </c>
      <c r="F209">
        <v>3863</v>
      </c>
      <c r="G209">
        <v>4658</v>
      </c>
      <c r="H209">
        <v>-2282</v>
      </c>
      <c r="I209">
        <v>-15636</v>
      </c>
      <c r="J209">
        <v>6013</v>
      </c>
      <c r="K209">
        <v>-13943</v>
      </c>
    </row>
    <row r="210" spans="2:11" x14ac:dyDescent="0.25">
      <c r="B210">
        <v>9274</v>
      </c>
      <c r="C210">
        <v>28973</v>
      </c>
      <c r="D210">
        <v>0</v>
      </c>
      <c r="E210">
        <v>-23547</v>
      </c>
      <c r="F210">
        <v>2361</v>
      </c>
      <c r="G210">
        <v>11226</v>
      </c>
      <c r="H210">
        <v>6345</v>
      </c>
      <c r="I210">
        <v>0</v>
      </c>
      <c r="J210">
        <v>13057</v>
      </c>
      <c r="K210">
        <v>3576</v>
      </c>
    </row>
    <row r="211" spans="2:11" x14ac:dyDescent="0.25">
      <c r="B211">
        <v>17650</v>
      </c>
      <c r="C211">
        <v>6576</v>
      </c>
      <c r="D211">
        <v>-2270</v>
      </c>
      <c r="E211">
        <v>-19641</v>
      </c>
      <c r="F211">
        <v>-14298</v>
      </c>
      <c r="G211">
        <v>-14853</v>
      </c>
      <c r="H211">
        <v>5235</v>
      </c>
      <c r="I211">
        <v>19101</v>
      </c>
      <c r="J211">
        <v>0</v>
      </c>
      <c r="K211">
        <v>-1383</v>
      </c>
    </row>
    <row r="212" spans="2:11" x14ac:dyDescent="0.25">
      <c r="B212">
        <v>-1644</v>
      </c>
      <c r="C212">
        <v>3234</v>
      </c>
      <c r="D212">
        <v>867</v>
      </c>
      <c r="E212">
        <v>-4788</v>
      </c>
      <c r="F212">
        <v>-8874</v>
      </c>
      <c r="G212">
        <v>257</v>
      </c>
      <c r="H212">
        <v>-14758</v>
      </c>
      <c r="I212">
        <v>1727</v>
      </c>
      <c r="J212">
        <v>-8223</v>
      </c>
      <c r="K212">
        <v>13792</v>
      </c>
    </row>
    <row r="213" spans="2:11" x14ac:dyDescent="0.25">
      <c r="B213">
        <v>-12740</v>
      </c>
      <c r="C213">
        <v>-6327</v>
      </c>
      <c r="D213">
        <v>-3023</v>
      </c>
      <c r="E213">
        <v>-9583</v>
      </c>
      <c r="F213">
        <v>-14364</v>
      </c>
      <c r="G213">
        <v>1455</v>
      </c>
      <c r="H213">
        <v>9648</v>
      </c>
      <c r="I213">
        <v>8193</v>
      </c>
      <c r="J213">
        <v>6470</v>
      </c>
      <c r="K213">
        <v>10622</v>
      </c>
    </row>
    <row r="214" spans="2:11" x14ac:dyDescent="0.25">
      <c r="B214">
        <v>-2740</v>
      </c>
      <c r="C214">
        <v>17135</v>
      </c>
      <c r="D214">
        <v>6120</v>
      </c>
      <c r="E214">
        <v>5498</v>
      </c>
      <c r="F214">
        <v>-1129</v>
      </c>
      <c r="G214">
        <v>2605</v>
      </c>
      <c r="H214">
        <v>2507</v>
      </c>
      <c r="I214">
        <v>-1018</v>
      </c>
      <c r="J214">
        <v>-9142</v>
      </c>
      <c r="K214">
        <v>3493</v>
      </c>
    </row>
    <row r="215" spans="2:11" x14ac:dyDescent="0.25">
      <c r="B215">
        <v>-8317</v>
      </c>
      <c r="C215">
        <v>5128</v>
      </c>
      <c r="D215">
        <v>16760</v>
      </c>
      <c r="E215">
        <v>0</v>
      </c>
      <c r="F215">
        <v>-13942</v>
      </c>
      <c r="G215">
        <v>1292</v>
      </c>
      <c r="H215">
        <v>6384</v>
      </c>
      <c r="I215">
        <v>3563</v>
      </c>
      <c r="J215">
        <v>0</v>
      </c>
      <c r="K215">
        <v>7662</v>
      </c>
    </row>
    <row r="216" spans="2:11" x14ac:dyDescent="0.25">
      <c r="B216">
        <v>2122</v>
      </c>
      <c r="C216">
        <v>10004</v>
      </c>
      <c r="D216">
        <v>3431</v>
      </c>
      <c r="E216">
        <v>-1472</v>
      </c>
      <c r="F216">
        <v>-1010</v>
      </c>
      <c r="G216">
        <v>1594</v>
      </c>
      <c r="H216">
        <v>3120</v>
      </c>
      <c r="I216">
        <v>28788</v>
      </c>
      <c r="J216">
        <v>145</v>
      </c>
      <c r="K216">
        <v>-414</v>
      </c>
    </row>
    <row r="217" spans="2:11" x14ac:dyDescent="0.25">
      <c r="B217">
        <v>0</v>
      </c>
      <c r="C217">
        <v>-1010</v>
      </c>
      <c r="D217">
        <v>909</v>
      </c>
      <c r="E217">
        <v>-19407</v>
      </c>
      <c r="F217">
        <v>590</v>
      </c>
      <c r="G217">
        <v>712</v>
      </c>
      <c r="H217">
        <v>-1295</v>
      </c>
      <c r="I217">
        <v>-440</v>
      </c>
      <c r="J217">
        <v>-2604</v>
      </c>
      <c r="K217">
        <v>-20530</v>
      </c>
    </row>
    <row r="218" spans="2:11" x14ac:dyDescent="0.25">
      <c r="B218">
        <v>1983</v>
      </c>
      <c r="C218">
        <v>30</v>
      </c>
      <c r="D218">
        <v>13</v>
      </c>
      <c r="E218">
        <v>-659</v>
      </c>
      <c r="F218">
        <v>-120</v>
      </c>
      <c r="G218">
        <v>1744</v>
      </c>
      <c r="H218">
        <v>-339</v>
      </c>
      <c r="I218">
        <v>208</v>
      </c>
      <c r="J218">
        <v>928</v>
      </c>
      <c r="K218">
        <v>-194</v>
      </c>
    </row>
    <row r="219" spans="2:11" x14ac:dyDescent="0.25">
      <c r="B219">
        <v>1501</v>
      </c>
      <c r="C219">
        <v>-461</v>
      </c>
      <c r="D219">
        <v>-594</v>
      </c>
      <c r="E219">
        <v>-119</v>
      </c>
      <c r="F219">
        <v>-234</v>
      </c>
      <c r="G219">
        <v>-799</v>
      </c>
      <c r="H219">
        <v>-1113</v>
      </c>
      <c r="I219">
        <v>-334</v>
      </c>
      <c r="J219">
        <v>-1061</v>
      </c>
      <c r="K219">
        <v>-259</v>
      </c>
    </row>
    <row r="220" spans="2:11" x14ac:dyDescent="0.25">
      <c r="B220">
        <v>-238</v>
      </c>
      <c r="C220">
        <v>-749</v>
      </c>
      <c r="D220">
        <v>-409</v>
      </c>
      <c r="E220">
        <v>-948</v>
      </c>
      <c r="F220">
        <v>-346</v>
      </c>
      <c r="G220">
        <v>0</v>
      </c>
      <c r="H220">
        <v>-286</v>
      </c>
      <c r="I220">
        <v>-722</v>
      </c>
      <c r="J220">
        <v>-901</v>
      </c>
      <c r="K220">
        <v>-186</v>
      </c>
    </row>
    <row r="221" spans="2:11" x14ac:dyDescent="0.25">
      <c r="B221">
        <v>0</v>
      </c>
      <c r="C221">
        <v>120</v>
      </c>
      <c r="D221">
        <v>93</v>
      </c>
      <c r="E221">
        <v>-393</v>
      </c>
      <c r="F221">
        <v>-611</v>
      </c>
      <c r="G221">
        <v>-521</v>
      </c>
      <c r="H221">
        <v>28646</v>
      </c>
      <c r="I221">
        <v>28639</v>
      </c>
      <c r="J221">
        <v>32031</v>
      </c>
      <c r="K221">
        <v>24200</v>
      </c>
    </row>
    <row r="222" spans="2:11" x14ac:dyDescent="0.25">
      <c r="B222">
        <v>28204</v>
      </c>
      <c r="C222">
        <v>-17022</v>
      </c>
      <c r="D222">
        <v>-45021</v>
      </c>
      <c r="E222">
        <v>0</v>
      </c>
      <c r="F222">
        <v>2560</v>
      </c>
      <c r="G222">
        <v>3570</v>
      </c>
      <c r="H222">
        <v>-40734</v>
      </c>
      <c r="I222">
        <v>167</v>
      </c>
      <c r="J222">
        <v>15396</v>
      </c>
      <c r="K222">
        <v>17645</v>
      </c>
    </row>
    <row r="223" spans="2:11" x14ac:dyDescent="0.25">
      <c r="B223">
        <v>405</v>
      </c>
      <c r="C223">
        <v>25349</v>
      </c>
      <c r="D223">
        <v>-38547</v>
      </c>
      <c r="E223">
        <v>23573</v>
      </c>
      <c r="F223">
        <v>-32617</v>
      </c>
      <c r="G223">
        <v>32056</v>
      </c>
      <c r="H223">
        <v>13618</v>
      </c>
      <c r="I223">
        <v>5664</v>
      </c>
      <c r="J223">
        <v>21189</v>
      </c>
      <c r="K223">
        <v>34004</v>
      </c>
    </row>
    <row r="224" spans="2:11" x14ac:dyDescent="0.25">
      <c r="B224">
        <v>-3492</v>
      </c>
      <c r="C224">
        <v>-23141</v>
      </c>
      <c r="D224">
        <v>-18151</v>
      </c>
      <c r="E224">
        <v>-14987</v>
      </c>
      <c r="F224">
        <v>-23618</v>
      </c>
      <c r="G224">
        <v>6552</v>
      </c>
      <c r="H224">
        <v>-40597</v>
      </c>
      <c r="I224">
        <v>-14554</v>
      </c>
      <c r="J224">
        <v>-14611</v>
      </c>
      <c r="K224">
        <v>-15171</v>
      </c>
    </row>
    <row r="225" spans="2:11" x14ac:dyDescent="0.25">
      <c r="B225">
        <v>-5967</v>
      </c>
      <c r="C225">
        <v>-8651</v>
      </c>
      <c r="D225">
        <v>2385</v>
      </c>
      <c r="E225">
        <v>21107</v>
      </c>
      <c r="F225">
        <v>-8552</v>
      </c>
      <c r="G225">
        <v>18696</v>
      </c>
      <c r="H225">
        <v>-13132</v>
      </c>
      <c r="I225">
        <v>-40879</v>
      </c>
      <c r="J225">
        <v>0</v>
      </c>
      <c r="K225">
        <v>31727</v>
      </c>
    </row>
    <row r="226" spans="2:11" x14ac:dyDescent="0.25">
      <c r="B226">
        <v>-2024</v>
      </c>
      <c r="C226">
        <v>-15800</v>
      </c>
      <c r="D226">
        <v>-9313</v>
      </c>
      <c r="E226">
        <v>0</v>
      </c>
      <c r="F226">
        <v>-18381</v>
      </c>
      <c r="G226">
        <v>-5141</v>
      </c>
      <c r="H226">
        <v>-24973</v>
      </c>
      <c r="I226">
        <v>-9426</v>
      </c>
      <c r="J226">
        <v>2999</v>
      </c>
      <c r="K226">
        <v>47991</v>
      </c>
    </row>
    <row r="227" spans="2:11" x14ac:dyDescent="0.25">
      <c r="B227">
        <v>43611</v>
      </c>
      <c r="C227">
        <v>48633</v>
      </c>
      <c r="D227">
        <v>-26535</v>
      </c>
      <c r="E227">
        <v>-15333</v>
      </c>
      <c r="F227">
        <v>453</v>
      </c>
      <c r="G227">
        <v>-10801</v>
      </c>
      <c r="H227">
        <v>-36099</v>
      </c>
      <c r="I227">
        <v>0</v>
      </c>
      <c r="J227">
        <v>1763</v>
      </c>
      <c r="K227">
        <v>3103</v>
      </c>
    </row>
    <row r="228" spans="2:11" x14ac:dyDescent="0.25">
      <c r="B228">
        <v>-33112</v>
      </c>
      <c r="C228">
        <v>1410</v>
      </c>
      <c r="D228">
        <v>13197</v>
      </c>
      <c r="E228">
        <v>14333</v>
      </c>
      <c r="F228">
        <v>827</v>
      </c>
      <c r="G228">
        <v>20172</v>
      </c>
      <c r="H228">
        <v>-31386</v>
      </c>
      <c r="I228">
        <v>19082</v>
      </c>
      <c r="J228">
        <v>-26030</v>
      </c>
      <c r="K228">
        <v>25316</v>
      </c>
    </row>
    <row r="229" spans="2:11" x14ac:dyDescent="0.25">
      <c r="B229">
        <v>11623</v>
      </c>
      <c r="C229">
        <v>4616</v>
      </c>
      <c r="D229">
        <v>17145</v>
      </c>
      <c r="E229">
        <v>27278</v>
      </c>
      <c r="F229">
        <v>-2902</v>
      </c>
      <c r="G229">
        <v>-18362</v>
      </c>
      <c r="H229">
        <v>-14855</v>
      </c>
      <c r="I229">
        <v>-11946</v>
      </c>
      <c r="J229">
        <v>-19675</v>
      </c>
      <c r="K229">
        <v>5449</v>
      </c>
    </row>
    <row r="230" spans="2:11" x14ac:dyDescent="0.25">
      <c r="B230">
        <v>-32527</v>
      </c>
      <c r="C230">
        <v>-11428</v>
      </c>
      <c r="D230">
        <v>-11007</v>
      </c>
      <c r="E230">
        <v>45</v>
      </c>
      <c r="F230">
        <v>-15143</v>
      </c>
      <c r="G230">
        <v>-6415</v>
      </c>
      <c r="H230">
        <v>2534</v>
      </c>
      <c r="I230">
        <v>16986</v>
      </c>
      <c r="J230">
        <v>-6820</v>
      </c>
      <c r="K230">
        <v>15162</v>
      </c>
    </row>
    <row r="231" spans="2:11" x14ac:dyDescent="0.25">
      <c r="B231">
        <v>-10474</v>
      </c>
      <c r="C231">
        <v>-32558</v>
      </c>
      <c r="D231">
        <v>0</v>
      </c>
      <c r="E231">
        <v>25746</v>
      </c>
      <c r="F231">
        <v>-1903</v>
      </c>
      <c r="G231">
        <v>-12641</v>
      </c>
      <c r="H231">
        <v>-7458</v>
      </c>
      <c r="I231">
        <v>0</v>
      </c>
      <c r="J231">
        <v>-14815</v>
      </c>
      <c r="K231">
        <v>-4153</v>
      </c>
    </row>
    <row r="232" spans="2:11" x14ac:dyDescent="0.25">
      <c r="B232">
        <v>-20174</v>
      </c>
      <c r="C232">
        <v>-7500</v>
      </c>
      <c r="D232">
        <v>2147</v>
      </c>
      <c r="E232">
        <v>38468</v>
      </c>
      <c r="F232">
        <v>35487</v>
      </c>
      <c r="G232">
        <v>39676</v>
      </c>
      <c r="H232">
        <v>-20948</v>
      </c>
      <c r="I232">
        <v>-11947</v>
      </c>
      <c r="J232">
        <v>920</v>
      </c>
      <c r="K232">
        <v>32934</v>
      </c>
    </row>
    <row r="233" spans="2:11" x14ac:dyDescent="0.25">
      <c r="B233">
        <v>14847</v>
      </c>
      <c r="C233">
        <v>51412</v>
      </c>
      <c r="D233">
        <v>0</v>
      </c>
      <c r="E233">
        <v>-2419</v>
      </c>
      <c r="F233">
        <v>-4764</v>
      </c>
      <c r="G233">
        <v>45301</v>
      </c>
      <c r="H233">
        <v>-4144</v>
      </c>
      <c r="I233">
        <v>-14226</v>
      </c>
      <c r="J233">
        <v>-17212</v>
      </c>
      <c r="K233">
        <v>25</v>
      </c>
    </row>
    <row r="234" spans="2:11" x14ac:dyDescent="0.25">
      <c r="B234">
        <v>-25742</v>
      </c>
      <c r="C234">
        <v>42959</v>
      </c>
      <c r="D234">
        <v>-26466</v>
      </c>
      <c r="E234">
        <v>36544</v>
      </c>
      <c r="F234">
        <v>-34863</v>
      </c>
      <c r="G234">
        <v>-16711</v>
      </c>
      <c r="H234">
        <v>-6851</v>
      </c>
      <c r="I234">
        <v>-26026</v>
      </c>
      <c r="J234">
        <v>-38300</v>
      </c>
      <c r="K234">
        <v>3782</v>
      </c>
    </row>
    <row r="235" spans="2:11" x14ac:dyDescent="0.25">
      <c r="B235">
        <v>25055</v>
      </c>
      <c r="C235">
        <v>21179</v>
      </c>
      <c r="D235">
        <v>16243</v>
      </c>
      <c r="E235">
        <v>27967</v>
      </c>
      <c r="F235">
        <v>-8250</v>
      </c>
      <c r="G235">
        <v>46503</v>
      </c>
      <c r="H235">
        <v>8962</v>
      </c>
      <c r="I235">
        <v>12528</v>
      </c>
      <c r="J235">
        <v>-1476</v>
      </c>
      <c r="K235">
        <v>6231</v>
      </c>
    </row>
    <row r="236" spans="2:11" x14ac:dyDescent="0.25">
      <c r="B236">
        <v>-3265</v>
      </c>
      <c r="C236">
        <v>-4569</v>
      </c>
      <c r="D236">
        <v>-23388</v>
      </c>
      <c r="E236">
        <v>8948</v>
      </c>
      <c r="F236">
        <v>-20819</v>
      </c>
      <c r="G236">
        <v>13961</v>
      </c>
      <c r="H236">
        <v>45119</v>
      </c>
      <c r="I236">
        <v>0</v>
      </c>
      <c r="J236">
        <v>-37033</v>
      </c>
      <c r="K236">
        <v>2861</v>
      </c>
    </row>
    <row r="237" spans="2:11" x14ac:dyDescent="0.25">
      <c r="B237">
        <v>17190</v>
      </c>
      <c r="C237">
        <v>10078</v>
      </c>
      <c r="D237">
        <v>0</v>
      </c>
      <c r="E237">
        <v>20395</v>
      </c>
      <c r="F237">
        <v>5542</v>
      </c>
      <c r="G237">
        <v>28279</v>
      </c>
      <c r="H237">
        <v>9984</v>
      </c>
      <c r="I237">
        <v>-3035</v>
      </c>
      <c r="J237">
        <v>-61086</v>
      </c>
      <c r="K237">
        <v>-49655</v>
      </c>
    </row>
    <row r="238" spans="2:11" x14ac:dyDescent="0.25">
      <c r="B238">
        <v>-57326</v>
      </c>
      <c r="C238">
        <v>29957</v>
      </c>
      <c r="D238">
        <v>17615</v>
      </c>
      <c r="E238">
        <v>-14</v>
      </c>
      <c r="F238">
        <v>-39878</v>
      </c>
      <c r="G238">
        <v>-31757</v>
      </c>
      <c r="H238">
        <v>-8697</v>
      </c>
      <c r="I238">
        <v>-33949</v>
      </c>
      <c r="J238">
        <v>0</v>
      </c>
      <c r="K238">
        <v>1378</v>
      </c>
    </row>
    <row r="239" spans="2:11" x14ac:dyDescent="0.25">
      <c r="B239">
        <v>2796</v>
      </c>
      <c r="C239">
        <v>-31234</v>
      </c>
      <c r="D239">
        <v>514</v>
      </c>
      <c r="E239">
        <v>8571</v>
      </c>
      <c r="F239">
        <v>13485</v>
      </c>
      <c r="G239">
        <v>-880</v>
      </c>
      <c r="H239">
        <v>20859</v>
      </c>
      <c r="I239">
        <v>-29382</v>
      </c>
      <c r="J239">
        <v>19168</v>
      </c>
      <c r="K239">
        <v>-25505</v>
      </c>
    </row>
    <row r="240" spans="2:11" x14ac:dyDescent="0.25">
      <c r="B240">
        <v>24061</v>
      </c>
      <c r="C240">
        <v>12718</v>
      </c>
      <c r="D240">
        <v>6211</v>
      </c>
      <c r="E240">
        <v>16534</v>
      </c>
      <c r="F240">
        <v>25979</v>
      </c>
      <c r="G240">
        <v>-2717</v>
      </c>
      <c r="H240">
        <v>-17613</v>
      </c>
      <c r="I240">
        <v>-14973</v>
      </c>
      <c r="J240">
        <v>-11316</v>
      </c>
      <c r="K240">
        <v>-19556</v>
      </c>
    </row>
    <row r="241" spans="2:11" x14ac:dyDescent="0.25">
      <c r="B241">
        <v>4678</v>
      </c>
      <c r="C241">
        <v>-30214</v>
      </c>
      <c r="D241">
        <v>-27109</v>
      </c>
      <c r="E241">
        <v>-14990</v>
      </c>
      <c r="F241">
        <v>-1041</v>
      </c>
      <c r="G241">
        <v>-4972</v>
      </c>
      <c r="H241">
        <v>-13560</v>
      </c>
      <c r="I241">
        <v>-685</v>
      </c>
      <c r="J241">
        <v>15215</v>
      </c>
      <c r="K241">
        <v>-6568</v>
      </c>
    </row>
    <row r="242" spans="2:11" x14ac:dyDescent="0.25">
      <c r="B242">
        <v>13102</v>
      </c>
      <c r="C242">
        <v>-10227</v>
      </c>
      <c r="D242">
        <v>-31687</v>
      </c>
      <c r="E242">
        <v>0</v>
      </c>
      <c r="F242">
        <v>24038</v>
      </c>
      <c r="G242">
        <v>-2949</v>
      </c>
      <c r="H242">
        <v>-12409</v>
      </c>
      <c r="I242">
        <v>-7484</v>
      </c>
      <c r="J242">
        <v>0</v>
      </c>
      <c r="K242">
        <v>-14427</v>
      </c>
    </row>
    <row r="243" spans="2:11" x14ac:dyDescent="0.25">
      <c r="B243">
        <v>-4156</v>
      </c>
      <c r="C243">
        <v>-18839</v>
      </c>
      <c r="D243">
        <v>-7669</v>
      </c>
      <c r="E243">
        <v>2130</v>
      </c>
      <c r="F243">
        <v>37795</v>
      </c>
      <c r="G243">
        <v>32559</v>
      </c>
      <c r="H243">
        <v>25643</v>
      </c>
      <c r="I243">
        <v>-20773</v>
      </c>
      <c r="J243">
        <v>-12236</v>
      </c>
      <c r="K243">
        <v>15</v>
      </c>
    </row>
    <row r="244" spans="2:11" x14ac:dyDescent="0.25">
      <c r="B244">
        <v>28726</v>
      </c>
      <c r="C244">
        <v>22815</v>
      </c>
      <c r="D244">
        <v>-27029</v>
      </c>
      <c r="E244">
        <v>-9184</v>
      </c>
      <c r="F244">
        <v>-30316</v>
      </c>
      <c r="G244">
        <v>0</v>
      </c>
      <c r="H244">
        <v>1588</v>
      </c>
      <c r="I244">
        <v>2425</v>
      </c>
      <c r="J244">
        <v>-27689</v>
      </c>
      <c r="K244">
        <v>-536</v>
      </c>
    </row>
    <row r="245" spans="2:11" x14ac:dyDescent="0.25">
      <c r="B245">
        <v>10383</v>
      </c>
      <c r="C245">
        <v>12513</v>
      </c>
      <c r="D245">
        <v>-567</v>
      </c>
      <c r="E245">
        <v>19552</v>
      </c>
      <c r="F245">
        <v>-26347</v>
      </c>
      <c r="G245">
        <v>17636</v>
      </c>
      <c r="H245">
        <v>-22671</v>
      </c>
      <c r="I245">
        <v>23654</v>
      </c>
      <c r="J245">
        <v>9834</v>
      </c>
      <c r="K245">
        <v>4396</v>
      </c>
    </row>
    <row r="246" spans="2:11" x14ac:dyDescent="0.25">
      <c r="B246">
        <v>14656</v>
      </c>
      <c r="C246">
        <v>23102</v>
      </c>
      <c r="D246">
        <v>-2425</v>
      </c>
      <c r="E246">
        <v>-15616</v>
      </c>
      <c r="F246">
        <v>-12908</v>
      </c>
      <c r="G246">
        <v>-10105</v>
      </c>
      <c r="H246">
        <v>-16782</v>
      </c>
      <c r="I246">
        <v>3977</v>
      </c>
      <c r="J246">
        <v>-26669</v>
      </c>
      <c r="K246">
        <v>-26957</v>
      </c>
    </row>
    <row r="247" spans="2:11" x14ac:dyDescent="0.25">
      <c r="B247">
        <v>-13622</v>
      </c>
      <c r="C247">
        <v>-926</v>
      </c>
      <c r="D247">
        <v>-4365</v>
      </c>
      <c r="E247">
        <v>-11918</v>
      </c>
      <c r="F247">
        <v>-841</v>
      </c>
      <c r="G247">
        <v>13369</v>
      </c>
      <c r="H247">
        <v>-6125</v>
      </c>
      <c r="I247">
        <v>11682</v>
      </c>
      <c r="J247">
        <v>-9114</v>
      </c>
      <c r="K247">
        <v>-27776</v>
      </c>
    </row>
    <row r="248" spans="2:11" x14ac:dyDescent="0.25">
      <c r="B248">
        <v>0</v>
      </c>
      <c r="C248">
        <v>21350</v>
      </c>
      <c r="D248">
        <v>-2858</v>
      </c>
      <c r="E248">
        <v>-10851</v>
      </c>
      <c r="F248">
        <v>-6664</v>
      </c>
      <c r="G248">
        <v>0</v>
      </c>
      <c r="H248">
        <v>-12750</v>
      </c>
      <c r="I248">
        <v>-3718</v>
      </c>
      <c r="J248">
        <v>-16525</v>
      </c>
      <c r="K248">
        <v>-6678</v>
      </c>
    </row>
    <row r="249" spans="2:11" x14ac:dyDescent="0.25">
      <c r="B249">
        <v>1832</v>
      </c>
      <c r="C249">
        <v>33879</v>
      </c>
      <c r="D249">
        <v>29163</v>
      </c>
      <c r="E249">
        <v>21260</v>
      </c>
      <c r="F249">
        <v>-18708</v>
      </c>
      <c r="G249">
        <v>-10985</v>
      </c>
      <c r="H249">
        <v>-57</v>
      </c>
      <c r="I249">
        <v>25438</v>
      </c>
      <c r="J249">
        <v>20192</v>
      </c>
      <c r="K249">
        <v>-23424</v>
      </c>
    </row>
    <row r="250" spans="2:11" x14ac:dyDescent="0.25">
      <c r="B250">
        <v>34209</v>
      </c>
      <c r="C250">
        <v>-6492</v>
      </c>
      <c r="D250">
        <v>-19795</v>
      </c>
      <c r="E250">
        <v>0</v>
      </c>
      <c r="F250">
        <v>1104</v>
      </c>
      <c r="G250">
        <v>1663</v>
      </c>
      <c r="H250">
        <v>-17969</v>
      </c>
      <c r="I250">
        <v>740</v>
      </c>
      <c r="J250">
        <v>6381</v>
      </c>
      <c r="K250">
        <v>7825</v>
      </c>
    </row>
    <row r="251" spans="2:11" x14ac:dyDescent="0.25">
      <c r="B251">
        <v>-945</v>
      </c>
      <c r="C251">
        <v>11653</v>
      </c>
      <c r="D251">
        <v>-16998</v>
      </c>
      <c r="E251">
        <v>11484</v>
      </c>
      <c r="F251">
        <v>-14669</v>
      </c>
      <c r="G251">
        <v>15203</v>
      </c>
      <c r="H251">
        <v>6352</v>
      </c>
      <c r="I251">
        <v>1467</v>
      </c>
      <c r="J251">
        <v>12098</v>
      </c>
      <c r="K251">
        <v>14984</v>
      </c>
    </row>
    <row r="252" spans="2:11" x14ac:dyDescent="0.25">
      <c r="B252">
        <v>-1388</v>
      </c>
      <c r="C252">
        <v>-9712</v>
      </c>
      <c r="D252">
        <v>-8404</v>
      </c>
      <c r="E252">
        <v>-6720</v>
      </c>
      <c r="F252">
        <v>-10715</v>
      </c>
      <c r="G252">
        <v>3033</v>
      </c>
      <c r="H252">
        <v>-16603</v>
      </c>
      <c r="I252">
        <v>-17764</v>
      </c>
      <c r="J252">
        <v>-8742</v>
      </c>
      <c r="K252">
        <v>-586</v>
      </c>
    </row>
    <row r="253" spans="2:11" x14ac:dyDescent="0.25">
      <c r="B253">
        <v>-2862</v>
      </c>
      <c r="C253">
        <v>-6532</v>
      </c>
      <c r="D253">
        <v>-561</v>
      </c>
      <c r="E253">
        <v>9092</v>
      </c>
      <c r="F253">
        <v>-3941</v>
      </c>
      <c r="G253">
        <v>7970</v>
      </c>
      <c r="H253">
        <v>-5978</v>
      </c>
      <c r="I253">
        <v>-17494</v>
      </c>
      <c r="J253">
        <v>0</v>
      </c>
      <c r="K253">
        <v>14101</v>
      </c>
    </row>
    <row r="254" spans="2:11" x14ac:dyDescent="0.25">
      <c r="B254">
        <v>-1017</v>
      </c>
      <c r="C254">
        <v>-6420</v>
      </c>
      <c r="D254">
        <v>-4020</v>
      </c>
      <c r="E254">
        <v>0</v>
      </c>
      <c r="F254">
        <v>-7825</v>
      </c>
      <c r="G254">
        <v>-2235</v>
      </c>
      <c r="H254">
        <v>-10412</v>
      </c>
      <c r="I254">
        <v>-3169</v>
      </c>
      <c r="J254">
        <v>1068</v>
      </c>
      <c r="K254">
        <v>21920</v>
      </c>
    </row>
    <row r="255" spans="2:11" x14ac:dyDescent="0.25">
      <c r="B255">
        <v>19545</v>
      </c>
      <c r="C255">
        <v>13875</v>
      </c>
      <c r="D255">
        <v>-12048</v>
      </c>
      <c r="E255">
        <v>-7025</v>
      </c>
      <c r="F255">
        <v>34</v>
      </c>
      <c r="G255">
        <v>16373</v>
      </c>
      <c r="H255">
        <v>12988</v>
      </c>
      <c r="I255">
        <v>-15386</v>
      </c>
      <c r="J255">
        <v>21944</v>
      </c>
      <c r="K255">
        <v>21151</v>
      </c>
    </row>
    <row r="256" spans="2:11" x14ac:dyDescent="0.25">
      <c r="B256">
        <v>-13884</v>
      </c>
      <c r="C256">
        <v>-50691</v>
      </c>
      <c r="D256">
        <v>0</v>
      </c>
      <c r="E256">
        <v>2021</v>
      </c>
      <c r="F256">
        <v>4201</v>
      </c>
      <c r="G256">
        <v>-46775</v>
      </c>
      <c r="H256">
        <v>-731</v>
      </c>
      <c r="I256">
        <v>15217</v>
      </c>
      <c r="J256">
        <v>19265</v>
      </c>
      <c r="K256">
        <v>-277</v>
      </c>
    </row>
    <row r="257" spans="2:11" x14ac:dyDescent="0.25">
      <c r="B257">
        <v>29707</v>
      </c>
      <c r="C257">
        <v>-43989</v>
      </c>
      <c r="D257">
        <v>28600</v>
      </c>
      <c r="E257">
        <v>-37713</v>
      </c>
      <c r="F257">
        <v>37873</v>
      </c>
      <c r="G257">
        <v>18384</v>
      </c>
      <c r="H257">
        <v>9036</v>
      </c>
      <c r="I257">
        <v>25706</v>
      </c>
      <c r="J257">
        <v>38361</v>
      </c>
      <c r="K257">
        <v>-4064</v>
      </c>
    </row>
    <row r="258" spans="2:11" x14ac:dyDescent="0.25">
      <c r="B258">
        <v>-25199</v>
      </c>
      <c r="C258">
        <v>-21913</v>
      </c>
      <c r="D258">
        <v>-15328</v>
      </c>
      <c r="E258">
        <v>-29050</v>
      </c>
      <c r="F258">
        <v>7149</v>
      </c>
      <c r="G258">
        <v>-45964</v>
      </c>
      <c r="H258">
        <v>-18505</v>
      </c>
      <c r="I258">
        <v>-27811</v>
      </c>
      <c r="J258">
        <v>-347</v>
      </c>
      <c r="K258">
        <v>-6825</v>
      </c>
    </row>
    <row r="259" spans="2:11" x14ac:dyDescent="0.25">
      <c r="B259">
        <v>-11200</v>
      </c>
      <c r="C259">
        <v>149</v>
      </c>
      <c r="D259">
        <v>22757</v>
      </c>
      <c r="E259">
        <v>-9645</v>
      </c>
      <c r="F259">
        <v>19609</v>
      </c>
      <c r="G259">
        <v>-15123</v>
      </c>
      <c r="H259">
        <v>-46939</v>
      </c>
      <c r="I259">
        <v>0</v>
      </c>
      <c r="J259">
        <v>35773</v>
      </c>
      <c r="K259">
        <v>-5240</v>
      </c>
    </row>
    <row r="260" spans="2:11" x14ac:dyDescent="0.25">
      <c r="B260">
        <v>-18717</v>
      </c>
      <c r="C260">
        <v>-11056</v>
      </c>
      <c r="D260">
        <v>0</v>
      </c>
      <c r="E260">
        <v>-21384</v>
      </c>
      <c r="F260">
        <v>-6051</v>
      </c>
      <c r="G260">
        <v>-28599</v>
      </c>
      <c r="H260">
        <v>-12016</v>
      </c>
      <c r="I260">
        <v>3207</v>
      </c>
      <c r="J260">
        <v>57491</v>
      </c>
      <c r="K260">
        <v>49739</v>
      </c>
    </row>
    <row r="261" spans="2:11" x14ac:dyDescent="0.25">
      <c r="B261">
        <v>46778</v>
      </c>
      <c r="C261">
        <v>-30573</v>
      </c>
      <c r="D261">
        <v>-17914</v>
      </c>
      <c r="E261">
        <v>193</v>
      </c>
      <c r="F261">
        <v>42434</v>
      </c>
      <c r="G261">
        <v>33732</v>
      </c>
      <c r="H261">
        <v>-45147</v>
      </c>
      <c r="I261">
        <v>39968</v>
      </c>
      <c r="J261">
        <v>36666</v>
      </c>
      <c r="K261">
        <v>23476</v>
      </c>
    </row>
    <row r="262" spans="2:11" x14ac:dyDescent="0.25">
      <c r="B262">
        <v>-3878</v>
      </c>
      <c r="C262">
        <v>-11675</v>
      </c>
      <c r="D262">
        <v>0</v>
      </c>
      <c r="E262">
        <v>357</v>
      </c>
      <c r="F262">
        <v>755</v>
      </c>
      <c r="G262">
        <v>-12212</v>
      </c>
      <c r="H262">
        <v>-1295</v>
      </c>
      <c r="I262">
        <v>3420</v>
      </c>
      <c r="J262">
        <v>4022</v>
      </c>
      <c r="K262">
        <v>46</v>
      </c>
    </row>
    <row r="263" spans="2:11" x14ac:dyDescent="0.25">
      <c r="B263">
        <v>6747</v>
      </c>
      <c r="C263">
        <v>-10953</v>
      </c>
      <c r="D263">
        <v>7950</v>
      </c>
      <c r="E263">
        <v>-9788</v>
      </c>
      <c r="F263">
        <v>8557</v>
      </c>
      <c r="G263">
        <v>5004</v>
      </c>
      <c r="H263">
        <v>2630</v>
      </c>
      <c r="I263">
        <v>5111</v>
      </c>
      <c r="J263">
        <v>9063</v>
      </c>
      <c r="K263">
        <v>-1175</v>
      </c>
    </row>
    <row r="264" spans="2:11" x14ac:dyDescent="0.25">
      <c r="B264">
        <v>-6464</v>
      </c>
      <c r="C264">
        <v>-5059</v>
      </c>
      <c r="D264">
        <v>-4147</v>
      </c>
      <c r="E264">
        <v>-6611</v>
      </c>
      <c r="F264">
        <v>850</v>
      </c>
      <c r="G264">
        <v>-10738</v>
      </c>
      <c r="H264">
        <v>-7119</v>
      </c>
      <c r="I264">
        <v>-12332</v>
      </c>
      <c r="J264">
        <v>-873</v>
      </c>
      <c r="K264">
        <v>-1982</v>
      </c>
    </row>
    <row r="265" spans="2:11" x14ac:dyDescent="0.25">
      <c r="B265">
        <v>-4558</v>
      </c>
      <c r="C265">
        <v>-9800</v>
      </c>
      <c r="D265">
        <v>5861</v>
      </c>
      <c r="E265">
        <v>-1355</v>
      </c>
      <c r="F265">
        <v>4580</v>
      </c>
      <c r="G265">
        <v>-3234</v>
      </c>
      <c r="H265">
        <v>-12499</v>
      </c>
      <c r="I265">
        <v>0</v>
      </c>
      <c r="J265">
        <v>8432</v>
      </c>
      <c r="K265">
        <v>-1749</v>
      </c>
    </row>
    <row r="266" spans="2:11" x14ac:dyDescent="0.25">
      <c r="B266">
        <v>-4646</v>
      </c>
      <c r="C266">
        <v>-2989</v>
      </c>
      <c r="D266">
        <v>0</v>
      </c>
      <c r="E266">
        <v>-5321</v>
      </c>
      <c r="F266">
        <v>-1646</v>
      </c>
      <c r="G266">
        <v>-6836</v>
      </c>
      <c r="H266">
        <v>-2982</v>
      </c>
      <c r="I266">
        <v>776</v>
      </c>
      <c r="J266">
        <v>12917</v>
      </c>
      <c r="K266">
        <v>10811</v>
      </c>
    </row>
    <row r="267" spans="2:11" x14ac:dyDescent="0.25">
      <c r="B267">
        <v>6553</v>
      </c>
      <c r="C267">
        <v>-7667</v>
      </c>
      <c r="D267">
        <v>-4417</v>
      </c>
      <c r="E267">
        <v>65</v>
      </c>
      <c r="F267">
        <v>11121</v>
      </c>
      <c r="G267">
        <v>8712</v>
      </c>
      <c r="H267">
        <v>-9132</v>
      </c>
      <c r="I267">
        <v>14945</v>
      </c>
      <c r="J267">
        <v>14196</v>
      </c>
      <c r="K267">
        <v>9011</v>
      </c>
    </row>
    <row r="268" spans="2:11" x14ac:dyDescent="0.25">
      <c r="B268">
        <v>17907</v>
      </c>
      <c r="C268">
        <v>2050</v>
      </c>
      <c r="D268">
        <v>4267</v>
      </c>
      <c r="E268">
        <v>0</v>
      </c>
      <c r="F268">
        <v>-727</v>
      </c>
      <c r="G268">
        <v>-616</v>
      </c>
      <c r="H268">
        <v>2206</v>
      </c>
      <c r="I268">
        <v>-1728</v>
      </c>
      <c r="J268">
        <v>525</v>
      </c>
      <c r="K268">
        <v>-907</v>
      </c>
    </row>
    <row r="269" spans="2:11" x14ac:dyDescent="0.25">
      <c r="B269">
        <v>-302</v>
      </c>
      <c r="C269">
        <v>-1503</v>
      </c>
      <c r="D269">
        <v>2799</v>
      </c>
      <c r="E269">
        <v>-992</v>
      </c>
      <c r="F269">
        <v>1889</v>
      </c>
      <c r="G269">
        <v>-2835</v>
      </c>
      <c r="H269">
        <v>89</v>
      </c>
      <c r="I269">
        <v>830</v>
      </c>
      <c r="J269">
        <v>-2040</v>
      </c>
      <c r="K269">
        <v>-2720</v>
      </c>
    </row>
    <row r="270" spans="2:11" x14ac:dyDescent="0.25">
      <c r="B270">
        <v>4</v>
      </c>
      <c r="C270">
        <v>1583</v>
      </c>
      <c r="D270">
        <v>1093</v>
      </c>
      <c r="E270">
        <v>918</v>
      </c>
      <c r="F270">
        <v>1113</v>
      </c>
      <c r="G270">
        <v>-982</v>
      </c>
      <c r="H270">
        <v>4142</v>
      </c>
      <c r="I270">
        <v>-2369</v>
      </c>
      <c r="J270">
        <v>-8130</v>
      </c>
      <c r="K270">
        <v>-1454</v>
      </c>
    </row>
    <row r="271" spans="2:11" x14ac:dyDescent="0.25">
      <c r="B271">
        <v>-47</v>
      </c>
      <c r="C271">
        <v>-1776</v>
      </c>
      <c r="D271">
        <v>-15673</v>
      </c>
      <c r="E271">
        <v>-1095</v>
      </c>
      <c r="F271">
        <v>1951</v>
      </c>
      <c r="G271">
        <v>-1509</v>
      </c>
      <c r="H271">
        <v>1592</v>
      </c>
      <c r="I271">
        <v>1975</v>
      </c>
      <c r="J271">
        <v>0</v>
      </c>
      <c r="K271">
        <v>-2991</v>
      </c>
    </row>
    <row r="272" spans="2:11" x14ac:dyDescent="0.25">
      <c r="B272">
        <v>-118</v>
      </c>
      <c r="C272">
        <v>1374</v>
      </c>
      <c r="D272">
        <v>402</v>
      </c>
      <c r="E272">
        <v>0</v>
      </c>
      <c r="F272">
        <v>1250</v>
      </c>
      <c r="G272">
        <v>118</v>
      </c>
      <c r="H272">
        <v>2304</v>
      </c>
      <c r="I272">
        <v>632</v>
      </c>
      <c r="J272">
        <v>-281</v>
      </c>
      <c r="K272">
        <v>-7882</v>
      </c>
    </row>
    <row r="273" spans="2:11" x14ac:dyDescent="0.25">
      <c r="B273">
        <v>-4851</v>
      </c>
      <c r="C273">
        <v>-8802</v>
      </c>
      <c r="D273">
        <v>1832</v>
      </c>
      <c r="E273">
        <v>1161</v>
      </c>
      <c r="F273">
        <v>45</v>
      </c>
      <c r="G273">
        <v>-221</v>
      </c>
      <c r="H273">
        <v>-79</v>
      </c>
      <c r="I273">
        <v>6621</v>
      </c>
      <c r="J273">
        <v>3209</v>
      </c>
      <c r="K273">
        <v>3457</v>
      </c>
    </row>
    <row r="274" spans="2:11" x14ac:dyDescent="0.25">
      <c r="B274">
        <v>2110</v>
      </c>
      <c r="C274">
        <v>1861</v>
      </c>
      <c r="D274">
        <v>5852</v>
      </c>
      <c r="E274">
        <v>-7373</v>
      </c>
      <c r="F274">
        <v>-25152</v>
      </c>
      <c r="G274">
        <v>0</v>
      </c>
      <c r="H274">
        <v>801</v>
      </c>
      <c r="I274">
        <v>2227</v>
      </c>
      <c r="J274">
        <v>-23388</v>
      </c>
      <c r="K274">
        <v>1435</v>
      </c>
    </row>
    <row r="275" spans="2:11" x14ac:dyDescent="0.25">
      <c r="B275">
        <v>7601</v>
      </c>
      <c r="C275">
        <v>7721</v>
      </c>
      <c r="D275">
        <v>-1703</v>
      </c>
      <c r="E275">
        <v>12384</v>
      </c>
      <c r="F275">
        <v>-21797</v>
      </c>
      <c r="G275">
        <v>13970</v>
      </c>
      <c r="H275">
        <v>-18807</v>
      </c>
      <c r="I275">
        <v>17950</v>
      </c>
      <c r="J275">
        <v>8397</v>
      </c>
      <c r="K275">
        <v>2142</v>
      </c>
    </row>
    <row r="276" spans="2:11" x14ac:dyDescent="0.25">
      <c r="B276">
        <v>15855</v>
      </c>
      <c r="C276">
        <v>18672</v>
      </c>
      <c r="D276">
        <v>-1819</v>
      </c>
      <c r="E276">
        <v>-12193</v>
      </c>
      <c r="F276">
        <v>-10572</v>
      </c>
      <c r="G276">
        <v>-7897</v>
      </c>
      <c r="H276">
        <v>-13968</v>
      </c>
      <c r="I276">
        <v>2975</v>
      </c>
      <c r="J276">
        <v>-21979</v>
      </c>
      <c r="K276">
        <v>-10915</v>
      </c>
    </row>
    <row r="277" spans="2:11" x14ac:dyDescent="0.25">
      <c r="B277">
        <v>-16806</v>
      </c>
      <c r="C277">
        <v>-758</v>
      </c>
      <c r="D277">
        <v>-3735</v>
      </c>
      <c r="E277">
        <v>-6698</v>
      </c>
      <c r="F277">
        <v>-6445</v>
      </c>
      <c r="G277">
        <v>11721</v>
      </c>
      <c r="H277">
        <v>-4643</v>
      </c>
      <c r="I277">
        <v>9982</v>
      </c>
      <c r="J277">
        <v>-7577</v>
      </c>
      <c r="K277">
        <v>-23290</v>
      </c>
    </row>
    <row r="278" spans="2:11" x14ac:dyDescent="0.25">
      <c r="B278">
        <v>0</v>
      </c>
      <c r="C278">
        <v>17731</v>
      </c>
      <c r="D278">
        <v>-1634</v>
      </c>
      <c r="E278">
        <v>-8942</v>
      </c>
      <c r="F278">
        <v>-5476</v>
      </c>
      <c r="G278">
        <v>0</v>
      </c>
      <c r="H278">
        <v>-10347</v>
      </c>
      <c r="I278">
        <v>-3041</v>
      </c>
      <c r="J278">
        <v>-13757</v>
      </c>
      <c r="K278">
        <v>-5045</v>
      </c>
    </row>
    <row r="279" spans="2:11" x14ac:dyDescent="0.25">
      <c r="B279">
        <v>1408</v>
      </c>
      <c r="C279">
        <v>27785</v>
      </c>
      <c r="D279">
        <v>24685</v>
      </c>
      <c r="E279">
        <v>20186</v>
      </c>
      <c r="F279">
        <v>-15080</v>
      </c>
      <c r="G279">
        <v>-8701</v>
      </c>
      <c r="H279">
        <v>257</v>
      </c>
      <c r="I279">
        <v>21392</v>
      </c>
      <c r="J279">
        <v>16936</v>
      </c>
      <c r="K279">
        <v>-21182</v>
      </c>
    </row>
    <row r="280" spans="2:11" x14ac:dyDescent="0.25">
      <c r="B280">
        <v>22944</v>
      </c>
      <c r="C280">
        <v>21299</v>
      </c>
      <c r="D280">
        <v>13846</v>
      </c>
      <c r="E280">
        <v>29830</v>
      </c>
      <c r="F280">
        <v>11933</v>
      </c>
      <c r="G280">
        <v>4263</v>
      </c>
      <c r="H280">
        <v>-21298</v>
      </c>
      <c r="I280">
        <v>-73543</v>
      </c>
      <c r="J280">
        <v>0</v>
      </c>
      <c r="K280">
        <v>3662</v>
      </c>
    </row>
    <row r="281" spans="2:11" x14ac:dyDescent="0.25">
      <c r="B281">
        <v>6222</v>
      </c>
      <c r="C281">
        <v>-65949</v>
      </c>
      <c r="D281">
        <v>2053</v>
      </c>
      <c r="E281">
        <v>22367</v>
      </c>
      <c r="F281">
        <v>26005</v>
      </c>
      <c r="G281">
        <v>-738</v>
      </c>
      <c r="H281">
        <v>39468</v>
      </c>
      <c r="I281">
        <v>-62988</v>
      </c>
      <c r="J281">
        <v>39382</v>
      </c>
      <c r="K281">
        <v>-53180</v>
      </c>
    </row>
    <row r="282" spans="2:11" x14ac:dyDescent="0.25">
      <c r="B282">
        <v>49854</v>
      </c>
      <c r="C282">
        <v>23497</v>
      </c>
      <c r="D282">
        <v>10277</v>
      </c>
      <c r="E282">
        <v>36841</v>
      </c>
      <c r="F282">
        <v>55830</v>
      </c>
      <c r="G282">
        <v>-5711</v>
      </c>
      <c r="H282">
        <v>-37254</v>
      </c>
      <c r="I282">
        <v>-30929</v>
      </c>
      <c r="J282">
        <v>-24463</v>
      </c>
      <c r="K282">
        <v>-40925</v>
      </c>
    </row>
    <row r="283" spans="2:11" x14ac:dyDescent="0.25">
      <c r="B283">
        <v>11632</v>
      </c>
      <c r="C283">
        <v>-67095</v>
      </c>
      <c r="D283">
        <v>-22177</v>
      </c>
      <c r="E283">
        <v>-21958</v>
      </c>
      <c r="F283">
        <v>614</v>
      </c>
      <c r="G283">
        <v>-9534</v>
      </c>
      <c r="H283">
        <v>-13062</v>
      </c>
      <c r="I283">
        <v>4742</v>
      </c>
      <c r="J283">
        <v>33059</v>
      </c>
      <c r="K283">
        <v>-14406</v>
      </c>
    </row>
    <row r="284" spans="2:11" x14ac:dyDescent="0.25">
      <c r="B284">
        <v>29530</v>
      </c>
      <c r="C284">
        <v>-21319</v>
      </c>
      <c r="D284">
        <v>-65948</v>
      </c>
      <c r="E284">
        <v>0</v>
      </c>
      <c r="F284">
        <v>52625</v>
      </c>
      <c r="G284">
        <v>-5439</v>
      </c>
      <c r="H284">
        <v>-25810</v>
      </c>
      <c r="I284">
        <v>-15212</v>
      </c>
      <c r="J284">
        <v>0</v>
      </c>
      <c r="K284">
        <v>-30072</v>
      </c>
    </row>
    <row r="285" spans="2:11" x14ac:dyDescent="0.25">
      <c r="B285">
        <v>-8253</v>
      </c>
      <c r="C285">
        <v>-40313</v>
      </c>
      <c r="D285">
        <v>-14599</v>
      </c>
      <c r="E285">
        <v>4479</v>
      </c>
      <c r="F285">
        <v>84395</v>
      </c>
      <c r="G285">
        <v>71180</v>
      </c>
      <c r="H285">
        <v>78287</v>
      </c>
      <c r="I285">
        <v>-43719</v>
      </c>
      <c r="J285">
        <v>-25649</v>
      </c>
      <c r="K285">
        <v>151</v>
      </c>
    </row>
    <row r="286" spans="2:11" x14ac:dyDescent="0.25">
      <c r="B286">
        <v>61037</v>
      </c>
      <c r="C286">
        <v>48833</v>
      </c>
      <c r="D286">
        <v>-68564</v>
      </c>
      <c r="E286">
        <v>46694</v>
      </c>
      <c r="F286">
        <v>41581</v>
      </c>
      <c r="G286">
        <v>26771</v>
      </c>
      <c r="H286">
        <v>69191</v>
      </c>
      <c r="I286">
        <v>17064</v>
      </c>
      <c r="J286">
        <v>-4671</v>
      </c>
      <c r="K286">
        <v>34147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G50"/>
  <sheetViews>
    <sheetView workbookViewId="0">
      <selection activeCell="R53" sqref="R53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41</v>
      </c>
      <c r="C3" s="79"/>
      <c r="D3" s="79"/>
      <c r="E3" s="79"/>
      <c r="F3" s="79"/>
      <c r="G3" s="79"/>
      <c r="H3" s="79"/>
      <c r="I3" s="79"/>
      <c r="J3" s="7"/>
      <c r="L3" s="3"/>
      <c r="M3" s="79" t="s">
        <v>41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199181.526724</v>
      </c>
      <c r="C5" s="6" t="n">
        <v>11905.579525</v>
      </c>
      <c r="D5" s="6" t="n">
        <v>2137.134654</v>
      </c>
      <c r="E5" s="6" t="n">
        <v>392.293922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213616.53482500001</v>
      </c>
      <c r="K5" s="6"/>
      <c r="L5" t="s">
        <v>1</v>
      </c>
      <c r="M5" s="6" t="n">
        <v>125763.0</v>
      </c>
      <c r="N5" s="6" t="n">
        <v>6139.0</v>
      </c>
      <c r="O5" s="6" t="n">
        <v>921.0</v>
      </c>
      <c r="P5" s="6" t="n">
        <v>0.0</v>
      </c>
      <c r="Q5" s="6" t="n">
        <v>22.0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131951</v>
      </c>
    </row>
    <row r="6" spans="1:21" x14ac:dyDescent="0.25">
      <c r="A6" t="s">
        <v>12</v>
      </c>
      <c r="B6" s="6" t="n">
        <v>0.0</v>
      </c>
      <c r="C6" s="6" t="n">
        <v>122518.859627</v>
      </c>
      <c r="D6" s="6" t="n">
        <v>5350.884009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297.738088</v>
      </c>
      <c r="J6" s="6">
        <f ref="J6:J15" si="1" t="shared">SUM(B6:I6)</f>
        <v>128167.481724</v>
      </c>
      <c r="K6" s="6"/>
      <c r="L6" t="s">
        <v>12</v>
      </c>
      <c r="M6" s="6" t="n">
        <v>0.0</v>
      </c>
      <c r="N6" s="6" t="n">
        <v>51279.0</v>
      </c>
      <c r="O6" s="6" t="n">
        <v>3727.0</v>
      </c>
      <c r="P6" s="6" t="n">
        <v>0.0</v>
      </c>
      <c r="Q6" s="6" t="n">
        <v>260.0</v>
      </c>
      <c r="R6" s="6" t="n">
        <v>0.0</v>
      </c>
      <c r="S6" s="6" t="n">
        <v>0.0</v>
      </c>
      <c r="T6" s="6" t="n">
        <v>0.0</v>
      </c>
      <c r="U6" s="6">
        <f si="0" t="shared"/>
        <v>54335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85454.165607</v>
      </c>
      <c r="E7" s="6" t="n">
        <v>0.0</v>
      </c>
      <c r="F7" s="6" t="n">
        <v>38.996259</v>
      </c>
      <c r="G7" s="6" t="n">
        <v>0.0</v>
      </c>
      <c r="H7" s="6" t="n">
        <v>0.0</v>
      </c>
      <c r="I7" s="6" t="n">
        <v>256.904072</v>
      </c>
      <c r="J7" s="6">
        <f si="1" t="shared"/>
        <v>85750.065938000014</v>
      </c>
      <c r="K7" s="6"/>
      <c r="L7" t="s">
        <v>56</v>
      </c>
      <c r="M7" s="6" t="n">
        <v>0.0</v>
      </c>
      <c r="N7" s="6" t="n">
        <v>0.0</v>
      </c>
      <c r="O7" s="6" t="n">
        <v>16756.0</v>
      </c>
      <c r="P7" s="6" t="n">
        <v>0.0</v>
      </c>
      <c r="Q7" s="6" t="n">
        <v>70.0</v>
      </c>
      <c r="R7" s="6" t="n">
        <v>0.0</v>
      </c>
      <c r="S7" s="6" t="n">
        <v>0.0</v>
      </c>
      <c r="T7" s="6" t="n">
        <v>0.0</v>
      </c>
      <c r="U7" s="6">
        <f si="0" t="shared"/>
        <v>16721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392.293922</v>
      </c>
      <c r="F8" s="6" t="n">
        <v>498.170697</v>
      </c>
      <c r="G8" s="6" t="n">
        <v>0.0</v>
      </c>
      <c r="H8" s="6" t="n">
        <v>0.0</v>
      </c>
      <c r="I8" s="6" t="n">
        <v>0.0</v>
      </c>
      <c r="J8" s="6">
        <f si="1" t="shared"/>
        <v>890.46461900000008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671.0</v>
      </c>
      <c r="R8" s="6" t="n">
        <v>0.0</v>
      </c>
      <c r="S8" s="6" t="n">
        <v>0.0</v>
      </c>
      <c r="T8" s="6" t="n">
        <v>0.0</v>
      </c>
      <c r="U8" s="6">
        <f si="0" t="shared"/>
        <v>725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154.667198</v>
      </c>
      <c r="G10" s="6" t="n">
        <v>0.0</v>
      </c>
      <c r="H10" s="6" t="n">
        <v>0.0</v>
      </c>
      <c r="I10" s="6" t="n">
        <v>0.0</v>
      </c>
      <c r="J10" s="6">
        <f si="1" t="shared"/>
        <v>154.66719800000001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16.0</v>
      </c>
      <c r="R10" s="6" t="n">
        <v>0.0</v>
      </c>
      <c r="S10" s="6" t="n">
        <v>0.0</v>
      </c>
      <c r="T10" s="6" t="n">
        <v>0.0</v>
      </c>
      <c r="U10" s="6">
        <f si="0" t="shared"/>
        <v>17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10.0</v>
      </c>
      <c r="R11" s="6" t="n">
        <v>0.0</v>
      </c>
      <c r="S11" s="6" t="n">
        <v>0.0</v>
      </c>
      <c r="T11" s="6" t="n">
        <v>0.0</v>
      </c>
      <c r="U11" s="6">
        <f si="0" t="shared"/>
        <v>13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28.0</v>
      </c>
      <c r="R12" s="6" t="n">
        <v>0.0</v>
      </c>
      <c r="S12" s="6" t="n">
        <v>0.0</v>
      </c>
      <c r="T12" s="6" t="n">
        <v>0.0</v>
      </c>
      <c r="U12" s="6">
        <f si="0" t="shared"/>
        <v>64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4436.828231</v>
      </c>
      <c r="J13" s="6">
        <f si="1" t="shared"/>
        <v>4436.8282310000004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137.011743</v>
      </c>
      <c r="C14" s="6" t="n">
        <v>227.287254</v>
      </c>
      <c r="D14" s="6" t="n">
        <v>0.0</v>
      </c>
      <c r="E14" s="6" t="n">
        <v>0.0</v>
      </c>
      <c r="F14" s="6" t="n">
        <v>25.036661</v>
      </c>
      <c r="G14" s="6" t="n">
        <v>4961.55457</v>
      </c>
      <c r="H14" s="6" t="n">
        <v>0.0</v>
      </c>
      <c r="I14" s="6" t="n">
        <v>0.0</v>
      </c>
      <c r="J14" s="6">
        <f si="1" t="shared"/>
        <v>5350.8902280000002</v>
      </c>
      <c r="K14" s="6"/>
      <c r="L14" t="s">
        <v>4</v>
      </c>
      <c r="M14" s="6" t="n">
        <v>51.0</v>
      </c>
      <c r="N14" s="6" t="n">
        <v>43.0</v>
      </c>
      <c r="O14" s="6" t="n">
        <v>1.0</v>
      </c>
      <c r="P14" s="6" t="n">
        <v>0.0</v>
      </c>
      <c r="Q14" s="6" t="n">
        <v>5.0</v>
      </c>
      <c r="R14" s="6" t="n">
        <v>299.0</v>
      </c>
      <c r="S14" s="6" t="n">
        <v>0.0</v>
      </c>
      <c r="T14" s="6" t="n">
        <v>0.0</v>
      </c>
      <c r="U14" s="6">
        <f si="0" t="shared"/>
        <v>393</v>
      </c>
    </row>
    <row r="15" spans="1:21" x14ac:dyDescent="0.25">
      <c r="A15" s="4" t="s">
        <v>5</v>
      </c>
      <c r="B15" s="10" t="n">
        <v>881.446091</v>
      </c>
      <c r="C15" s="10" t="n">
        <v>1220.610244</v>
      </c>
      <c r="D15" s="10" t="n">
        <v>6613.392183</v>
      </c>
      <c r="E15" s="10" t="n">
        <v>0.0</v>
      </c>
      <c r="F15" s="10" t="n">
        <v>158.694238</v>
      </c>
      <c r="G15" s="10" t="n">
        <v>717.877271</v>
      </c>
      <c r="H15" s="10" t="n">
        <v>46218.024618</v>
      </c>
      <c r="I15" s="10" t="n">
        <v>0.0</v>
      </c>
      <c r="J15" s="6">
        <f si="1" t="shared"/>
        <v>55810.044645000002</v>
      </c>
      <c r="K15" s="6"/>
      <c r="L15" s="4" t="s">
        <v>5</v>
      </c>
      <c r="M15" s="8" t="n">
        <v>88.0</v>
      </c>
      <c r="N15" s="8" t="n">
        <v>16.0</v>
      </c>
      <c r="O15" s="8" t="n">
        <v>7.0</v>
      </c>
      <c r="P15" s="8" t="n">
        <v>0.0</v>
      </c>
      <c r="Q15" s="8" t="n">
        <v>3.0</v>
      </c>
      <c r="R15" s="8" t="n">
        <v>1.0</v>
      </c>
      <c r="S15" s="8" t="n">
        <v>16478.0</v>
      </c>
      <c r="T15" s="8" t="n">
        <v>0.0</v>
      </c>
      <c r="U15" s="6">
        <f si="0" t="shared"/>
        <v>17189</v>
      </c>
    </row>
    <row ht="15.75" r="16" spans="1:21" thickBot="1" x14ac:dyDescent="0.3">
      <c r="A16" s="12" t="s">
        <v>7</v>
      </c>
      <c r="B16" s="16">
        <f ref="B16:J16" si="2" t="shared">SUM(B5:B15)</f>
        <v>200199.984558</v>
      </c>
      <c r="C16" s="16">
        <f si="2" t="shared"/>
        <v>135872.33665000001</v>
      </c>
      <c r="D16" s="16">
        <f si="2" t="shared"/>
        <v>99555.576453000001</v>
      </c>
      <c r="E16" s="16">
        <f si="2" t="shared"/>
        <v>784.58784400000002</v>
      </c>
      <c r="F16" s="16">
        <f si="2" t="shared"/>
        <v>875.56505300000003</v>
      </c>
      <c r="G16" s="16">
        <f si="2" t="shared"/>
        <v>5679.4318410000005</v>
      </c>
      <c r="H16" s="16">
        <f si="2" t="shared"/>
        <v>46218.024618000003</v>
      </c>
      <c r="I16" s="16">
        <f si="2" t="shared"/>
        <v>4991.4703910000007</v>
      </c>
      <c r="J16" s="16">
        <f si="2" t="shared"/>
        <v>494176.97740800004</v>
      </c>
      <c r="L16" s="9" t="s">
        <v>7</v>
      </c>
      <c r="M16" s="16">
        <f ref="M16:U16" si="3" t="shared">SUM(M5:M15)</f>
        <v>125101</v>
      </c>
      <c r="N16" s="16">
        <f si="3" t="shared"/>
        <v>56484</v>
      </c>
      <c r="O16" s="16">
        <f si="3" t="shared"/>
        <v>21313</v>
      </c>
      <c r="P16" s="16">
        <f si="3" t="shared"/>
        <v>0</v>
      </c>
      <c r="Q16" s="16">
        <f si="3" t="shared"/>
        <v>1146</v>
      </c>
      <c r="R16" s="16">
        <f si="3" t="shared"/>
        <v>290</v>
      </c>
      <c r="S16" s="16">
        <f si="3" t="shared"/>
        <v>17074</v>
      </c>
      <c r="T16" s="16">
        <f si="3" t="shared"/>
        <v>0</v>
      </c>
      <c r="U16" s="16">
        <f si="3" t="shared"/>
        <v>221408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41</v>
      </c>
      <c r="C20" s="79"/>
      <c r="D20" s="79"/>
      <c r="E20" s="79"/>
      <c r="F20" s="79"/>
      <c r="G20" s="79"/>
      <c r="H20" s="79"/>
      <c r="I20" s="79"/>
      <c r="J20" s="7"/>
      <c r="L20" s="3"/>
      <c r="M20" s="79" t="s">
        <v>41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0.99491279763957752</v>
      </c>
      <c r="C22" s="13">
        <f si="4" t="shared"/>
        <v>8.7623277986807177E-2</v>
      </c>
      <c r="D22" s="13">
        <f si="4" t="shared"/>
        <v>2.1466749831024656E-2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0.43226727385285485</v>
      </c>
      <c r="K22" s="6"/>
      <c r="L22" t="s">
        <v>1</v>
      </c>
      <c r="M22" s="13">
        <f ref="M22:P22" si="5" t="shared">M5/M$16</f>
        <v>0.99879297527597699</v>
      </c>
      <c r="N22" s="13">
        <f si="5" t="shared"/>
        <v>0.10811911337723958</v>
      </c>
      <c r="O22" s="13">
        <f si="5" t="shared"/>
        <v>4.1430113076526061E-2</v>
      </c>
      <c r="P22" s="13" t="e">
        <f si="5" t="shared"/>
        <v>#DIV/0!</v>
      </c>
      <c r="Q22" s="13">
        <f ref="Q22:U33" si="6" t="shared">Q5/Q$16</f>
        <v>9.5986038394415361E-3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0.59596310883075587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0.90172041379255974</v>
      </c>
      <c r="D23" s="13">
        <f si="7" t="shared"/>
        <v>5.3747707558362064E-2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5.9649374768774417E-2</v>
      </c>
      <c r="J23" s="13">
        <f si="7" t="shared"/>
        <v>0.25935542848687376</v>
      </c>
      <c r="K23" s="6"/>
      <c r="L23" t="s">
        <v>12</v>
      </c>
      <c r="M23" s="13">
        <f ref="M23:P23" si="8" t="shared">M6/M$16</f>
        <v>0</v>
      </c>
      <c r="N23" s="13">
        <f si="8" t="shared"/>
        <v>0.89101338432122368</v>
      </c>
      <c r="O23" s="13">
        <f si="8" t="shared"/>
        <v>0.17684042603106084</v>
      </c>
      <c r="P23" s="13" t="e">
        <f si="8" t="shared"/>
        <v>#DIV/0!</v>
      </c>
      <c r="Q23" s="13">
        <f si="6" t="shared"/>
        <v>0.20767888307155322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0.24540667003902297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0.8583563940021256</v>
      </c>
      <c r="E24" s="13">
        <f si="9" t="shared"/>
        <v>0</v>
      </c>
      <c r="F24" s="13">
        <f si="9" t="shared"/>
        <v>4.4538391369533109E-2</v>
      </c>
      <c r="G24" s="13">
        <f si="9" t="shared"/>
        <v>0</v>
      </c>
      <c r="H24" s="13">
        <f si="9" t="shared"/>
        <v>0</v>
      </c>
      <c r="I24" s="13">
        <f si="9" t="shared"/>
        <v>5.1468615833766634E-2</v>
      </c>
      <c r="J24" s="13">
        <f si="9" t="shared"/>
        <v>0.17352096487328558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0.78140102284990376</v>
      </c>
      <c r="P24" s="13" t="e">
        <f si="10" t="shared"/>
        <v>#DIV/0!</v>
      </c>
      <c r="Q24" s="13">
        <f si="6" t="shared"/>
        <v>5.8464223385689351E-2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7.5521209712386184E-2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0.56897051257709341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1.8019144146911945E-3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0.63263525305410118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3.2744977597918773E-3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0.17664843688090873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3.1297936785975444E-4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1.4834205933682374E-2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7.6781326781326779E-5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1.1343804537521814E-2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5.8715132244544006E-5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5.5846422338568937E-2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2.8905911258852437E-4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0.88888200939745887</v>
      </c>
      <c r="J30" s="13">
        <f si="21" t="shared"/>
        <v>8.9782171850083733E-3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6.8437439344709984E-4</v>
      </c>
      <c r="C31" s="13">
        <f si="23" t="shared"/>
        <v>1.6728000680924476E-3</v>
      </c>
      <c r="D31" s="13">
        <f si="23" t="shared"/>
        <v>0</v>
      </c>
      <c r="E31" s="13">
        <f si="23" t="shared"/>
        <v>0</v>
      </c>
      <c r="F31" s="13">
        <f si="23" t="shared"/>
        <v>2.8594861014855966E-2</v>
      </c>
      <c r="G31" s="13">
        <f si="23" t="shared"/>
        <v>0.87360051302709163</v>
      </c>
      <c r="H31" s="13">
        <f si="23" t="shared"/>
        <v>0</v>
      </c>
      <c r="I31" s="13">
        <f si="23" t="shared"/>
        <v>0</v>
      </c>
      <c r="J31" s="13">
        <f si="23" t="shared"/>
        <v>1.0827882464427768E-2</v>
      </c>
      <c r="K31" s="6"/>
      <c r="L31" t="s">
        <v>4</v>
      </c>
      <c r="M31" s="13">
        <f ref="M31:P31" si="24" t="shared">M14/M$16</f>
        <v>4.9559955555910826E-4</v>
      </c>
      <c r="N31" s="13">
        <f si="24" t="shared"/>
        <v>5.311238580837051E-4</v>
      </c>
      <c r="O31" s="13">
        <f si="24" t="shared"/>
        <v>2.3459860179233331E-4</v>
      </c>
      <c r="P31" s="13" t="e">
        <f si="24" t="shared"/>
        <v>#DIV/0!</v>
      </c>
      <c r="Q31" s="13">
        <f si="6" t="shared"/>
        <v>6.9808027923211171E-3</v>
      </c>
      <c r="R31" s="13">
        <f si="6" t="shared"/>
        <v>0.99310344827586206</v>
      </c>
      <c r="S31" s="13">
        <f si="6" t="shared"/>
        <v>0</v>
      </c>
      <c r="T31" s="13" t="e">
        <f si="6" t="shared"/>
        <v>#DIV/0!</v>
      </c>
      <c r="U31" s="13">
        <f si="6" t="shared"/>
        <v>1.7750036132389074E-3</v>
      </c>
    </row>
    <row r="32" spans="1:21" x14ac:dyDescent="0.25">
      <c r="A32" s="4" t="s">
        <v>5</v>
      </c>
      <c r="B32" s="14">
        <f ref="B32:J32" si="25" t="shared">B15/B$16</f>
        <v>4.402827966975372E-3</v>
      </c>
      <c r="C32" s="14">
        <f si="25" t="shared"/>
        <v>8.9835081525404814E-3</v>
      </c>
      <c r="D32" s="14">
        <f si="25" t="shared"/>
        <v>6.642914860848774E-2</v>
      </c>
      <c r="E32" s="14">
        <f si="25" t="shared"/>
        <v>0</v>
      </c>
      <c r="F32" s="14">
        <f si="25" t="shared"/>
        <v>0.18124779815760875</v>
      </c>
      <c r="G32" s="14">
        <f si="25" t="shared"/>
        <v>0.12639948697290826</v>
      </c>
      <c r="H32" s="14">
        <f si="25" t="shared"/>
        <v>1</v>
      </c>
      <c r="I32" s="14">
        <f si="25" t="shared"/>
        <v>0</v>
      </c>
      <c r="J32" s="14">
        <f si="25" t="shared"/>
        <v>0.11293533935499868</v>
      </c>
      <c r="K32" s="6"/>
      <c r="L32" s="4" t="s">
        <v>5</v>
      </c>
      <c r="M32" s="14">
        <f ref="M32:P32" si="26" t="shared">M15/M$16</f>
        <v>7.114251684638812E-4</v>
      </c>
      <c r="N32" s="14">
        <f si="26" t="shared"/>
        <v>3.3637844345301327E-4</v>
      </c>
      <c r="O32" s="14">
        <f si="26" t="shared"/>
        <v>9.3839440716933333E-5</v>
      </c>
      <c r="P32" s="14" t="e">
        <f si="26" t="shared"/>
        <v>#DIV/0!</v>
      </c>
      <c r="Q32" s="14">
        <f si="6" t="shared"/>
        <v>2.617801047120419E-3</v>
      </c>
      <c r="R32" s="14">
        <f si="6" t="shared"/>
        <v>6.8965517241379309E-3</v>
      </c>
      <c r="S32" s="14">
        <f si="6" t="shared"/>
        <v>1</v>
      </c>
      <c r="T32" s="14" t="e">
        <f si="6" t="shared"/>
        <v>#DIV/0!</v>
      </c>
      <c r="U32" s="14">
        <f si="6" t="shared"/>
        <v>7.7634954473189771E-2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41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3.8801776363994733E-3</v>
      </c>
      <c r="N39" s="13">
        <f si="29" t="shared"/>
        <v>2.0495835390432399E-2</v>
      </c>
      <c r="O39" s="13">
        <f si="29" t="shared"/>
        <v>1.9963363245501405E-2</v>
      </c>
      <c r="P39" s="13" t="e">
        <f si="29" t="shared"/>
        <v>#DIV/0!</v>
      </c>
      <c r="Q39" s="13">
        <f ref="Q39:Q50" si="30" t="shared">Q22-F22</f>
        <v>9.5986038394415361E-3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0.16369583497790102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-1.070702947133606E-2</v>
      </c>
      <c r="O40" s="13">
        <f si="29" t="shared"/>
        <v>0.12309271847269879</v>
      </c>
      <c r="P40" s="13" t="e">
        <f si="29" t="shared"/>
        <v>#DIV/0!</v>
      </c>
      <c r="Q40" s="13">
        <f si="30" t="shared"/>
        <v>0.20767888307155322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-1.394875844785079E-2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-7.6955371152221841E-2</v>
      </c>
      <c r="P41" s="13" t="e">
        <f si="29" t="shared"/>
        <v>#DIV/0!</v>
      </c>
      <c r="Q41" s="13">
        <f si="30" t="shared"/>
        <v>1.3925832016156242E-2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-9.7999755160899399E-2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6.3664740477007764E-2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1.4725833451006828E-3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-0.16181423094722636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-2.3619804107842768E-4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1.1343804537521814E-2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5.8715132244544006E-5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5.5846422338568937E-2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2.8905911258852437E-4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-8.9782171850083733E-3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-1.8877483788799158E-4</v>
      </c>
      <c r="N48" s="13">
        <f si="42" t="shared"/>
        <v>-1.1416762100087425E-3</v>
      </c>
      <c r="O48" s="13">
        <f si="42" t="shared"/>
        <v>2.3459860179233331E-4</v>
      </c>
      <c r="P48" s="13" t="e">
        <f si="42" t="shared"/>
        <v>#DIV/0!</v>
      </c>
      <c r="Q48" s="13">
        <f si="30" t="shared"/>
        <v>-2.161405822253485E-2</v>
      </c>
      <c r="R48" s="13">
        <f si="31" t="shared"/>
        <v>0.11950293524877043</v>
      </c>
      <c r="S48" s="13">
        <f si="32" t="shared"/>
        <v>0</v>
      </c>
      <c r="T48" s="13" t="e">
        <f si="33" t="shared"/>
        <v>#DIV/0!</v>
      </c>
      <c r="U48" s="13">
        <f si="34" t="shared"/>
        <v>-9.0528788511888593E-3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-3.6914027985114907E-3</v>
      </c>
      <c r="N49" s="17">
        <f si="43" t="shared"/>
        <v>-8.6471297090874675E-3</v>
      </c>
      <c r="O49" s="17">
        <f si="43" t="shared"/>
        <v>-6.6335309167770806E-2</v>
      </c>
      <c r="P49" s="17" t="e">
        <f si="43" t="shared"/>
        <v>#DIV/0!</v>
      </c>
      <c r="Q49" s="17">
        <f si="30" t="shared"/>
        <v>-0.17862999711048833</v>
      </c>
      <c r="R49" s="17">
        <f si="31" t="shared"/>
        <v>-0.11950293524877033</v>
      </c>
      <c r="S49" s="17">
        <f si="32" t="shared"/>
        <v>0</v>
      </c>
      <c r="T49" s="17" t="e">
        <f si="33" t="shared"/>
        <v>#DIV/0!</v>
      </c>
      <c r="U49" s="13">
        <f si="34" t="shared"/>
        <v>-3.5300384881808908E-2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G50"/>
  <sheetViews>
    <sheetView topLeftCell="F1" workbookViewId="0">
      <selection activeCell="J14" sqref="J1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6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6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1015923.701032</v>
      </c>
      <c r="C5" s="6" t="n">
        <v>164966.388891</v>
      </c>
      <c r="D5" s="6" t="n">
        <v>63820.090351</v>
      </c>
      <c r="E5" s="6" t="n">
        <v>10370.585883</v>
      </c>
      <c r="F5" s="6" t="n">
        <v>535.129468</v>
      </c>
      <c r="G5" s="6" t="n">
        <v>0.0</v>
      </c>
      <c r="H5" s="6" t="n">
        <v>0.0</v>
      </c>
      <c r="I5" s="6" t="n">
        <v>72.390905</v>
      </c>
      <c r="J5" s="6">
        <f>SUM(B5:I5)</f>
        <v>1255688.2865299999</v>
      </c>
      <c r="K5" s="6"/>
      <c r="L5" t="s">
        <v>1</v>
      </c>
      <c r="M5" s="6" t="n">
        <v>1183450.0</v>
      </c>
      <c r="N5" s="6" t="n">
        <v>193899.0</v>
      </c>
      <c r="O5" s="6" t="n">
        <v>49344.0</v>
      </c>
      <c r="P5" s="6" t="n">
        <v>5635.0</v>
      </c>
      <c r="Q5" s="6" t="n">
        <v>483.0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1432663</v>
      </c>
    </row>
    <row r="6" spans="1:21" x14ac:dyDescent="0.25">
      <c r="A6" t="s">
        <v>12</v>
      </c>
      <c r="B6" s="6" t="n">
        <v>0.0</v>
      </c>
      <c r="C6" s="6" t="n">
        <v>209373.522575</v>
      </c>
      <c r="D6" s="6" t="n">
        <v>33329.4485</v>
      </c>
      <c r="E6" s="6" t="n">
        <v>2790.632297</v>
      </c>
      <c r="F6" s="6" t="n">
        <v>980.309606</v>
      </c>
      <c r="G6" s="6" t="n">
        <v>0.0</v>
      </c>
      <c r="H6" s="6" t="n">
        <v>0.0</v>
      </c>
      <c r="I6" s="6" t="n">
        <v>71.170522</v>
      </c>
      <c r="J6" s="6">
        <f ref="J6:J15" si="1" t="shared">SUM(B6:I6)</f>
        <v>246545.08350000001</v>
      </c>
      <c r="K6" s="6"/>
      <c r="L6" t="s">
        <v>12</v>
      </c>
      <c r="M6" s="6" t="n">
        <v>0.0</v>
      </c>
      <c r="N6" s="6" t="n">
        <v>230866.0</v>
      </c>
      <c r="O6" s="6" t="n">
        <v>25564.0</v>
      </c>
      <c r="P6" s="6" t="n">
        <v>465.0</v>
      </c>
      <c r="Q6" s="6" t="n">
        <v>1527.0</v>
      </c>
      <c r="R6" s="6" t="n">
        <v>0.0</v>
      </c>
      <c r="S6" s="6" t="n">
        <v>0.0</v>
      </c>
      <c r="T6" s="6" t="n">
        <v>0.0</v>
      </c>
      <c r="U6" s="6">
        <f si="0" t="shared"/>
        <v>259118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76711.112525</v>
      </c>
      <c r="E7" s="6" t="n">
        <v>446.034354</v>
      </c>
      <c r="F7" s="6" t="n">
        <v>919.2485999999999</v>
      </c>
      <c r="G7" s="6" t="n">
        <v>0.0</v>
      </c>
      <c r="H7" s="6" t="n">
        <v>0.0</v>
      </c>
      <c r="I7" s="6" t="n">
        <v>168.932153</v>
      </c>
      <c r="J7" s="6">
        <f si="1" t="shared"/>
        <v>78245.327632000015</v>
      </c>
      <c r="K7" s="6"/>
      <c r="L7" t="s">
        <v>56</v>
      </c>
      <c r="M7" s="6" t="n">
        <v>0.0</v>
      </c>
      <c r="N7" s="6" t="n">
        <v>0.0</v>
      </c>
      <c r="O7" s="6" t="n">
        <v>94446.0</v>
      </c>
      <c r="P7" s="6" t="n">
        <v>0.0</v>
      </c>
      <c r="Q7" s="6" t="n">
        <v>415.0</v>
      </c>
      <c r="R7" s="6" t="n">
        <v>0.0</v>
      </c>
      <c r="S7" s="6" t="n">
        <v>0.0</v>
      </c>
      <c r="T7" s="6" t="n">
        <v>0.0</v>
      </c>
      <c r="U7" s="6">
        <f si="0" t="shared"/>
        <v>95703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4695.818928</v>
      </c>
      <c r="F8" s="6" t="n">
        <v>14529.208743</v>
      </c>
      <c r="G8" s="6" t="n">
        <v>0.0</v>
      </c>
      <c r="H8" s="6" t="n">
        <v>0.0</v>
      </c>
      <c r="I8" s="6" t="n">
        <v>0.0</v>
      </c>
      <c r="J8" s="6">
        <f si="1" t="shared"/>
        <v>19225.027671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2482.0</v>
      </c>
      <c r="Q8" s="6" t="n">
        <v>6134.0</v>
      </c>
      <c r="R8" s="6" t="n">
        <v>0.0</v>
      </c>
      <c r="S8" s="6" t="n">
        <v>0.0</v>
      </c>
      <c r="T8" s="6" t="n">
        <v>0.0</v>
      </c>
      <c r="U8" s="6">
        <f si="0" t="shared"/>
        <v>8592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2909.443201</v>
      </c>
      <c r="F10" s="6" t="n">
        <v>1516.493555</v>
      </c>
      <c r="G10" s="6" t="n">
        <v>0.0</v>
      </c>
      <c r="H10" s="6" t="n">
        <v>0.0</v>
      </c>
      <c r="I10" s="6" t="n">
        <v>0.0</v>
      </c>
      <c r="J10" s="6">
        <f si="1" t="shared"/>
        <v>4425.9367560000001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1162.0</v>
      </c>
      <c r="Q10" s="6" t="n">
        <v>683.0</v>
      </c>
      <c r="R10" s="6" t="n">
        <v>0.0</v>
      </c>
      <c r="S10" s="6" t="n">
        <v>0.0</v>
      </c>
      <c r="T10" s="6" t="n">
        <v>0.0</v>
      </c>
      <c r="U10" s="6">
        <f si="0" t="shared"/>
        <v>1659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2774.068578</v>
      </c>
      <c r="F11" s="6" t="n">
        <v>110.782686</v>
      </c>
      <c r="G11" s="6" t="n">
        <v>0.0</v>
      </c>
      <c r="H11" s="6" t="n">
        <v>0.0</v>
      </c>
      <c r="I11" s="6" t="n">
        <v>0.0</v>
      </c>
      <c r="J11" s="6">
        <f si="1" t="shared"/>
        <v>2884.8512639999999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676.0</v>
      </c>
      <c r="Q11" s="6" t="n">
        <v>443.0</v>
      </c>
      <c r="R11" s="6" t="n">
        <v>0.0</v>
      </c>
      <c r="S11" s="6" t="n">
        <v>0.0</v>
      </c>
      <c r="T11" s="6" t="n">
        <v>0.0</v>
      </c>
      <c r="U11" s="6">
        <f si="0" t="shared"/>
        <v>964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666.0</v>
      </c>
      <c r="Q12" s="6" t="n">
        <v>940.0</v>
      </c>
      <c r="R12" s="6" t="n">
        <v>0.0</v>
      </c>
      <c r="S12" s="6" t="n">
        <v>0.0</v>
      </c>
      <c r="T12" s="6" t="n">
        <v>0.0</v>
      </c>
      <c r="U12" s="6">
        <f si="0" t="shared"/>
        <v>1742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744.46246</v>
      </c>
      <c r="J13" s="6">
        <f si="1" t="shared"/>
        <v>744.46245999999996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673.395022</v>
      </c>
      <c r="C14" s="6" t="n">
        <v>150.559777</v>
      </c>
      <c r="D14" s="6" t="n">
        <v>228.872429</v>
      </c>
      <c r="E14" s="6" t="n">
        <v>0.0</v>
      </c>
      <c r="F14" s="6" t="n">
        <v>0.0</v>
      </c>
      <c r="G14" s="6" t="n">
        <v>8841.465954</v>
      </c>
      <c r="H14" s="6" t="n">
        <v>0.0</v>
      </c>
      <c r="I14" s="6" t="n">
        <v>0.0</v>
      </c>
      <c r="J14" s="6">
        <f si="1" t="shared"/>
        <v>9894.2931819999994</v>
      </c>
      <c r="K14" s="6"/>
      <c r="L14" t="s">
        <v>4</v>
      </c>
      <c r="M14" s="6" t="n">
        <v>189.0</v>
      </c>
      <c r="N14" s="6" t="n">
        <v>382.0</v>
      </c>
      <c r="O14" s="6" t="n">
        <v>124.0</v>
      </c>
      <c r="P14" s="6" t="n">
        <v>0.0</v>
      </c>
      <c r="Q14" s="6" t="n">
        <v>254.0</v>
      </c>
      <c r="R14" s="6" t="n">
        <v>10743.0</v>
      </c>
      <c r="S14" s="6" t="n">
        <v>0.0</v>
      </c>
      <c r="T14" s="6" t="n">
        <v>0.0</v>
      </c>
      <c r="U14" s="6">
        <f si="0" t="shared"/>
        <v>11430</v>
      </c>
    </row>
    <row r="15" spans="1:21" x14ac:dyDescent="0.25">
      <c r="A15" s="4" t="s">
        <v>5</v>
      </c>
      <c r="B15" s="10" t="n">
        <v>8749.8908</v>
      </c>
      <c r="C15" s="10" t="n">
        <v>3859.377437</v>
      </c>
      <c r="D15" s="10" t="n">
        <v>951.667073</v>
      </c>
      <c r="E15" s="10" t="n">
        <v>329.14896699999997</v>
      </c>
      <c r="F15" s="10" t="n">
        <v>1670.174753</v>
      </c>
      <c r="G15" s="10" t="n">
        <v>100.08715500000001</v>
      </c>
      <c r="H15" s="10" t="n">
        <v>12819.824724</v>
      </c>
      <c r="I15" s="10" t="n">
        <v>0.0</v>
      </c>
      <c r="J15" s="6">
        <f si="1" t="shared"/>
        <v>28480.170909</v>
      </c>
      <c r="K15" s="6"/>
      <c r="L15" s="4" t="s">
        <v>5</v>
      </c>
      <c r="M15" s="8" t="n">
        <v>960.0</v>
      </c>
      <c r="N15" s="8" t="n">
        <v>652.0</v>
      </c>
      <c r="O15" s="8" t="n">
        <v>272.0</v>
      </c>
      <c r="P15" s="8" t="n">
        <v>0.0</v>
      </c>
      <c r="Q15" s="8" t="n">
        <v>101.0</v>
      </c>
      <c r="R15" s="8" t="n">
        <v>25.0</v>
      </c>
      <c r="S15" s="8" t="n">
        <v>15890.0</v>
      </c>
      <c r="T15" s="8" t="n">
        <v>0.0</v>
      </c>
      <c r="U15" s="6">
        <f si="0" t="shared"/>
        <v>17645</v>
      </c>
    </row>
    <row ht="15.75" r="16" spans="1:21" thickBot="1" x14ac:dyDescent="0.3">
      <c r="A16" s="12" t="s">
        <v>7</v>
      </c>
      <c r="B16" s="16">
        <f ref="B16:J16" si="2" t="shared">SUM(B5:B15)</f>
        <v>1025346.986854</v>
      </c>
      <c r="C16" s="16">
        <f si="2" t="shared"/>
        <v>378349.84868</v>
      </c>
      <c r="D16" s="16">
        <f si="2" t="shared"/>
        <v>175041.19087799999</v>
      </c>
      <c r="E16" s="16">
        <f si="2" t="shared"/>
        <v>24315.732208000001</v>
      </c>
      <c r="F16" s="16">
        <f si="2" t="shared"/>
        <v>20261.347410999999</v>
      </c>
      <c r="G16" s="16">
        <f si="2" t="shared"/>
        <v>8941.5531089999986</v>
      </c>
      <c r="H16" s="16">
        <f si="2" t="shared"/>
        <v>12819.824724</v>
      </c>
      <c r="I16" s="16">
        <f si="2" t="shared"/>
        <v>1056.95604</v>
      </c>
      <c r="J16" s="16">
        <f si="2" t="shared"/>
        <v>1646133.4399039999</v>
      </c>
      <c r="L16" s="9" t="s">
        <v>7</v>
      </c>
      <c r="M16" s="16">
        <f ref="M16:U16" si="3" t="shared">SUM(M5:M15)</f>
        <v>1184123</v>
      </c>
      <c r="N16" s="16">
        <f si="3" t="shared"/>
        <v>427648</v>
      </c>
      <c r="O16" s="16">
        <f si="3" t="shared"/>
        <v>170559</v>
      </c>
      <c r="P16" s="16">
        <f si="3" t="shared"/>
        <v>9767</v>
      </c>
      <c r="Q16" s="16">
        <f si="3" t="shared"/>
        <v>11297</v>
      </c>
      <c r="R16" s="16">
        <f si="3" t="shared"/>
        <v>10498</v>
      </c>
      <c r="S16" s="16">
        <f si="3" t="shared"/>
        <v>15624</v>
      </c>
      <c r="T16" s="16">
        <f si="3" t="shared"/>
        <v>0</v>
      </c>
      <c r="U16" s="16">
        <f si="3" t="shared"/>
        <v>1829516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6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6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0.99080966156548345</v>
      </c>
      <c r="C22" s="13">
        <f si="4" t="shared"/>
        <v>0.43601547474259722</v>
      </c>
      <c r="D22" s="13">
        <f si="4" t="shared"/>
        <v>0.36460041222800665</v>
      </c>
      <c r="E22" s="13">
        <f si="4" t="shared"/>
        <v>0.42649696066269488</v>
      </c>
      <c r="F22" s="13">
        <f si="4" t="shared"/>
        <v>2.6411346547933687E-2</v>
      </c>
      <c r="G22" s="13">
        <f si="4" t="shared"/>
        <v>0</v>
      </c>
      <c r="H22" s="13">
        <f si="4" t="shared"/>
        <v>0</v>
      </c>
      <c r="I22" s="13">
        <f si="4" t="shared"/>
        <v>6.8489986584494095E-2</v>
      </c>
      <c r="J22" s="13">
        <f si="4" t="shared"/>
        <v>0.7628107516017838</v>
      </c>
      <c r="K22" s="6"/>
      <c r="L22" t="s">
        <v>1</v>
      </c>
      <c r="M22" s="13">
        <f ref="M22:P22" si="5" t="shared">M5/M$16</f>
        <v>0.99902881710768221</v>
      </c>
      <c r="N22" s="13">
        <f si="5" t="shared"/>
        <v>0.45571123914995509</v>
      </c>
      <c r="O22" s="13">
        <f si="5" t="shared"/>
        <v>0.28902022174145015</v>
      </c>
      <c r="P22" s="13">
        <f si="5" t="shared"/>
        <v>0.51172314938056718</v>
      </c>
      <c r="Q22" s="13">
        <f ref="Q22:U33" si="6" t="shared">Q5/Q$16</f>
        <v>4.5410285916615029E-2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0.78308306677831729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0.55338603492368132</v>
      </c>
      <c r="D23" s="13">
        <f si="7" t="shared"/>
        <v>0.19040917359405946</v>
      </c>
      <c r="E23" s="13">
        <f si="7" t="shared"/>
        <v>0.11476653358116305</v>
      </c>
      <c r="F23" s="13">
        <f si="7" t="shared"/>
        <v>4.8383238592897553E-2</v>
      </c>
      <c r="G23" s="13">
        <f si="7" t="shared"/>
        <v>0</v>
      </c>
      <c r="H23" s="13">
        <f si="7" t="shared"/>
        <v>0</v>
      </c>
      <c r="I23" s="13">
        <f si="7" t="shared"/>
        <v>6.7335366189874846E-2</v>
      </c>
      <c r="J23" s="13">
        <f si="7" t="shared"/>
        <v>0.1497722344516482</v>
      </c>
      <c r="K23" s="6"/>
      <c r="L23" t="s">
        <v>12</v>
      </c>
      <c r="M23" s="13">
        <f ref="M23:P23" si="8" t="shared">M6/M$16</f>
        <v>0</v>
      </c>
      <c r="N23" s="13">
        <f si="8" t="shared"/>
        <v>0.54182645540257413</v>
      </c>
      <c r="O23" s="13">
        <f si="8" t="shared"/>
        <v>0.15011227786279235</v>
      </c>
      <c r="P23" s="13">
        <f si="8" t="shared"/>
        <v>3.7780280536500462E-2</v>
      </c>
      <c r="Q23" s="13">
        <f si="6" t="shared"/>
        <v>0.12702487386031691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0.14163199447285513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0.43824606162823715</v>
      </c>
      <c r="E24" s="13">
        <f si="9" t="shared"/>
        <v>1.8343447369158491E-2</v>
      </c>
      <c r="F24" s="13">
        <f si="9" t="shared"/>
        <v>4.5369569029793874E-2</v>
      </c>
      <c r="G24" s="13">
        <f si="9" t="shared"/>
        <v>0</v>
      </c>
      <c r="H24" s="13">
        <f si="9" t="shared"/>
        <v>0</v>
      </c>
      <c r="I24" s="13">
        <f si="9" t="shared"/>
        <v>0.15982893006600349</v>
      </c>
      <c r="J24" s="13">
        <f si="9" t="shared"/>
        <v>4.7532797606349077E-2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0.55842846170533367</v>
      </c>
      <c r="P24" s="13">
        <f si="10" t="shared"/>
        <v>0</v>
      </c>
      <c r="Q24" s="13">
        <f si="6" t="shared"/>
        <v>4.0453217668407544E-2</v>
      </c>
      <c r="R24" s="13">
        <f si="6" t="shared"/>
        <v>0</v>
      </c>
      <c r="S24" s="13">
        <f si="6" t="shared"/>
        <v>6.4004096262160778E-5</v>
      </c>
      <c r="T24" s="13" t="e">
        <f si="6" t="shared"/>
        <v>#DIV/0!</v>
      </c>
      <c r="U24" s="13">
        <f si="6" t="shared"/>
        <v>5.2310556453182153E-2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0.19311854925162611</v>
      </c>
      <c r="F25" s="13">
        <f si="11" t="shared"/>
        <v>0.71708995696465927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1.1678899902623432E-2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0.21746698064912459</v>
      </c>
      <c r="Q25" s="13">
        <f si="6" t="shared"/>
        <v>0.57254138266796495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4.6963240551052849E-3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0.11965270780711997</v>
      </c>
      <c r="F27" s="13">
        <f si="15" t="shared"/>
        <v>7.4846629112962512E-2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2.6886864993509361E-3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0.1073000921470257</v>
      </c>
      <c r="Q27" s="13">
        <f si="6" t="shared"/>
        <v>5.4085155350978138E-2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9.0679720756746591E-4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0.11408534006996988</v>
      </c>
      <c r="F28" s="13">
        <f si="17" t="shared"/>
        <v>5.4676860207162458E-3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1.752501464382037E-3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5.3035732568854306E-2</v>
      </c>
      <c r="Q28" s="13">
        <f si="6" t="shared"/>
        <v>3.9479507833938214E-2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5.269153153074365E-4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7.2693764717927711E-2</v>
      </c>
      <c r="Q29" s="13">
        <f si="6" t="shared"/>
        <v>9.1351686288395142E-2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9.5216439757837596E-4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0.70434571715962746</v>
      </c>
      <c r="J30" s="13">
        <f si="21" t="shared"/>
        <v>4.5224915669255579E-4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6.5674842822343541E-4</v>
      </c>
      <c r="C31" s="13">
        <f si="23" t="shared"/>
        <v>3.9793798656264338E-4</v>
      </c>
      <c r="D31" s="13">
        <f si="23" t="shared"/>
        <v>1.30753468856093E-3</v>
      </c>
      <c r="E31" s="13">
        <f si="23" t="shared"/>
        <v>0</v>
      </c>
      <c r="F31" s="13">
        <f si="23" t="shared"/>
        <v>0</v>
      </c>
      <c r="G31" s="13">
        <f si="23" t="shared"/>
        <v>0.9888065133897983</v>
      </c>
      <c r="H31" s="13">
        <f si="23" t="shared"/>
        <v>0</v>
      </c>
      <c r="I31" s="13">
        <f si="23" t="shared"/>
        <v>0</v>
      </c>
      <c r="J31" s="13">
        <f si="23" t="shared"/>
        <v>6.0106264426394379E-3</v>
      </c>
      <c r="K31" s="6"/>
      <c r="L31" t="s">
        <v>4</v>
      </c>
      <c r="M31" s="13">
        <f ref="M31:P31" si="24" t="shared">M14/M$16</f>
        <v>1.59611797085269E-4</v>
      </c>
      <c r="N31" s="13">
        <f si="24" t="shared"/>
        <v>9.5171730020951809E-4</v>
      </c>
      <c r="O31" s="13">
        <f si="24" t="shared"/>
        <v>7.4461036943227854E-4</v>
      </c>
      <c r="P31" s="13">
        <f si="24" t="shared"/>
        <v>0</v>
      </c>
      <c r="Q31" s="13">
        <f si="6" t="shared"/>
        <v>2.0713463751438434E-2</v>
      </c>
      <c r="R31" s="13">
        <f si="6" t="shared"/>
        <v>0.9976185940179082</v>
      </c>
      <c r="S31" s="13">
        <f si="6" t="shared"/>
        <v>0</v>
      </c>
      <c r="T31" s="13" t="e">
        <f si="6" t="shared"/>
        <v>#DIV/0!</v>
      </c>
      <c r="U31" s="13">
        <f si="6" t="shared"/>
        <v>6.2475539978879661E-3</v>
      </c>
    </row>
    <row r="32" spans="1:21" x14ac:dyDescent="0.25">
      <c r="A32" s="4" t="s">
        <v>5</v>
      </c>
      <c r="B32" s="14">
        <f ref="B32:J32" si="25" t="shared">B15/B$16</f>
        <v>8.5335900062930622E-3</v>
      </c>
      <c r="C32" s="14">
        <f si="25" t="shared"/>
        <v>1.020055234715893E-2</v>
      </c>
      <c r="D32" s="14">
        <f si="25" t="shared"/>
        <v>5.4368178611358502E-3</v>
      </c>
      <c r="E32" s="14">
        <f si="25" t="shared"/>
        <v>1.3536461258267529E-2</v>
      </c>
      <c r="F32" s="14">
        <f si="25" t="shared"/>
        <v>8.2431573731036906E-2</v>
      </c>
      <c r="G32" s="14">
        <f si="25" t="shared"/>
        <v>1.1193486610201827E-2</v>
      </c>
      <c r="H32" s="14">
        <f si="25" t="shared"/>
        <v>1</v>
      </c>
      <c r="I32" s="14">
        <f si="25" t="shared"/>
        <v>0</v>
      </c>
      <c r="J32" s="14">
        <f si="25" t="shared"/>
        <v>1.7301252874530586E-2</v>
      </c>
      <c r="K32" s="6"/>
      <c r="L32" s="4" t="s">
        <v>5</v>
      </c>
      <c r="M32" s="14">
        <f ref="M32:P32" si="26" t="shared">M15/M$16</f>
        <v>8.1157109523250545E-4</v>
      </c>
      <c r="N32" s="14">
        <f si="26" t="shared"/>
        <v>1.5105881472612991E-3</v>
      </c>
      <c r="O32" s="14">
        <f si="26" t="shared"/>
        <v>1.694428320991563E-3</v>
      </c>
      <c r="P32" s="14">
        <f si="26" t="shared"/>
        <v>0</v>
      </c>
      <c r="Q32" s="14">
        <f si="6" t="shared"/>
        <v>8.9404266619456489E-3</v>
      </c>
      <c r="R32" s="14">
        <f si="6" t="shared"/>
        <v>2.3814059820918272E-3</v>
      </c>
      <c r="S32" s="14">
        <f si="6" t="shared"/>
        <v>0.99993599590373783</v>
      </c>
      <c r="T32" s="14" t="e">
        <f si="6" t="shared"/>
        <v>#DIV/0!</v>
      </c>
      <c r="U32" s="14">
        <f si="6" t="shared"/>
        <v>9.6446273221988763E-3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6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8.2191555421987639E-3</v>
      </c>
      <c r="N39" s="13">
        <f si="29" t="shared"/>
        <v>1.9695764407357874E-2</v>
      </c>
      <c r="O39" s="13">
        <f si="29" t="shared"/>
        <v>-7.5580190486556509E-2</v>
      </c>
      <c r="P39" s="13">
        <f si="29" t="shared"/>
        <v>8.5226188717872298E-2</v>
      </c>
      <c r="Q39" s="13">
        <f ref="Q39:Q50" si="30" t="shared">Q22-F22</f>
        <v>1.8998939368681342E-2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2.0272315176533495E-2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-1.1559579521107199E-2</v>
      </c>
      <c r="O40" s="13">
        <f si="29" t="shared"/>
        <v>-4.0296895731267102E-2</v>
      </c>
      <c r="P40" s="13">
        <f si="29" t="shared"/>
        <v>-7.6986253044662584E-2</v>
      </c>
      <c r="Q40" s="13">
        <f si="30" t="shared"/>
        <v>7.8641635267419352E-2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-8.1402399787930679E-3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0.12018240007709652</v>
      </c>
      <c r="P41" s="13">
        <f si="29" t="shared"/>
        <v>-1.8343447369158491E-2</v>
      </c>
      <c r="Q41" s="13">
        <f si="30" t="shared"/>
        <v>-4.9163513613863299E-3</v>
      </c>
      <c r="R41" s="13">
        <f si="31" t="shared"/>
        <v>0</v>
      </c>
      <c r="S41" s="13">
        <f si="32" t="shared"/>
        <v>6.4004096262160778E-5</v>
      </c>
      <c r="T41" s="13" t="e">
        <f si="33" t="shared"/>
        <v>#DIV/0!</v>
      </c>
      <c r="U41" s="13">
        <f si="34" t="shared"/>
        <v>4.7777588468330759E-3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2.4348431397498482E-2</v>
      </c>
      <c r="Q42" s="13">
        <f si="30" t="shared"/>
        <v>-0.14454857429669432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-6.9825758475181472E-3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-1.2352615660094268E-2</v>
      </c>
      <c r="Q44" s="13">
        <f si="30" t="shared"/>
        <v>-2.0761473761984374E-2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-1.7818892917834703E-3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-6.1049607501115578E-2</v>
      </c>
      <c r="Q45" s="13">
        <f si="30" t="shared"/>
        <v>3.4011821813221967E-2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-1.2255861490746006E-3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7.2693764717927711E-2</v>
      </c>
      <c r="Q46" s="13">
        <f si="30" t="shared"/>
        <v>9.1351686288395142E-2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9.5216439757837596E-4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-4.5224915669255579E-4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-4.9713663113816638E-4</v>
      </c>
      <c r="N48" s="13">
        <f si="39" t="shared"/>
        <v>5.5377931364687465E-4</v>
      </c>
      <c r="O48" s="13">
        <f si="39" t="shared"/>
        <v>-5.6292431912865148E-4</v>
      </c>
      <c r="P48" s="13">
        <f si="39" t="shared"/>
        <v>0</v>
      </c>
      <c r="Q48" s="13">
        <f si="30" t="shared"/>
        <v>2.0713463751438434E-2</v>
      </c>
      <c r="R48" s="13">
        <f si="31" t="shared"/>
        <v>8.8120806281098973E-3</v>
      </c>
      <c r="S48" s="13">
        <f si="32" t="shared"/>
        <v>0</v>
      </c>
      <c r="T48" s="13" t="e">
        <f si="33" t="shared"/>
        <v>#DIV/0!</v>
      </c>
      <c r="U48" s="13">
        <f si="34" t="shared"/>
        <v>2.369275552485282E-4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-7.7220189110605566E-3</v>
      </c>
      <c r="N49" s="17">
        <f si="39" t="shared"/>
        <v>-8.6899641998976311E-3</v>
      </c>
      <c r="O49" s="17">
        <f si="39" t="shared"/>
        <v>-3.7423895401442874E-3</v>
      </c>
      <c r="P49" s="17">
        <f si="39" t="shared"/>
        <v>-1.3536461258267529E-2</v>
      </c>
      <c r="Q49" s="17">
        <f si="30" t="shared"/>
        <v>-7.3491147069091253E-2</v>
      </c>
      <c r="R49" s="17">
        <f si="31" t="shared"/>
        <v>-8.8120806281099997E-3</v>
      </c>
      <c r="S49" s="17">
        <f si="32" t="shared"/>
        <v>-6.4004096262171295E-5</v>
      </c>
      <c r="T49" s="17" t="e">
        <f si="33" t="shared"/>
        <v>#DIV/0!</v>
      </c>
      <c r="U49" s="13">
        <f si="34" t="shared"/>
        <v>-7.6566255523317101E-3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G50"/>
  <sheetViews>
    <sheetView topLeftCell="A16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42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42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49218.840111</v>
      </c>
      <c r="C5" s="6" t="n">
        <v>7223.512833</v>
      </c>
      <c r="D5" s="6" t="n">
        <v>3654.490208</v>
      </c>
      <c r="E5" s="6" t="n">
        <v>1717.275268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61814.118419999999</v>
      </c>
      <c r="K5" s="6"/>
      <c r="L5" t="s">
        <v>1</v>
      </c>
      <c r="M5" s="6" t="n">
        <v>44716.0</v>
      </c>
      <c r="N5" s="6" t="n">
        <v>2905.0</v>
      </c>
      <c r="O5" s="6" t="n">
        <v>2941.0</v>
      </c>
      <c r="P5" s="6" t="n">
        <v>0.0</v>
      </c>
      <c r="Q5" s="6" t="n">
        <v>4.0</v>
      </c>
      <c r="R5" s="6" t="n">
        <v>0.0</v>
      </c>
      <c r="S5" s="6" t="n">
        <v>0.0</v>
      </c>
      <c r="T5" s="6" t="n">
        <v>617.0</v>
      </c>
      <c r="U5" s="6">
        <f ref="U5:U15" si="0" t="shared">SUM(M5:T5)</f>
        <v>51540</v>
      </c>
    </row>
    <row r="6" spans="1:21" x14ac:dyDescent="0.25">
      <c r="A6" t="s">
        <v>12</v>
      </c>
      <c r="B6" s="6" t="n">
        <v>0.0</v>
      </c>
      <c r="C6" s="6" t="n">
        <v>75041.114795</v>
      </c>
      <c r="D6" s="6" t="n">
        <v>44987.737143</v>
      </c>
      <c r="E6" s="6" t="n">
        <v>42.7073</v>
      </c>
      <c r="F6" s="6" t="n">
        <v>793.948274</v>
      </c>
      <c r="G6" s="6" t="n">
        <v>0.0</v>
      </c>
      <c r="H6" s="6" t="n">
        <v>0.0</v>
      </c>
      <c r="I6" s="6" t="n">
        <v>20381.096408</v>
      </c>
      <c r="J6" s="6">
        <f ref="J6:J15" si="1" t="shared">SUM(B6:I6)</f>
        <v>141246.60391999999</v>
      </c>
      <c r="K6" s="6"/>
      <c r="L6" t="s">
        <v>12</v>
      </c>
      <c r="M6" s="6" t="n">
        <v>0.0</v>
      </c>
      <c r="N6" s="6" t="n">
        <v>77713.0</v>
      </c>
      <c r="O6" s="6" t="n">
        <v>34267.0</v>
      </c>
      <c r="P6" s="6" t="n">
        <v>0.0</v>
      </c>
      <c r="Q6" s="6" t="n">
        <v>135.0</v>
      </c>
      <c r="R6" s="6" t="n">
        <v>0.0</v>
      </c>
      <c r="S6" s="6" t="n">
        <v>0.0</v>
      </c>
      <c r="T6" s="6" t="n">
        <v>22159.0</v>
      </c>
      <c r="U6" s="6">
        <f si="0" t="shared"/>
        <v>134286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159345.301802</v>
      </c>
      <c r="E7" s="6" t="n">
        <v>792.826423</v>
      </c>
      <c r="F7" s="6" t="n">
        <v>1338.547213</v>
      </c>
      <c r="G7" s="6" t="n">
        <v>0.0</v>
      </c>
      <c r="H7" s="6" t="n">
        <v>0.0</v>
      </c>
      <c r="I7" s="6" t="n">
        <v>19439.847801</v>
      </c>
      <c r="J7" s="6">
        <f si="1" t="shared"/>
        <v>180916.523239</v>
      </c>
      <c r="K7" s="6"/>
      <c r="L7" t="s">
        <v>56</v>
      </c>
      <c r="M7" s="6" t="n">
        <v>0.0</v>
      </c>
      <c r="N7" s="6" t="n">
        <v>0.0</v>
      </c>
      <c r="O7" s="6" t="n">
        <v>153334.0</v>
      </c>
      <c r="P7" s="6" t="n">
        <v>0.0</v>
      </c>
      <c r="Q7" s="6" t="n">
        <v>34.0</v>
      </c>
      <c r="R7" s="6" t="n">
        <v>0.0</v>
      </c>
      <c r="S7" s="6" t="n">
        <v>0.0</v>
      </c>
      <c r="T7" s="6" t="n">
        <v>24186.0</v>
      </c>
      <c r="U7" s="6">
        <f si="0" t="shared"/>
        <v>177512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1855.895784</v>
      </c>
      <c r="F8" s="6" t="n">
        <v>6603.558058</v>
      </c>
      <c r="G8" s="6" t="n">
        <v>0.0</v>
      </c>
      <c r="H8" s="6" t="n">
        <v>0.0</v>
      </c>
      <c r="I8" s="6" t="n">
        <v>47.067196</v>
      </c>
      <c r="J8" s="6">
        <f si="1" t="shared"/>
        <v>8506.521037999999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1361.0</v>
      </c>
      <c r="R8" s="6" t="n">
        <v>0.0</v>
      </c>
      <c r="S8" s="6" t="n">
        <v>0.0</v>
      </c>
      <c r="T8" s="6" t="n">
        <v>55.0</v>
      </c>
      <c r="U8" s="6">
        <f si="0" t="shared"/>
        <v>1549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49.705394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49.705393999999998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101.0</v>
      </c>
      <c r="R10" s="6" t="n">
        <v>0.0</v>
      </c>
      <c r="S10" s="6" t="n">
        <v>0.0</v>
      </c>
      <c r="T10" s="6" t="n">
        <v>29.0</v>
      </c>
      <c r="U10" s="6">
        <f si="0" t="shared"/>
        <v>96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89.0</v>
      </c>
      <c r="R11" s="6" t="n">
        <v>0.0</v>
      </c>
      <c r="S11" s="6" t="n">
        <v>0.0</v>
      </c>
      <c r="T11" s="6" t="n">
        <v>16.0</v>
      </c>
      <c r="U11" s="6">
        <f si="0" t="shared"/>
        <v>115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252.0</v>
      </c>
      <c r="R12" s="6" t="n">
        <v>0.0</v>
      </c>
      <c r="S12" s="6" t="n">
        <v>0.0</v>
      </c>
      <c r="T12" s="6" t="n">
        <v>10.0</v>
      </c>
      <c r="U12" s="6">
        <f si="0" t="shared"/>
        <v>305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139878.067097</v>
      </c>
      <c r="J13" s="6">
        <f si="1" t="shared"/>
        <v>139878.06709699999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141304.0</v>
      </c>
      <c r="U13" s="6">
        <f si="0" t="shared"/>
        <v>141662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251.23551799999998</v>
      </c>
      <c r="E14" s="6" t="n">
        <v>0.0</v>
      </c>
      <c r="F14" s="6" t="n">
        <v>0.0</v>
      </c>
      <c r="G14" s="6" t="n">
        <v>1102.653758</v>
      </c>
      <c r="H14" s="6" t="n">
        <v>0.0</v>
      </c>
      <c r="I14" s="6" t="n">
        <v>141.28004</v>
      </c>
      <c r="J14" s="6">
        <f si="1" t="shared"/>
        <v>1495.169316</v>
      </c>
      <c r="K14" s="6"/>
      <c r="L14" t="s">
        <v>4</v>
      </c>
      <c r="M14" s="6" t="n">
        <v>64.0</v>
      </c>
      <c r="N14" s="6" t="n">
        <v>610.0</v>
      </c>
      <c r="O14" s="6" t="n">
        <v>713.0</v>
      </c>
      <c r="P14" s="6" t="n">
        <v>0.0</v>
      </c>
      <c r="Q14" s="6" t="n">
        <v>50.0</v>
      </c>
      <c r="R14" s="6" t="n">
        <v>948.0</v>
      </c>
      <c r="S14" s="6" t="n">
        <v>0.0</v>
      </c>
      <c r="T14" s="6" t="n">
        <v>652.0</v>
      </c>
      <c r="U14" s="6">
        <f si="0" t="shared"/>
        <v>3092</v>
      </c>
    </row>
    <row r="15" spans="1:21" x14ac:dyDescent="0.25">
      <c r="A15" s="4" t="s">
        <v>5</v>
      </c>
      <c r="B15" s="10" t="n">
        <v>1453.889617</v>
      </c>
      <c r="C15" s="10" t="n">
        <v>1977.267339</v>
      </c>
      <c r="D15" s="10" t="n">
        <v>4809.738008</v>
      </c>
      <c r="E15" s="10" t="n">
        <v>0.0</v>
      </c>
      <c r="F15" s="10" t="n">
        <v>100.455135</v>
      </c>
      <c r="G15" s="10" t="n">
        <v>0.0</v>
      </c>
      <c r="H15" s="10" t="n">
        <v>11101.637695</v>
      </c>
      <c r="I15" s="10" t="n">
        <v>2191.765777</v>
      </c>
      <c r="J15" s="6">
        <f si="1" t="shared"/>
        <v>21634.753571000001</v>
      </c>
      <c r="K15" s="6"/>
      <c r="L15" s="4" t="s">
        <v>5</v>
      </c>
      <c r="M15" s="8" t="n">
        <v>65.0</v>
      </c>
      <c r="N15" s="8" t="n">
        <v>554.0</v>
      </c>
      <c r="O15" s="8" t="n">
        <v>790.0</v>
      </c>
      <c r="P15" s="8" t="n">
        <v>0.0</v>
      </c>
      <c r="Q15" s="8" t="n">
        <v>22.0</v>
      </c>
      <c r="R15" s="8" t="n">
        <v>14.0</v>
      </c>
      <c r="S15" s="8" t="n">
        <v>12929.0</v>
      </c>
      <c r="T15" s="8" t="n">
        <v>578.0</v>
      </c>
      <c r="U15" s="6">
        <f si="0" t="shared"/>
        <v>14873</v>
      </c>
    </row>
    <row ht="15.75" r="16" spans="1:21" thickBot="1" x14ac:dyDescent="0.3">
      <c r="A16" s="12" t="s">
        <v>7</v>
      </c>
      <c r="B16" s="16">
        <f ref="B16:J16" si="2" t="shared">SUM(B5:B15)</f>
        <v>50672.729727999998</v>
      </c>
      <c r="C16" s="16">
        <f si="2" t="shared"/>
        <v>84241.894967</v>
      </c>
      <c r="D16" s="16">
        <f si="2" t="shared"/>
        <v>213048.50267900003</v>
      </c>
      <c r="E16" s="16">
        <f si="2" t="shared"/>
        <v>4458.4101689999998</v>
      </c>
      <c r="F16" s="16">
        <f si="2" t="shared"/>
        <v>8836.508679999999</v>
      </c>
      <c r="G16" s="16">
        <f si="2" t="shared"/>
        <v>1102.6537579999999</v>
      </c>
      <c r="H16" s="16">
        <f si="2" t="shared"/>
        <v>11101.637694999999</v>
      </c>
      <c r="I16" s="16">
        <f si="2" t="shared"/>
        <v>182079.124319</v>
      </c>
      <c r="J16" s="16">
        <f si="2" t="shared"/>
        <v>555541.4619949999</v>
      </c>
      <c r="L16" s="9" t="s">
        <v>7</v>
      </c>
      <c r="M16" s="16">
        <f ref="M16:U16" si="3" t="shared">SUM(M5:M15)</f>
        <v>45214</v>
      </c>
      <c r="N16" s="16">
        <f si="3" t="shared"/>
        <v>81852</v>
      </c>
      <c r="O16" s="16">
        <f si="3" t="shared"/>
        <v>191830</v>
      </c>
      <c r="P16" s="16">
        <f si="3" t="shared"/>
        <v>0</v>
      </c>
      <c r="Q16" s="16">
        <f si="3" t="shared"/>
        <v>2243</v>
      </c>
      <c r="R16" s="16">
        <f si="3" t="shared"/>
        <v>1003</v>
      </c>
      <c r="S16" s="16">
        <f si="3" t="shared"/>
        <v>12812</v>
      </c>
      <c r="T16" s="16">
        <f si="3" t="shared"/>
        <v>190076</v>
      </c>
      <c r="U16" s="16">
        <f si="3" t="shared"/>
        <v>525030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42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42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0.97130824360944912</v>
      </c>
      <c r="C22" s="13">
        <f si="4" t="shared"/>
        <v>8.5747273798027213E-2</v>
      </c>
      <c r="D22" s="13">
        <f si="4" t="shared"/>
        <v>1.7153325003678704E-2</v>
      </c>
      <c r="E22" s="13">
        <f si="4" t="shared"/>
        <v>0.38517659948393146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0.11126823585411587</v>
      </c>
      <c r="K22" s="6"/>
      <c r="L22" t="s">
        <v>1</v>
      </c>
      <c r="M22" s="13">
        <f ref="M22:P22" si="5" t="shared">M5/M$16</f>
        <v>0.997301720705976</v>
      </c>
      <c r="N22" s="13">
        <f si="5" t="shared"/>
        <v>3.5405365782143379E-2</v>
      </c>
      <c r="O22" s="13">
        <f si="5" t="shared"/>
        <v>1.5253088672261899E-2</v>
      </c>
      <c r="P22" s="13" t="e">
        <f si="5" t="shared"/>
        <v>#DIV/0!</v>
      </c>
      <c r="Q22" s="13">
        <f ref="Q22:U33" si="6" t="shared">Q5/Q$16</f>
        <v>4.4583147570218459E-3</v>
      </c>
      <c r="R22" s="13">
        <f si="6" t="shared"/>
        <v>0</v>
      </c>
      <c r="S22" s="13">
        <f si="6" t="shared"/>
        <v>0</v>
      </c>
      <c r="T22" s="13">
        <f si="6" t="shared"/>
        <v>3.2302868326353671E-3</v>
      </c>
      <c r="U22" s="13">
        <f si="6" t="shared"/>
        <v>9.8165819096051654E-2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0.89078141967717828</v>
      </c>
      <c r="D23" s="13">
        <f si="7" t="shared"/>
        <v>0.21116194940258734</v>
      </c>
      <c r="E23" s="13">
        <f si="7" t="shared"/>
        <v>9.5790423898075398E-3</v>
      </c>
      <c r="F23" s="13">
        <f si="7" t="shared"/>
        <v>8.9848638500969594E-2</v>
      </c>
      <c r="G23" s="13">
        <f si="7" t="shared"/>
        <v>0</v>
      </c>
      <c r="H23" s="13">
        <f si="7" t="shared"/>
        <v>0</v>
      </c>
      <c r="I23" s="13">
        <f si="7" t="shared"/>
        <v>0.11193538240162346</v>
      </c>
      <c r="J23" s="13">
        <f si="7" t="shared"/>
        <v>0.25425033698253702</v>
      </c>
      <c r="K23" s="6"/>
      <c r="L23" t="s">
        <v>12</v>
      </c>
      <c r="M23" s="13">
        <f ref="M23:P23" si="8" t="shared">M6/M$16</f>
        <v>0</v>
      </c>
      <c r="N23" s="13">
        <f si="8" t="shared"/>
        <v>0.95059375458143969</v>
      </c>
      <c r="O23" s="13">
        <f si="8" t="shared"/>
        <v>0.1772871813584945</v>
      </c>
      <c r="P23" s="13" t="e">
        <f si="8" t="shared"/>
        <v>#DIV/0!</v>
      </c>
      <c r="Q23" s="13">
        <f si="6" t="shared"/>
        <v>6.2416406598305843E-2</v>
      </c>
      <c r="R23" s="13">
        <f si="6" t="shared"/>
        <v>0</v>
      </c>
      <c r="S23" s="13">
        <f si="6" t="shared"/>
        <v>0</v>
      </c>
      <c r="T23" s="13">
        <f si="6" t="shared"/>
        <v>0.1174740630063764</v>
      </c>
      <c r="U23" s="13">
        <f si="6" t="shared"/>
        <v>0.25576824181475344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0.74792969581243862</v>
      </c>
      <c r="E24" s="13">
        <f si="9" t="shared"/>
        <v>0.17782716101641838</v>
      </c>
      <c r="F24" s="13">
        <f si="9" t="shared"/>
        <v>0.15147919404295773</v>
      </c>
      <c r="G24" s="13">
        <f si="9" t="shared"/>
        <v>0</v>
      </c>
      <c r="H24" s="13">
        <f si="9" t="shared"/>
        <v>0</v>
      </c>
      <c r="I24" s="13">
        <f si="9" t="shared"/>
        <v>0.10676593417124342</v>
      </c>
      <c r="J24" s="13">
        <f si="9" t="shared"/>
        <v>0.32565800325562078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0.79933795548141584</v>
      </c>
      <c r="P24" s="13" t="e">
        <f si="10" t="shared"/>
        <v>#DIV/0!</v>
      </c>
      <c r="Q24" s="13">
        <f si="6" t="shared"/>
        <v>2.229157378510923E-2</v>
      </c>
      <c r="R24" s="13">
        <f si="6" t="shared"/>
        <v>0</v>
      </c>
      <c r="S24" s="13">
        <f si="6" t="shared"/>
        <v>0</v>
      </c>
      <c r="T24" s="13">
        <f si="6" t="shared"/>
        <v>0.12692291504450851</v>
      </c>
      <c r="U24" s="13">
        <f si="6" t="shared"/>
        <v>0.33809877530807764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0.41626851582753066</v>
      </c>
      <c r="F25" s="13">
        <f si="11" t="shared"/>
        <v>0.74730397458286668</v>
      </c>
      <c r="G25" s="13">
        <f si="11" t="shared"/>
        <v>0</v>
      </c>
      <c r="H25" s="13">
        <f si="11" t="shared"/>
        <v>0</v>
      </c>
      <c r="I25" s="13">
        <f si="11" t="shared"/>
        <v>2.5849858503020344E-4</v>
      </c>
      <c r="J25" s="13">
        <f si="11" t="shared"/>
        <v>1.531212631268296E-2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0.66161390994204194</v>
      </c>
      <c r="R25" s="13">
        <f si="6" t="shared"/>
        <v>0</v>
      </c>
      <c r="S25" s="13">
        <f si="6" t="shared"/>
        <v>0</v>
      </c>
      <c r="T25" s="13">
        <f si="6" t="shared"/>
        <v>3.4196847576758771E-4</v>
      </c>
      <c r="U25" s="13">
        <f si="6" t="shared"/>
        <v>2.9503076014703923E-3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1.1148681282312049E-2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8.9471978961756356E-5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3.3883192153366028E-2</v>
      </c>
      <c r="R27" s="13">
        <f si="6" t="shared"/>
        <v>0</v>
      </c>
      <c r="S27" s="13">
        <f si="6" t="shared"/>
        <v>0</v>
      </c>
      <c r="T27" s="13">
        <f si="6" t="shared"/>
        <v>1.0522106946695006E-4</v>
      </c>
      <c r="U27" s="13">
        <f si="6" t="shared"/>
        <v>1.8284669447460146E-4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4.5474810521622826E-2</v>
      </c>
      <c r="R28" s="13">
        <f si="6" t="shared"/>
        <v>0</v>
      </c>
      <c r="S28" s="13">
        <f si="6" t="shared"/>
        <v>0</v>
      </c>
      <c r="T28" s="13">
        <f si="6" t="shared"/>
        <v>6.8393695153517534E-5</v>
      </c>
      <c r="U28" s="13">
        <f si="6" t="shared"/>
        <v>2.1903510275603298E-4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0.13196611680784665</v>
      </c>
      <c r="R29" s="13">
        <f si="6" t="shared"/>
        <v>0</v>
      </c>
      <c r="S29" s="13">
        <f si="6" t="shared"/>
        <v>0</v>
      </c>
      <c r="T29" s="13">
        <f si="6" t="shared"/>
        <v>4.7349481260127531E-5</v>
      </c>
      <c r="U29" s="13">
        <f si="6" t="shared"/>
        <v>5.8091918557034831E-4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0.76822682237825157</v>
      </c>
      <c r="J30" s="13">
        <f si="21" t="shared"/>
        <v>0.25178690820786831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0.74529135714135397</v>
      </c>
      <c r="U30" s="13">
        <f si="6" t="shared"/>
        <v>0.26981696284021867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1.1792409467366043E-3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7.7592662271639345E-4</v>
      </c>
      <c r="J31" s="13">
        <f si="23" t="shared"/>
        <v>2.6913730446521686E-3</v>
      </c>
      <c r="K31" s="6"/>
      <c r="L31" t="s">
        <v>4</v>
      </c>
      <c r="M31" s="13">
        <f ref="M31:P31" si="24" t="shared">M14/M$16</f>
        <v>1.2164373866501526E-3</v>
      </c>
      <c r="N31" s="13">
        <f si="24" t="shared"/>
        <v>7.4280408542246983E-3</v>
      </c>
      <c r="O31" s="13">
        <f si="24" t="shared"/>
        <v>3.7846009487567116E-3</v>
      </c>
      <c r="P31" s="13" t="e">
        <f si="24" t="shared"/>
        <v>#DIV/0!</v>
      </c>
      <c r="Q31" s="13">
        <f si="6" t="shared"/>
        <v>2.5412394115024519E-2</v>
      </c>
      <c r="R31" s="13">
        <f si="6" t="shared"/>
        <v>0.9900299102691924</v>
      </c>
      <c r="S31" s="13">
        <f si="6" t="shared"/>
        <v>0</v>
      </c>
      <c r="T31" s="13">
        <f si="6" t="shared"/>
        <v>3.4354679180959194E-3</v>
      </c>
      <c r="U31" s="13">
        <f si="6" t="shared"/>
        <v>5.8891872845361218E-3</v>
      </c>
    </row>
    <row r="32" spans="1:21" x14ac:dyDescent="0.25">
      <c r="A32" s="4" t="s">
        <v>5</v>
      </c>
      <c r="B32" s="14">
        <f ref="B32:J32" si="25" t="shared">B15/B$16</f>
        <v>2.8691756390550851E-2</v>
      </c>
      <c r="C32" s="14">
        <f si="25" t="shared"/>
        <v>2.34713065247945E-2</v>
      </c>
      <c r="D32" s="14">
        <f si="25" t="shared"/>
        <v>2.2575788834558616E-2</v>
      </c>
      <c r="E32" s="14">
        <f si="25" t="shared"/>
        <v>0</v>
      </c>
      <c r="F32" s="14">
        <f si="25" t="shared"/>
        <v>1.1368192873206119E-2</v>
      </c>
      <c r="G32" s="14">
        <f si="25" t="shared"/>
        <v>0</v>
      </c>
      <c r="H32" s="14">
        <f si="25" t="shared"/>
        <v>1</v>
      </c>
      <c r="I32" s="14">
        <f si="25" t="shared"/>
        <v>1.2037435841134968E-2</v>
      </c>
      <c r="J32" s="14">
        <f si="25" t="shared"/>
        <v>3.894354436356133E-2</v>
      </c>
      <c r="K32" s="6"/>
      <c r="L32" s="4" t="s">
        <v>5</v>
      </c>
      <c r="M32" s="14">
        <f ref="M32:P32" si="26" t="shared">M15/M$16</f>
        <v>1.4818419073738224E-3</v>
      </c>
      <c r="N32" s="14">
        <f si="26" t="shared"/>
        <v>6.5728387821922495E-3</v>
      </c>
      <c r="O32" s="14">
        <f si="26" t="shared"/>
        <v>4.3371735390710523E-3</v>
      </c>
      <c r="P32" s="14" t="e">
        <f si="26" t="shared"/>
        <v>#DIV/0!</v>
      </c>
      <c r="Q32" s="14">
        <f si="6" t="shared"/>
        <v>1.2483281319661168E-2</v>
      </c>
      <c r="R32" s="14">
        <f si="6" t="shared"/>
        <v>9.9700897308075773E-3</v>
      </c>
      <c r="S32" s="14">
        <f si="6" t="shared"/>
        <v>1</v>
      </c>
      <c r="T32" s="14">
        <f si="6" t="shared"/>
        <v>3.0829773353816367E-3</v>
      </c>
      <c r="U32" s="14">
        <f si="6" t="shared"/>
        <v>2.8327905072091118E-2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42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2.5993477096526885E-2</v>
      </c>
      <c r="N39" s="13">
        <f si="29" t="shared"/>
        <v>-5.0341908015883834E-2</v>
      </c>
      <c r="O39" s="13">
        <f si="29" t="shared"/>
        <v>-1.900236331416805E-3</v>
      </c>
      <c r="P39" s="13" t="e">
        <f si="29" t="shared"/>
        <v>#DIV/0!</v>
      </c>
      <c r="Q39" s="13">
        <f ref="Q39:Q50" si="30" t="shared">Q22-F22</f>
        <v>4.4583147570218459E-3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3.2302868326353671E-3</v>
      </c>
      <c r="U39" s="13">
        <f ref="U39:U50" si="34" t="shared">U22-J22</f>
        <v>-1.3102416758064214E-2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5.9812334904261411E-2</v>
      </c>
      <c r="O40" s="13">
        <f si="29" t="shared"/>
        <v>-3.387476804409284E-2</v>
      </c>
      <c r="P40" s="13" t="e">
        <f si="29" t="shared"/>
        <v>#DIV/0!</v>
      </c>
      <c r="Q40" s="13">
        <f si="30" t="shared"/>
        <v>-2.7432231902663751E-2</v>
      </c>
      <c r="R40" s="13">
        <f si="31" t="shared"/>
        <v>0</v>
      </c>
      <c r="S40" s="13">
        <f si="32" t="shared"/>
        <v>0</v>
      </c>
      <c r="T40" s="13">
        <f si="33" t="shared"/>
        <v>5.5386806047529463E-3</v>
      </c>
      <c r="U40" s="13">
        <f si="34" t="shared"/>
        <v>1.5179048322164213E-3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5.1408259668977219E-2</v>
      </c>
      <c r="P41" s="13" t="e">
        <f si="29" t="shared"/>
        <v>#DIV/0!</v>
      </c>
      <c r="Q41" s="13">
        <f si="30" t="shared"/>
        <v>-0.1291876202578485</v>
      </c>
      <c r="R41" s="13">
        <f si="31" t="shared"/>
        <v>0</v>
      </c>
      <c r="S41" s="13">
        <f si="32" t="shared"/>
        <v>0</v>
      </c>
      <c r="T41" s="13">
        <f si="33" t="shared"/>
        <v>2.015698087326509E-2</v>
      </c>
      <c r="U41" s="13">
        <f si="34" t="shared"/>
        <v>1.2440772052456861E-2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-8.5690064640824737E-2</v>
      </c>
      <c r="R42" s="13">
        <f si="31" t="shared"/>
        <v>0</v>
      </c>
      <c r="S42" s="13">
        <f si="32" t="shared"/>
        <v>0</v>
      </c>
      <c r="T42" s="13">
        <f si="33" t="shared"/>
        <v>8.3469890737384266E-5</v>
      </c>
      <c r="U42" s="13">
        <f si="34" t="shared"/>
        <v>-1.2361818711212568E-2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3.3883192153366028E-2</v>
      </c>
      <c r="R44" s="13">
        <f si="31" t="shared"/>
        <v>0</v>
      </c>
      <c r="S44" s="13">
        <f si="32" t="shared"/>
        <v>0</v>
      </c>
      <c r="T44" s="13">
        <f si="33" t="shared"/>
        <v>1.0522106946695006E-4</v>
      </c>
      <c r="U44" s="13">
        <f si="34" t="shared"/>
        <v>9.3374715512845104E-5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4.5474810521622826E-2</v>
      </c>
      <c r="R45" s="13">
        <f si="31" t="shared"/>
        <v>0</v>
      </c>
      <c r="S45" s="13">
        <f si="32" t="shared"/>
        <v>0</v>
      </c>
      <c r="T45" s="13">
        <f si="33" t="shared"/>
        <v>6.8393695153517534E-5</v>
      </c>
      <c r="U45" s="13">
        <f si="34" t="shared"/>
        <v>2.1903510275603298E-4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0.13196611680784665</v>
      </c>
      <c r="R46" s="13">
        <f si="31" t="shared"/>
        <v>0</v>
      </c>
      <c r="S46" s="13">
        <f si="32" t="shared"/>
        <v>0</v>
      </c>
      <c r="T46" s="13">
        <f si="33" t="shared"/>
        <v>4.7349481260127531E-5</v>
      </c>
      <c r="U46" s="13">
        <f si="34" t="shared"/>
        <v>5.8091918557034831E-4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-2.2935465236897601E-2</v>
      </c>
      <c r="U47" s="13">
        <f si="34" t="shared"/>
        <v>1.8030054632350356E-2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1.2164373866501526E-3</v>
      </c>
      <c r="N48" s="13">
        <f si="39" t="shared"/>
        <v>7.4280408542246983E-3</v>
      </c>
      <c r="O48" s="13">
        <f si="39" t="shared"/>
        <v>2.6053600020201073E-3</v>
      </c>
      <c r="P48" s="13" t="e">
        <f si="39" t="shared"/>
        <v>#DIV/0!</v>
      </c>
      <c r="Q48" s="13">
        <f si="30" t="shared"/>
        <v>2.5412394115024519E-2</v>
      </c>
      <c r="R48" s="13">
        <f si="31" t="shared"/>
        <v>-9.9700897308075964E-3</v>
      </c>
      <c r="S48" s="13">
        <f si="32" t="shared"/>
        <v>0</v>
      </c>
      <c r="T48" s="13">
        <f si="33" t="shared"/>
        <v>2.659541295379526E-3</v>
      </c>
      <c r="U48" s="13">
        <f si="34" t="shared"/>
        <v>3.1978142398839532E-3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-2.7209914483177028E-2</v>
      </c>
      <c r="N49" s="17">
        <f si="39" t="shared"/>
        <v>-1.6898467742602251E-2</v>
      </c>
      <c r="O49" s="17">
        <f si="39" t="shared"/>
        <v>-1.8238615295487565E-2</v>
      </c>
      <c r="P49" s="17" t="e">
        <f si="39" t="shared"/>
        <v>#DIV/0!</v>
      </c>
      <c r="Q49" s="17">
        <f si="30" t="shared"/>
        <v>1.1150884464550485E-3</v>
      </c>
      <c r="R49" s="17">
        <f si="31" t="shared"/>
        <v>9.9700897308075773E-3</v>
      </c>
      <c r="S49" s="17">
        <f si="32" t="shared"/>
        <v>0</v>
      </c>
      <c r="T49" s="17">
        <f si="33" t="shared"/>
        <v>-8.9544585057533318E-3</v>
      </c>
      <c r="U49" s="13">
        <f si="34" t="shared"/>
        <v>-1.0615639291470212E-2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0"/>
  <sheetViews>
    <sheetView topLeftCell="A19" workbookViewId="0" zoomScaleNormal="100">
      <selection activeCell="I41" sqref="I4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43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43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9658.891444</v>
      </c>
      <c r="C5" s="6" t="n">
        <v>113416.782768</v>
      </c>
      <c r="D5" s="6" t="n">
        <v>49435.682348</v>
      </c>
      <c r="E5" s="6" t="n">
        <v>671.040261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173182.396821</v>
      </c>
      <c r="K5" s="6"/>
      <c r="L5" t="s">
        <v>1</v>
      </c>
      <c r="M5" s="6" t="n">
        <v>10161.0</v>
      </c>
      <c r="N5" s="6" t="n">
        <v>102956.0</v>
      </c>
      <c r="O5" s="6" t="n">
        <v>60735.0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173678</v>
      </c>
    </row>
    <row r="6" spans="1:21" x14ac:dyDescent="0.25">
      <c r="A6" t="s">
        <v>12</v>
      </c>
      <c r="B6" s="6" t="n">
        <v>0.0</v>
      </c>
      <c r="C6" s="6" t="n">
        <v>119794.482081</v>
      </c>
      <c r="D6" s="6" t="n">
        <v>65659.889598</v>
      </c>
      <c r="E6" s="6" t="n">
        <v>671.040261</v>
      </c>
      <c r="F6" s="6" t="n">
        <v>0.0</v>
      </c>
      <c r="G6" s="6" t="n">
        <v>0.0</v>
      </c>
      <c r="H6" s="6" t="n">
        <v>0.0</v>
      </c>
      <c r="I6" s="6" t="n">
        <v>389.562024</v>
      </c>
      <c r="J6" s="6">
        <f ref="J6:J15" si="1" t="shared">SUM(B6:I6)</f>
        <v>186514.97396399998</v>
      </c>
      <c r="K6" s="6"/>
      <c r="L6" t="s">
        <v>12</v>
      </c>
      <c r="M6" s="6" t="n">
        <v>0.0</v>
      </c>
      <c r="N6" s="6" t="n">
        <v>159521.0</v>
      </c>
      <c r="O6" s="6" t="n">
        <v>49838.0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209680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146100.545582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1168.686072</v>
      </c>
      <c r="J7" s="6">
        <f si="1" t="shared"/>
        <v>147269.231654</v>
      </c>
      <c r="K7" s="6"/>
      <c r="L7" t="s">
        <v>56</v>
      </c>
      <c r="M7" s="6" t="n">
        <v>0.0</v>
      </c>
      <c r="N7" s="6" t="n">
        <v>0.0</v>
      </c>
      <c r="O7" s="6" t="n">
        <v>159470.0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159667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671.040261</v>
      </c>
      <c r="F8" s="6" t="n">
        <v>1991.064478</v>
      </c>
      <c r="G8" s="6" t="n">
        <v>0.0</v>
      </c>
      <c r="H8" s="6" t="n">
        <v>0.0</v>
      </c>
      <c r="I8" s="6" t="n">
        <v>0.0</v>
      </c>
      <c r="J8" s="6">
        <f si="1" t="shared"/>
        <v>2662.1047389999999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389.562024</v>
      </c>
      <c r="J13" s="6">
        <f si="1" t="shared"/>
        <v>389.56202400000001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343.873196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343.87319600000001</v>
      </c>
      <c r="K14" s="6"/>
      <c r="L14" t="s">
        <v>4</v>
      </c>
      <c r="M14" s="6" t="n">
        <v>4.0</v>
      </c>
      <c r="N14" s="6" t="n">
        <v>919.0</v>
      </c>
      <c r="O14" s="6" t="n">
        <v>879.0</v>
      </c>
      <c r="P14" s="6" t="n">
        <v>0.0</v>
      </c>
      <c r="Q14" s="6" t="n">
        <v>0.0</v>
      </c>
      <c r="R14" s="6" t="n">
        <v>326.0</v>
      </c>
      <c r="S14" s="6" t="n">
        <v>0.0</v>
      </c>
      <c r="T14" s="6" t="n">
        <v>0.0</v>
      </c>
      <c r="U14" s="6">
        <f si="0" t="shared"/>
        <v>2046</v>
      </c>
    </row>
    <row r="15" spans="1:21" x14ac:dyDescent="0.25">
      <c r="A15" s="4" t="s">
        <v>5</v>
      </c>
      <c r="B15" s="10" t="n">
        <v>0.0</v>
      </c>
      <c r="C15" s="10" t="n">
        <v>809.131619</v>
      </c>
      <c r="D15" s="10" t="n">
        <v>1132.769028</v>
      </c>
      <c r="E15" s="10" t="n">
        <v>0.0</v>
      </c>
      <c r="F15" s="10" t="n">
        <v>0.0</v>
      </c>
      <c r="G15" s="10" t="n">
        <v>0.0</v>
      </c>
      <c r="H15" s="10" t="n">
        <v>10226.064229</v>
      </c>
      <c r="I15" s="10" t="n">
        <v>0.0</v>
      </c>
      <c r="J15" s="6">
        <f si="1" t="shared"/>
        <v>12167.964876</v>
      </c>
      <c r="K15" s="6"/>
      <c r="L15" s="4" t="s">
        <v>5</v>
      </c>
      <c r="M15" s="8" t="n">
        <v>4.0</v>
      </c>
      <c r="N15" s="8" t="n">
        <v>457.0</v>
      </c>
      <c r="O15" s="8" t="n">
        <v>434.0</v>
      </c>
      <c r="P15" s="8" t="n">
        <v>0.0</v>
      </c>
      <c r="Q15" s="8" t="n">
        <v>0.0</v>
      </c>
      <c r="R15" s="8" t="n">
        <v>0.0</v>
      </c>
      <c r="S15" s="8" t="n">
        <v>14924.0</v>
      </c>
      <c r="T15" s="8" t="n">
        <v>0.0</v>
      </c>
      <c r="U15" s="6">
        <f si="0" t="shared"/>
        <v>16048</v>
      </c>
    </row>
    <row ht="15.75" r="16" spans="1:21" thickBot="1" x14ac:dyDescent="0.3">
      <c r="A16" s="12" t="s">
        <v>7</v>
      </c>
      <c r="B16" s="16">
        <f ref="B16:J16" si="2" t="shared">SUM(B5:B15)</f>
        <v>9658.8914440000008</v>
      </c>
      <c r="C16" s="16">
        <f si="2" t="shared"/>
        <v>234020.39646799999</v>
      </c>
      <c r="D16" s="16">
        <f si="2" t="shared"/>
        <v>262672.75975199998</v>
      </c>
      <c r="E16" s="16">
        <f si="2" t="shared"/>
        <v>2013.1207829999998</v>
      </c>
      <c r="F16" s="16">
        <f si="2" t="shared"/>
        <v>1991.064478</v>
      </c>
      <c r="G16" s="16">
        <f si="2" t="shared"/>
        <v>0</v>
      </c>
      <c r="H16" s="16">
        <f si="2" t="shared"/>
        <v>10226.064229</v>
      </c>
      <c r="I16" s="16">
        <f si="2" t="shared"/>
        <v>1947.8101200000001</v>
      </c>
      <c r="J16" s="16">
        <f si="2" t="shared"/>
        <v>522530.10727399995</v>
      </c>
      <c r="L16" s="9" t="s">
        <v>7</v>
      </c>
      <c r="M16" s="16">
        <f ref="M16:U16" si="3" t="shared">SUM(M5:M15)</f>
        <v>9870</v>
      </c>
      <c r="N16" s="16">
        <f si="3" t="shared"/>
        <v>263962</v>
      </c>
      <c r="O16" s="16">
        <f si="3" t="shared"/>
        <v>271890</v>
      </c>
      <c r="P16" s="16">
        <f si="3" t="shared"/>
        <v>0</v>
      </c>
      <c r="Q16" s="16">
        <f si="3" t="shared"/>
        <v>0</v>
      </c>
      <c r="R16" s="16">
        <f si="3" t="shared"/>
        <v>243</v>
      </c>
      <c r="S16" s="16">
        <f si="3" t="shared"/>
        <v>15154</v>
      </c>
      <c r="T16" s="16">
        <f si="3" t="shared"/>
        <v>0</v>
      </c>
      <c r="U16" s="16">
        <f si="3" t="shared"/>
        <v>561119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43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43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0.48464486207085222</v>
      </c>
      <c r="D22" s="13">
        <f si="4" t="shared"/>
        <v>0.18820254675313206</v>
      </c>
      <c r="E22" s="13">
        <f si="4" t="shared"/>
        <v>0.33333333333333337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0.3314304657476666</v>
      </c>
      <c r="K22" s="6"/>
      <c r="L22" t="s">
        <v>1</v>
      </c>
      <c r="M22" s="13">
        <f ref="M22:P22" si="5" t="shared">M5/M$16</f>
        <v>0.99939209726443767</v>
      </c>
      <c r="N22" s="13">
        <f si="5" t="shared"/>
        <v>0.3896280525227116</v>
      </c>
      <c r="O22" s="13">
        <f si="5" t="shared"/>
        <v>0.22423406524697487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0.30952079683632172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0.51189761187068461</v>
      </c>
      <c r="D23" s="13">
        <f si="7" t="shared"/>
        <v>0.24996840045382765</v>
      </c>
      <c r="E23" s="13">
        <f si="7" t="shared"/>
        <v>0.33333333333333337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0.19999999999999998</v>
      </c>
      <c r="J23" s="13">
        <f si="7" t="shared"/>
        <v>0.35694588956229623</v>
      </c>
      <c r="K23" s="6"/>
      <c r="L23" t="s">
        <v>12</v>
      </c>
      <c r="M23" s="13">
        <f ref="M23:P23" si="8" t="shared">M6/M$16</f>
        <v>0</v>
      </c>
      <c r="N23" s="13">
        <f si="8" t="shared"/>
        <v>0.60524999810578795</v>
      </c>
      <c r="O23" s="13">
        <f si="8" t="shared"/>
        <v>0.18359262937217258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0.37368187496769845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0.55620744884219986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0.28183874881830723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0.58724484166390822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6.5989177774844929E-5</v>
      </c>
      <c r="T24" s="13" t="e">
        <f si="6" t="shared"/>
        <v>#DIV/0!</v>
      </c>
      <c r="U24" s="13">
        <f si="6" t="shared"/>
        <v>0.28455104888624339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0.33333333333333337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5.0946437381149175E-3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0.19999999999999998</v>
      </c>
      <c r="J30" s="13">
        <f si="21" t="shared"/>
        <v>7.455302930434298E-4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1.3091315457478905E-3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6.5809259832693746E-4</v>
      </c>
      <c r="K31" s="6"/>
      <c r="L31" t="s">
        <v>4</v>
      </c>
      <c r="M31" s="13">
        <f ref="M31:P31" si="24" t="shared">M14/M$16</f>
        <v>2.0263424518743666E-4</v>
      </c>
      <c r="N31" s="13">
        <f si="24" t="shared"/>
        <v>3.3376016244762502E-3</v>
      </c>
      <c r="O31" s="13">
        <f si="24" t="shared"/>
        <v>3.3837213579020926E-3</v>
      </c>
      <c r="P31" s="13" t="e">
        <f si="24" t="shared"/>
        <v>#DIV/0!</v>
      </c>
      <c r="Q31" s="13" t="e">
        <f si="6" t="shared"/>
        <v>#DIV/0!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3.6462853690571876E-3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3.4575260584632029E-3</v>
      </c>
      <c r="D32" s="14">
        <f si="25" t="shared"/>
        <v>4.3124724050925311E-3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2.3286629242244724E-2</v>
      </c>
      <c r="K32" s="6"/>
      <c r="L32" s="4" t="s">
        <v>5</v>
      </c>
      <c r="M32" s="14">
        <f ref="M32:P32" si="26" t="shared">M15/M$16</f>
        <v>4.0526849037487333E-4</v>
      </c>
      <c r="N32" s="14">
        <f si="26" t="shared"/>
        <v>1.7843477470241929E-3</v>
      </c>
      <c r="O32" s="14">
        <f si="26" t="shared"/>
        <v>1.5447423590422597E-3</v>
      </c>
      <c r="P32" s="14" t="e">
        <f si="26" t="shared"/>
        <v>#DIV/0!</v>
      </c>
      <c r="Q32" s="14" t="e">
        <f si="6" t="shared"/>
        <v>#DIV/0!</v>
      </c>
      <c r="R32" s="14">
        <f si="6" t="shared"/>
        <v>0</v>
      </c>
      <c r="S32" s="14">
        <f si="6" t="shared"/>
        <v>0.99993401082222511</v>
      </c>
      <c r="T32" s="14" t="e">
        <f si="6" t="shared"/>
        <v>#DIV/0!</v>
      </c>
      <c r="U32" s="14">
        <f si="6" t="shared"/>
        <v>2.859999394067925E-2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43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-6.0790273556232677E-4</v>
      </c>
      <c r="N39" s="13">
        <f si="29" t="shared"/>
        <v>-9.5016809548140624E-2</v>
      </c>
      <c r="O39" s="13">
        <f si="29" t="shared"/>
        <v>3.6031518493842812E-2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-2.1909668911344882E-2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9.3352386235103335E-2</v>
      </c>
      <c r="O40" s="13">
        <f si="29" t="shared"/>
        <v>-6.6375771081655072E-2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1.6735985405402221E-2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3.1037392821708365E-2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6.5989177774844929E-5</v>
      </c>
      <c r="T41" s="13" t="e">
        <f si="33" t="shared"/>
        <v>#DIV/0!</v>
      </c>
      <c r="U41" s="13">
        <f si="34" t="shared"/>
        <v>2.7123000679361575E-3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-5.0946437381149175E-3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-7.455302930434298E-4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2.0263424518743666E-4</v>
      </c>
      <c r="N48" s="13">
        <f si="39" t="shared"/>
        <v>3.3376016244762502E-3</v>
      </c>
      <c r="O48" s="13">
        <f si="39" t="shared"/>
        <v>2.0745898121542023E-3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2.9881927707302502E-3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4.0526849037487333E-4</v>
      </c>
      <c r="N49" s="17">
        <f si="39" t="shared"/>
        <v>-1.67317831143901E-3</v>
      </c>
      <c r="O49" s="17">
        <f si="39" t="shared"/>
        <v>-2.7677300460502716E-3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-6.5989177774894436E-5</v>
      </c>
      <c r="T49" s="17" t="e">
        <f si="33" t="shared"/>
        <v>#DIV/0!</v>
      </c>
      <c r="U49" s="13">
        <f si="34" t="shared"/>
        <v>5.3133646984345265E-3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0"/>
  <sheetViews>
    <sheetView topLeftCell="A31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44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44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208291.66194299998</v>
      </c>
      <c r="C5" s="6" t="n">
        <v>7086.916219</v>
      </c>
      <c r="D5" s="6" t="n">
        <v>2768.080765</v>
      </c>
      <c r="E5" s="6" t="n">
        <v>323.988966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218470.64789299999</v>
      </c>
      <c r="K5" s="6"/>
      <c r="L5" t="s">
        <v>1</v>
      </c>
      <c r="M5" s="6" t="n">
        <v>290096.0</v>
      </c>
      <c r="N5" s="6" t="n">
        <v>15315.0</v>
      </c>
      <c r="O5" s="6" t="n">
        <v>3170.0</v>
      </c>
      <c r="P5" s="6" t="n">
        <v>0.0</v>
      </c>
      <c r="Q5" s="6" t="n">
        <v>8.0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307804</v>
      </c>
    </row>
    <row r="6" spans="1:21" x14ac:dyDescent="0.25">
      <c r="A6" t="s">
        <v>12</v>
      </c>
      <c r="B6" s="6" t="n">
        <v>0.0</v>
      </c>
      <c r="C6" s="6" t="n">
        <v>106140.721331</v>
      </c>
      <c r="D6" s="6" t="n">
        <v>4967.175564</v>
      </c>
      <c r="E6" s="6" t="n">
        <v>426.809746</v>
      </c>
      <c r="F6" s="6" t="n">
        <v>108.490662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111643.19730299999</v>
      </c>
      <c r="K6" s="6"/>
      <c r="L6" t="s">
        <v>12</v>
      </c>
      <c r="M6" s="6" t="n">
        <v>0.0</v>
      </c>
      <c r="N6" s="6" t="n">
        <v>163801.0</v>
      </c>
      <c r="O6" s="6" t="n">
        <v>19461.0</v>
      </c>
      <c r="P6" s="6" t="n">
        <v>0.0</v>
      </c>
      <c r="Q6" s="6" t="n">
        <v>442.0</v>
      </c>
      <c r="R6" s="6" t="n">
        <v>0.0</v>
      </c>
      <c r="S6" s="6" t="n">
        <v>0.0</v>
      </c>
      <c r="T6" s="6" t="n">
        <v>0.0</v>
      </c>
      <c r="U6" s="6">
        <f si="0" t="shared"/>
        <v>182238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61186.230745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180.212603</v>
      </c>
      <c r="J7" s="6">
        <f si="1" t="shared"/>
        <v>61366.443348000001</v>
      </c>
      <c r="K7" s="6"/>
      <c r="L7" t="s">
        <v>56</v>
      </c>
      <c r="M7" s="6" t="n">
        <v>0.0</v>
      </c>
      <c r="N7" s="6" t="n">
        <v>0.0</v>
      </c>
      <c r="O7" s="6" t="n">
        <v>82804.0</v>
      </c>
      <c r="P7" s="6" t="n">
        <v>0.0</v>
      </c>
      <c r="Q7" s="6" t="n">
        <v>130.0</v>
      </c>
      <c r="R7" s="6" t="n">
        <v>0.0</v>
      </c>
      <c r="S7" s="6" t="n">
        <v>0.0</v>
      </c>
      <c r="T7" s="6" t="n">
        <v>0.0</v>
      </c>
      <c r="U7" s="6">
        <f si="0" t="shared"/>
        <v>82993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306.251911</v>
      </c>
      <c r="F8" s="6" t="n">
        <v>7346.778728</v>
      </c>
      <c r="G8" s="6" t="n">
        <v>0.0</v>
      </c>
      <c r="H8" s="6" t="n">
        <v>0.0</v>
      </c>
      <c r="I8" s="6" t="n">
        <v>0.0</v>
      </c>
      <c r="J8" s="6">
        <f si="1" t="shared"/>
        <v>7653.0306390000005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3228.0</v>
      </c>
      <c r="R8" s="6" t="n">
        <v>0.0</v>
      </c>
      <c r="S8" s="6" t="n">
        <v>0.0</v>
      </c>
      <c r="T8" s="6" t="n">
        <v>0.0</v>
      </c>
      <c r="U8" s="6">
        <f si="0" t="shared"/>
        <v>3078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167.34271</v>
      </c>
      <c r="G10" s="6" t="n">
        <v>0.0</v>
      </c>
      <c r="H10" s="6" t="n">
        <v>0.0</v>
      </c>
      <c r="I10" s="6" t="n">
        <v>0.0</v>
      </c>
      <c r="J10" s="6">
        <f si="1" t="shared"/>
        <v>167.34271000000001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80.0</v>
      </c>
      <c r="R10" s="6" t="n">
        <v>0.0</v>
      </c>
      <c r="S10" s="6" t="n">
        <v>0.0</v>
      </c>
      <c r="T10" s="6" t="n">
        <v>0.0</v>
      </c>
      <c r="U10" s="6">
        <f si="0" t="shared"/>
        <v>104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72.0</v>
      </c>
      <c r="R11" s="6" t="n">
        <v>0.0</v>
      </c>
      <c r="S11" s="6" t="n">
        <v>0.0</v>
      </c>
      <c r="T11" s="6" t="n">
        <v>0.0</v>
      </c>
      <c r="U11" s="6">
        <f si="0" t="shared"/>
        <v>65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364.0</v>
      </c>
      <c r="R12" s="6" t="n">
        <v>0.0</v>
      </c>
      <c r="S12" s="6" t="n">
        <v>0.0</v>
      </c>
      <c r="T12" s="6" t="n">
        <v>0.0</v>
      </c>
      <c r="U12" s="6">
        <f si="0" t="shared"/>
        <v>425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131.941979</v>
      </c>
      <c r="J13" s="6">
        <f si="1" t="shared"/>
        <v>131.941979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739.085158</v>
      </c>
      <c r="H14" s="6" t="n">
        <v>0.0</v>
      </c>
      <c r="I14" s="6" t="n">
        <v>0.0</v>
      </c>
      <c r="J14" s="6">
        <f si="1" t="shared"/>
        <v>739.08515799999998</v>
      </c>
      <c r="K14" s="6"/>
      <c r="L14" t="s">
        <v>4</v>
      </c>
      <c r="M14" s="6" t="n">
        <v>193.0</v>
      </c>
      <c r="N14" s="6" t="n">
        <v>183.0</v>
      </c>
      <c r="O14" s="6" t="n">
        <v>56.0</v>
      </c>
      <c r="P14" s="6" t="n">
        <v>0.0</v>
      </c>
      <c r="Q14" s="6" t="n">
        <v>96.0</v>
      </c>
      <c r="R14" s="6" t="n">
        <v>3416.0</v>
      </c>
      <c r="S14" s="6" t="n">
        <v>0.0</v>
      </c>
      <c r="T14" s="6" t="n">
        <v>0.0</v>
      </c>
      <c r="U14" s="6">
        <f si="0" t="shared"/>
        <v>3834</v>
      </c>
    </row>
    <row r="15" spans="1:21" x14ac:dyDescent="0.25">
      <c r="A15" s="4" t="s">
        <v>5</v>
      </c>
      <c r="B15" s="10" t="n">
        <v>421.77189500000003</v>
      </c>
      <c r="C15" s="10" t="n">
        <v>854.006949</v>
      </c>
      <c r="D15" s="10" t="n">
        <v>243.653815</v>
      </c>
      <c r="E15" s="10" t="n">
        <v>0.0</v>
      </c>
      <c r="F15" s="10" t="n">
        <v>184.655451</v>
      </c>
      <c r="G15" s="10" t="n">
        <v>0.0</v>
      </c>
      <c r="H15" s="10" t="n">
        <v>15682.388965</v>
      </c>
      <c r="I15" s="10" t="n">
        <v>83.671355</v>
      </c>
      <c r="J15" s="6">
        <f si="1" t="shared"/>
        <v>17470.148429999997</v>
      </c>
      <c r="K15" s="6"/>
      <c r="L15" s="4" t="s">
        <v>5</v>
      </c>
      <c r="M15" s="8" t="n">
        <v>336.0</v>
      </c>
      <c r="N15" s="8" t="n">
        <v>103.0</v>
      </c>
      <c r="O15" s="8" t="n">
        <v>28.0</v>
      </c>
      <c r="P15" s="8" t="n">
        <v>0.0</v>
      </c>
      <c r="Q15" s="8" t="n">
        <v>56.0</v>
      </c>
      <c r="R15" s="8" t="n">
        <v>17.0</v>
      </c>
      <c r="S15" s="8" t="n">
        <v>30338.0</v>
      </c>
      <c r="T15" s="8" t="n">
        <v>0.0</v>
      </c>
      <c r="U15" s="6">
        <f si="0" t="shared"/>
        <v>32307</v>
      </c>
    </row>
    <row ht="15.75" r="16" spans="1:21" thickBot="1" x14ac:dyDescent="0.3">
      <c r="A16" s="12" t="s">
        <v>7</v>
      </c>
      <c r="B16" s="16">
        <f ref="B16:J16" si="2" t="shared">SUM(B5:B15)</f>
        <v>208713.433838</v>
      </c>
      <c r="C16" s="16">
        <f si="2" t="shared"/>
        <v>114081.644499</v>
      </c>
      <c r="D16" s="16">
        <f si="2" t="shared"/>
        <v>69165.140889000002</v>
      </c>
      <c r="E16" s="16">
        <f si="2" t="shared"/>
        <v>1057.0506230000001</v>
      </c>
      <c r="F16" s="16">
        <f si="2" t="shared"/>
        <v>7807.2675509999999</v>
      </c>
      <c r="G16" s="16">
        <f si="2" t="shared"/>
        <v>739.08515799999998</v>
      </c>
      <c r="H16" s="16">
        <f si="2" t="shared"/>
        <v>15682.388965</v>
      </c>
      <c r="I16" s="16">
        <f si="2" t="shared"/>
        <v>395.82593700000001</v>
      </c>
      <c r="J16" s="16">
        <f si="2" t="shared"/>
        <v>417641.83745999995</v>
      </c>
      <c r="L16" s="9" t="s">
        <v>7</v>
      </c>
      <c r="M16" s="16">
        <f ref="M16:U16" si="3" t="shared">SUM(M5:M15)</f>
        <v>290097</v>
      </c>
      <c r="N16" s="16">
        <f si="3" t="shared"/>
        <v>177597</v>
      </c>
      <c r="O16" s="16">
        <f si="3" t="shared"/>
        <v>105633</v>
      </c>
      <c r="P16" s="16">
        <f si="3" t="shared"/>
        <v>0</v>
      </c>
      <c r="Q16" s="16">
        <f si="3" t="shared"/>
        <v>4401</v>
      </c>
      <c r="R16" s="16">
        <f si="3" t="shared"/>
        <v>3347</v>
      </c>
      <c r="S16" s="16">
        <f si="3" t="shared"/>
        <v>31773</v>
      </c>
      <c r="T16" s="16">
        <f si="3" t="shared"/>
        <v>0</v>
      </c>
      <c r="U16" s="16">
        <f si="3" t="shared"/>
        <v>612848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44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44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0.99797918185119128</v>
      </c>
      <c r="C22" s="13">
        <f si="4" t="shared"/>
        <v>6.2121441622995897E-2</v>
      </c>
      <c r="D22" s="13">
        <f si="4" t="shared"/>
        <v>4.0021327643102289E-2</v>
      </c>
      <c r="E22" s="13">
        <f si="4" t="shared"/>
        <v>0.3065027908318067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0.52310527417867758</v>
      </c>
      <c r="K22" s="6"/>
      <c r="L22" t="s">
        <v>1</v>
      </c>
      <c r="M22" s="13">
        <f ref="M22:P22" si="5" t="shared">M5/M$16</f>
        <v>0.99822473172766346</v>
      </c>
      <c r="N22" s="13">
        <f si="5" t="shared"/>
        <v>8.430322584277887E-2</v>
      </c>
      <c r="O22" s="13">
        <f si="5" t="shared"/>
        <v>3.0662766370357749E-2</v>
      </c>
      <c r="P22" s="13" t="e">
        <f si="5" t="shared"/>
        <v>#DIV/0!</v>
      </c>
      <c r="Q22" s="13">
        <f ref="Q22:U33" si="6" t="shared">Q5/Q$16</f>
        <v>2.499431947284708E-3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0.50225178184476416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0.93039263062104949</v>
      </c>
      <c r="D23" s="13">
        <f si="7" t="shared"/>
        <v>7.1816170691701403E-2</v>
      </c>
      <c r="E23" s="13">
        <f si="7" t="shared"/>
        <v>0.40377417761571099</v>
      </c>
      <c r="F23" s="13">
        <f si="7" t="shared"/>
        <v>1.3896111705061765E-2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0.26731803973947588</v>
      </c>
      <c r="K23" s="6"/>
      <c r="L23" t="s">
        <v>12</v>
      </c>
      <c r="M23" s="13">
        <f ref="M23:P23" si="8" t="shared">M6/M$16</f>
        <v>0</v>
      </c>
      <c r="N23" s="13">
        <f si="8" t="shared"/>
        <v>0.91414269385181057</v>
      </c>
      <c r="O23" s="13">
        <f si="8" t="shared"/>
        <v>0.18394819800630485</v>
      </c>
      <c r="P23" s="13" t="e">
        <f si="8" t="shared"/>
        <v>#DIV/0!</v>
      </c>
      <c r="Q23" s="13">
        <f si="6" t="shared"/>
        <v>0.10406725744149058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0.29736247813487193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0.8846397181955431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0.45528245158932068</v>
      </c>
      <c r="J24" s="13">
        <f si="9" t="shared"/>
        <v>0.14693557456124695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0.78464116327284084</v>
      </c>
      <c r="P24" s="13" t="e">
        <f si="10" t="shared"/>
        <v>#DIV/0!</v>
      </c>
      <c r="Q24" s="13">
        <f si="6" t="shared"/>
        <v>2.4539877300613498E-2</v>
      </c>
      <c r="R24" s="13">
        <f si="6" t="shared"/>
        <v>0</v>
      </c>
      <c r="S24" s="13">
        <f si="6" t="shared"/>
        <v>3.1473263462688449E-5</v>
      </c>
      <c r="T24" s="13" t="e">
        <f si="6" t="shared"/>
        <v>#DIV/0!</v>
      </c>
      <c r="U24" s="13">
        <f si="6" t="shared"/>
        <v>0.13542183379891914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0.28972303155248219</v>
      </c>
      <c r="F25" s="13">
        <f si="11" t="shared"/>
        <v>0.94101792720796185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1.8324386956881388E-2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0.69938650306748462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5.0224525494086628E-3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2.143422252495571E-2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4.006847374720389E-4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2.3630992956146329E-2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1.696995013445422E-4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1.4769370597591456E-2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1.0606218834033888E-4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9.6568961599636446E-2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6.9348353914836956E-4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3.1592136411055051E-4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1.769662643223062E-3</v>
      </c>
      <c r="K31" s="6"/>
      <c r="L31" t="s">
        <v>4</v>
      </c>
      <c r="M31" s="13">
        <f ref="M31:P31" si="24" t="shared">M14/M$16</f>
        <v>6.7218895748663381E-4</v>
      </c>
      <c r="N31" s="13">
        <f si="24" t="shared"/>
        <v>9.8537700524220571E-4</v>
      </c>
      <c r="O31" s="13">
        <f si="24" t="shared"/>
        <v>4.5440345346624636E-4</v>
      </c>
      <c r="P31" s="13" t="e">
        <f si="24" t="shared"/>
        <v>#DIV/0!</v>
      </c>
      <c r="Q31" s="13">
        <f si="6" t="shared"/>
        <v>1.9995455578277664E-2</v>
      </c>
      <c r="R31" s="13">
        <f si="6" t="shared"/>
        <v>0.99432327457424563</v>
      </c>
      <c r="S31" s="13">
        <f si="6" t="shared"/>
        <v>0</v>
      </c>
      <c r="T31" s="13" t="e">
        <f si="6" t="shared"/>
        <v>#DIV/0!</v>
      </c>
      <c r="U31" s="13">
        <f si="6" t="shared"/>
        <v>6.2560373861055268E-3</v>
      </c>
    </row>
    <row r="32" spans="1:21" x14ac:dyDescent="0.25">
      <c r="A32" s="4" t="s">
        <v>5</v>
      </c>
      <c r="B32" s="14">
        <f ref="B32:J32" si="25" t="shared">B15/B$16</f>
        <v>2.0208181488086318E-3</v>
      </c>
      <c r="C32" s="14">
        <f si="25" t="shared"/>
        <v>7.4859277559545159E-3</v>
      </c>
      <c r="D32" s="14">
        <f si="25" t="shared"/>
        <v>3.5227834696531448E-3</v>
      </c>
      <c r="E32" s="14">
        <f si="25" t="shared"/>
        <v>0</v>
      </c>
      <c r="F32" s="14">
        <f si="25" t="shared"/>
        <v>2.3651738562020751E-2</v>
      </c>
      <c r="G32" s="14">
        <f si="25" t="shared"/>
        <v>0</v>
      </c>
      <c r="H32" s="14">
        <f si="25" t="shared"/>
        <v>1</v>
      </c>
      <c r="I32" s="14">
        <f si="25" t="shared"/>
        <v>0.21138421507734598</v>
      </c>
      <c r="J32" s="14">
        <f si="25" t="shared"/>
        <v>4.1830455818912579E-2</v>
      </c>
      <c r="K32" s="6"/>
      <c r="L32" s="4" t="s">
        <v>5</v>
      </c>
      <c r="M32" s="14">
        <f ref="M32:P32" si="26" t="shared">M15/M$16</f>
        <v>1.1030793148498605E-3</v>
      </c>
      <c r="N32" s="14">
        <f si="26" t="shared"/>
        <v>5.6870330016835875E-4</v>
      </c>
      <c r="O32" s="14">
        <f si="26" t="shared"/>
        <v>2.9346889703028411E-4</v>
      </c>
      <c r="P32" s="14" t="e">
        <f si="26" t="shared"/>
        <v>#DIV/0!</v>
      </c>
      <c r="Q32" s="14">
        <f si="6" t="shared"/>
        <v>1.4542149511474665E-2</v>
      </c>
      <c r="R32" s="14">
        <f si="6" t="shared"/>
        <v>5.6767254257544071E-3</v>
      </c>
      <c r="S32" s="14">
        <f si="6" t="shared"/>
        <v>0.99996852673653736</v>
      </c>
      <c r="T32" s="14" t="e">
        <f si="6" t="shared"/>
        <v>#DIV/0!</v>
      </c>
      <c r="U32" s="14">
        <f si="6" t="shared"/>
        <v>5.2716171057097354E-2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44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2.4554987647218418E-4</v>
      </c>
      <c r="N39" s="13">
        <f si="29" t="shared"/>
        <v>2.2181784219782973E-2</v>
      </c>
      <c r="O39" s="13">
        <f si="29" t="shared"/>
        <v>-9.3585612727445401E-3</v>
      </c>
      <c r="P39" s="13" t="e">
        <f si="29" t="shared"/>
        <v>#DIV/0!</v>
      </c>
      <c r="Q39" s="13">
        <f ref="Q39:Q50" si="30" t="shared">Q22-F22</f>
        <v>2.499431947284708E-3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-2.0853492333913426E-2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-1.6249936769238915E-2</v>
      </c>
      <c r="O40" s="13">
        <f si="29" t="shared"/>
        <v>0.11213202731460345</v>
      </c>
      <c r="P40" s="13" t="e">
        <f si="29" t="shared"/>
        <v>#DIV/0!</v>
      </c>
      <c r="Q40" s="13">
        <f si="30" t="shared"/>
        <v>9.0171145736428815E-2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3.0044438395396056E-2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-9.9998554922702265E-2</v>
      </c>
      <c r="P41" s="13" t="e">
        <f si="29" t="shared"/>
        <v>#DIV/0!</v>
      </c>
      <c r="Q41" s="13">
        <f si="30" t="shared"/>
        <v>2.4539877300613498E-2</v>
      </c>
      <c r="R41" s="13">
        <f si="31" t="shared"/>
        <v>0</v>
      </c>
      <c r="S41" s="13">
        <f si="32" t="shared"/>
        <v>3.1473263462688449E-5</v>
      </c>
      <c r="T41" s="13" t="e">
        <f si="33" t="shared"/>
        <v>#DIV/0!</v>
      </c>
      <c r="U41" s="13">
        <f si="34" t="shared"/>
        <v>-1.1513740762327807E-2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-0.24163142414047722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-1.3301934407472725E-2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2.1967704311906186E-3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-2.3098523612749669E-4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1.4769370597591456E-2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1.0606218834033888E-4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9.6568961599636446E-2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6.9348353914836956E-4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-3.1592136411055051E-4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6.7218895748663381E-4</v>
      </c>
      <c r="N48" s="13">
        <f si="39" t="shared"/>
        <v>9.8537700524220571E-4</v>
      </c>
      <c r="O48" s="13">
        <f si="39" t="shared"/>
        <v>4.5440345346624636E-4</v>
      </c>
      <c r="P48" s="13" t="e">
        <f si="39" t="shared"/>
        <v>#DIV/0!</v>
      </c>
      <c r="Q48" s="13">
        <f si="30" t="shared"/>
        <v>1.9995455578277664E-2</v>
      </c>
      <c r="R48" s="13">
        <f si="31" t="shared"/>
        <v>-5.6767254257543698E-3</v>
      </c>
      <c r="S48" s="13">
        <f si="32" t="shared"/>
        <v>0</v>
      </c>
      <c r="T48" s="13" t="e">
        <f si="33" t="shared"/>
        <v>#DIV/0!</v>
      </c>
      <c r="U48" s="13">
        <f si="34" t="shared"/>
        <v>4.4863747428824652E-3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-9.1773883395877137E-4</v>
      </c>
      <c r="N49" s="17">
        <f si="39" t="shared"/>
        <v>-6.9172244557861567E-3</v>
      </c>
      <c r="O49" s="17">
        <f si="39" t="shared"/>
        <v>-3.2293145726228606E-3</v>
      </c>
      <c r="P49" s="17" t="e">
        <f si="39" t="shared"/>
        <v>#DIV/0!</v>
      </c>
      <c r="Q49" s="17">
        <f si="30" t="shared"/>
        <v>-9.1095890505460859E-3</v>
      </c>
      <c r="R49" s="17">
        <f si="31" t="shared"/>
        <v>5.6767254257544071E-3</v>
      </c>
      <c r="S49" s="17">
        <f si="32" t="shared"/>
        <v>-3.1473263462644674E-5</v>
      </c>
      <c r="T49" s="17" t="e">
        <f si="33" t="shared"/>
        <v>#DIV/0!</v>
      </c>
      <c r="U49" s="13">
        <f si="34" t="shared"/>
        <v>1.0885715238184775E-2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0"/>
  <sheetViews>
    <sheetView topLeftCell="A19" workbookViewId="0">
      <selection activeCell="P34" sqref="P3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57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57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206787.727862</v>
      </c>
      <c r="C5" s="6" t="n">
        <v>3021.0953919999997</v>
      </c>
      <c r="D5" s="6" t="n">
        <v>516.378355</v>
      </c>
      <c r="E5" s="6" t="n">
        <v>239.64227599999998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210564.84388499998</v>
      </c>
      <c r="K5" s="6"/>
      <c r="L5" t="s">
        <v>1</v>
      </c>
      <c r="M5" s="6" t="n">
        <v>203076.0</v>
      </c>
      <c r="N5" s="6" t="n">
        <v>3302.0</v>
      </c>
      <c r="O5" s="6" t="n">
        <v>657.0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206997</v>
      </c>
    </row>
    <row r="6" spans="1:21" x14ac:dyDescent="0.25">
      <c r="A6" t="s">
        <v>12</v>
      </c>
      <c r="B6" s="6" t="n">
        <v>0.0</v>
      </c>
      <c r="C6" s="6" t="n">
        <v>122429.32467</v>
      </c>
      <c r="D6" s="6" t="n">
        <v>465.939057</v>
      </c>
      <c r="E6" s="6" t="n">
        <v>0.0</v>
      </c>
      <c r="F6" s="6" t="n">
        <v>589.603268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123484.866995</v>
      </c>
      <c r="K6" s="6"/>
      <c r="L6" t="s">
        <v>12</v>
      </c>
      <c r="M6" s="6" t="n">
        <v>0.0</v>
      </c>
      <c r="N6" s="6" t="n">
        <v>119475.0</v>
      </c>
      <c r="O6" s="6" t="n">
        <v>13580.0</v>
      </c>
      <c r="P6" s="6" t="n">
        <v>0.0</v>
      </c>
      <c r="Q6" s="6" t="n">
        <v>458.0</v>
      </c>
      <c r="R6" s="6" t="n">
        <v>0.0</v>
      </c>
      <c r="S6" s="6" t="n">
        <v>0.0</v>
      </c>
      <c r="T6" s="6" t="n">
        <v>0.0</v>
      </c>
      <c r="U6" s="6">
        <f si="0" t="shared"/>
        <v>132931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40075.00114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40075.00114</v>
      </c>
      <c r="K7" s="6"/>
      <c r="L7" t="s">
        <v>56</v>
      </c>
      <c r="M7" s="6" t="n">
        <v>0.0</v>
      </c>
      <c r="N7" s="6" t="n">
        <v>0.0</v>
      </c>
      <c r="O7" s="6" t="n">
        <v>57531.0</v>
      </c>
      <c r="P7" s="6" t="n">
        <v>0.0</v>
      </c>
      <c r="Q7" s="6" t="n">
        <v>140.0</v>
      </c>
      <c r="R7" s="6" t="n">
        <v>0.0</v>
      </c>
      <c r="S7" s="6" t="n">
        <v>0.0</v>
      </c>
      <c r="T7" s="6" t="n">
        <v>0.0</v>
      </c>
      <c r="U7" s="6">
        <f si="0" t="shared"/>
        <v>57712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410.522132</v>
      </c>
      <c r="F8" s="6" t="n">
        <v>6660.8717719999995</v>
      </c>
      <c r="G8" s="6" t="n">
        <v>0.0</v>
      </c>
      <c r="H8" s="6" t="n">
        <v>0.0</v>
      </c>
      <c r="I8" s="6" t="n">
        <v>0.0</v>
      </c>
      <c r="J8" s="6">
        <f si="1" t="shared"/>
        <v>7071.3939039999996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1580.0</v>
      </c>
      <c r="R8" s="6" t="n">
        <v>0.0</v>
      </c>
      <c r="S8" s="6" t="n">
        <v>0.0</v>
      </c>
      <c r="T8" s="6" t="n">
        <v>0.0</v>
      </c>
      <c r="U8" s="6">
        <f si="0" t="shared"/>
        <v>1712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274.023486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274.02348599999999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52.0</v>
      </c>
      <c r="R10" s="6" t="n">
        <v>0.0</v>
      </c>
      <c r="S10" s="6" t="n">
        <v>0.0</v>
      </c>
      <c r="T10" s="6" t="n">
        <v>0.0</v>
      </c>
      <c r="U10" s="6">
        <f si="0" t="shared"/>
        <v>39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47.0</v>
      </c>
      <c r="R11" s="6" t="n">
        <v>0.0</v>
      </c>
      <c r="S11" s="6" t="n">
        <v>0.0</v>
      </c>
      <c r="T11" s="6" t="n">
        <v>0.0</v>
      </c>
      <c r="U11" s="6">
        <f si="0" t="shared"/>
        <v>54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177.0</v>
      </c>
      <c r="R12" s="6" t="n">
        <v>0.0</v>
      </c>
      <c r="S12" s="6" t="n">
        <v>0.0</v>
      </c>
      <c r="T12" s="6" t="n">
        <v>0.0</v>
      </c>
      <c r="U12" s="6">
        <f si="0" t="shared"/>
        <v>250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36.310471</v>
      </c>
      <c r="E14" s="6" t="n">
        <v>0.0</v>
      </c>
      <c r="F14" s="6" t="n">
        <v>294.801634</v>
      </c>
      <c r="G14" s="6" t="n">
        <v>1147.5993079999998</v>
      </c>
      <c r="H14" s="6" t="n">
        <v>0.0</v>
      </c>
      <c r="I14" s="6" t="n">
        <v>0.0</v>
      </c>
      <c r="J14" s="6">
        <f si="1" t="shared"/>
        <v>1478.7114129999998</v>
      </c>
      <c r="K14" s="6"/>
      <c r="L14" t="s">
        <v>4</v>
      </c>
      <c r="M14" s="6" t="n">
        <v>130.0</v>
      </c>
      <c r="N14" s="6" t="n">
        <v>32.0</v>
      </c>
      <c r="O14" s="6" t="n">
        <v>14.0</v>
      </c>
      <c r="P14" s="6" t="n">
        <v>0.0</v>
      </c>
      <c r="Q14" s="6" t="n">
        <v>32.0</v>
      </c>
      <c r="R14" s="6" t="n">
        <v>2265.0</v>
      </c>
      <c r="S14" s="6" t="n">
        <v>0.0</v>
      </c>
      <c r="T14" s="6" t="n">
        <v>0.0</v>
      </c>
      <c r="U14" s="6">
        <f si="0" t="shared"/>
        <v>2469</v>
      </c>
    </row>
    <row r="15" spans="1:21" x14ac:dyDescent="0.25">
      <c r="A15" s="4" t="s">
        <v>5</v>
      </c>
      <c r="B15" s="10" t="n">
        <v>1006.491908</v>
      </c>
      <c r="C15" s="10" t="n">
        <v>906.220505</v>
      </c>
      <c r="D15" s="10" t="n">
        <v>122.589898</v>
      </c>
      <c r="E15" s="10" t="n">
        <v>0.0</v>
      </c>
      <c r="F15" s="10" t="n">
        <v>432.451462</v>
      </c>
      <c r="G15" s="10" t="n">
        <v>0.0</v>
      </c>
      <c r="H15" s="10" t="n">
        <v>7898.540781</v>
      </c>
      <c r="I15" s="10" t="n">
        <v>0.0</v>
      </c>
      <c r="J15" s="6">
        <f si="1" t="shared"/>
        <v>10366.294554</v>
      </c>
      <c r="K15" s="6"/>
      <c r="L15" s="4" t="s">
        <v>5</v>
      </c>
      <c r="M15" s="8" t="n">
        <v>357.0</v>
      </c>
      <c r="N15" s="8" t="n">
        <v>40.0</v>
      </c>
      <c r="O15" s="8" t="n">
        <v>14.0</v>
      </c>
      <c r="P15" s="8" t="n">
        <v>0.0</v>
      </c>
      <c r="Q15" s="8" t="n">
        <v>23.0</v>
      </c>
      <c r="R15" s="8" t="n">
        <v>14.0</v>
      </c>
      <c r="S15" s="8" t="n">
        <v>15732.0</v>
      </c>
      <c r="T15" s="8" t="n">
        <v>0.0</v>
      </c>
      <c r="U15" s="6">
        <f si="0" t="shared"/>
        <v>16491</v>
      </c>
    </row>
    <row ht="15.75" r="16" spans="1:21" thickBot="1" x14ac:dyDescent="0.3">
      <c r="A16" s="12" t="s">
        <v>7</v>
      </c>
      <c r="B16" s="16">
        <f ref="B16:J16" si="2" t="shared">SUM(B5:B15)</f>
        <v>207794.21977</v>
      </c>
      <c r="C16" s="16">
        <f si="2" t="shared"/>
        <v>126356.64056700001</v>
      </c>
      <c r="D16" s="16">
        <f si="2" t="shared"/>
        <v>41216.218920999992</v>
      </c>
      <c r="E16" s="16">
        <f si="2" t="shared"/>
        <v>924.18789399999991</v>
      </c>
      <c r="F16" s="16">
        <f si="2" t="shared"/>
        <v>7977.7281359999997</v>
      </c>
      <c r="G16" s="16">
        <f si="2" t="shared"/>
        <v>1147.5993079999998</v>
      </c>
      <c r="H16" s="16">
        <f si="2" t="shared"/>
        <v>7898.5407809999997</v>
      </c>
      <c r="I16" s="16">
        <f si="2" t="shared"/>
        <v>0</v>
      </c>
      <c r="J16" s="16">
        <f si="2" t="shared"/>
        <v>393315.13537700003</v>
      </c>
      <c r="L16" s="9" t="s">
        <v>7</v>
      </c>
      <c r="M16" s="16">
        <f ref="M16:U16" si="3" t="shared">SUM(M5:M15)</f>
        <v>203531</v>
      </c>
      <c r="N16" s="16">
        <f si="3" t="shared"/>
        <v>122185</v>
      </c>
      <c r="O16" s="16">
        <f si="3" t="shared"/>
        <v>71872</v>
      </c>
      <c r="P16" s="16">
        <f si="3" t="shared"/>
        <v>0</v>
      </c>
      <c r="Q16" s="16">
        <f si="3" t="shared"/>
        <v>2743</v>
      </c>
      <c r="R16" s="16">
        <f si="3" t="shared"/>
        <v>2245</v>
      </c>
      <c r="S16" s="16">
        <f si="3" t="shared"/>
        <v>16079</v>
      </c>
      <c r="T16" s="16">
        <f si="3" t="shared"/>
        <v>0</v>
      </c>
      <c r="U16" s="16">
        <f si="3" t="shared"/>
        <v>418655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57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57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0.99515630459252402</v>
      </c>
      <c r="C22" s="13">
        <f si="4" t="shared"/>
        <v>2.390927282051376E-2</v>
      </c>
      <c r="D22" s="13">
        <f si="4" t="shared"/>
        <v>1.2528523200775731E-2</v>
      </c>
      <c r="E22" s="13">
        <f si="4" t="shared"/>
        <v>0.25930038421386203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0.53535911778012202</v>
      </c>
      <c r="K22" s="6"/>
      <c r="L22" t="s">
        <v>1</v>
      </c>
      <c r="M22" s="13">
        <f ref="M22:P22" si="5" t="shared">M5/M$16</f>
        <v>0.99767111643926476</v>
      </c>
      <c r="N22" s="13">
        <f si="5" t="shared"/>
        <v>2.6885460572083315E-2</v>
      </c>
      <c r="O22" s="13">
        <f si="5" t="shared"/>
        <v>9.1134238646482634E-3</v>
      </c>
      <c r="P22" s="13" t="e">
        <f si="5" t="shared"/>
        <v>#DIV/0!</v>
      </c>
      <c r="Q22" s="13">
        <f ref="Q22:U33" si="6" t="shared">Q5/Q$16</f>
        <v>0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0.49443336398705379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0.96891880094803906</v>
      </c>
      <c r="D23" s="13">
        <f si="7" t="shared"/>
        <v>1.1304750149281654E-2</v>
      </c>
      <c r="E23" s="13">
        <f si="7" t="shared"/>
        <v>0</v>
      </c>
      <c r="F23" s="13">
        <f si="7" t="shared"/>
        <v>7.390616199859934E-2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0.31395910273485256</v>
      </c>
      <c r="K23" s="6"/>
      <c r="L23" t="s">
        <v>12</v>
      </c>
      <c r="M23" s="13">
        <f ref="M23:P23" si="8" t="shared">M6/M$16</f>
        <v>0</v>
      </c>
      <c r="N23" s="13">
        <f si="8" t="shared"/>
        <v>0.97242705733109625</v>
      </c>
      <c r="O23" s="13">
        <f si="8" t="shared"/>
        <v>0.18968443900267143</v>
      </c>
      <c r="P23" s="13" t="e">
        <f si="8" t="shared"/>
        <v>#DIV/0!</v>
      </c>
      <c r="Q23" s="13">
        <f si="6" t="shared"/>
        <v>0.17572001458257383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0.31751919838530535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0.97231143926163177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0.10189031017478478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0.80104908726625113</v>
      </c>
      <c r="P24" s="13" t="e">
        <f si="10" t="shared"/>
        <v>#DIV/0!</v>
      </c>
      <c r="Q24" s="13">
        <f si="6" t="shared"/>
        <v>5.0674444039372948E-2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0.13785097514660041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0.44419769471682785</v>
      </c>
      <c r="F25" s="13">
        <f si="11" t="shared"/>
        <v>0.83493341192493098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1.7978951908936669E-2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0.6241341596791834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4.0892859275537133E-3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0.29650192106931017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6.9670211327449493E-4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1.4218009478672985E-2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9.315546213469325E-5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1.9686474662777981E-2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1.2898448603265218E-4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9.1141086401749907E-2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5.9715039829931569E-4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8.8097530415385888E-4</v>
      </c>
      <c r="E31" s="13">
        <f si="23" t="shared"/>
        <v>0</v>
      </c>
      <c r="F31" s="13">
        <f si="23" t="shared"/>
        <v>3.695308099929967E-2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3.7596097378317945E-3</v>
      </c>
      <c r="K31" s="6"/>
      <c r="L31" t="s">
        <v>4</v>
      </c>
      <c r="M31" s="13">
        <f ref="M31:P31" si="24" t="shared">M14/M$16</f>
        <v>7.8612103315956784E-4</v>
      </c>
      <c r="N31" s="13">
        <f si="24" t="shared"/>
        <v>2.7008225232229814E-4</v>
      </c>
      <c r="O31" s="13">
        <f si="24" t="shared"/>
        <v>8.3481745325022263E-5</v>
      </c>
      <c r="P31" s="13" t="e">
        <f si="24" t="shared"/>
        <v>#DIV/0!</v>
      </c>
      <c r="Q31" s="13">
        <f si="6" t="shared"/>
        <v>1.4947138169886985E-2</v>
      </c>
      <c r="R31" s="13">
        <f si="6" t="shared"/>
        <v>0.99287305122494429</v>
      </c>
      <c r="S31" s="13">
        <f si="6" t="shared"/>
        <v>0</v>
      </c>
      <c r="T31" s="13" t="e">
        <f si="6" t="shared"/>
        <v>#DIV/0!</v>
      </c>
      <c r="U31" s="13">
        <f si="6" t="shared"/>
        <v>5.8974573336040411E-3</v>
      </c>
    </row>
    <row r="32" spans="1:21" x14ac:dyDescent="0.25">
      <c r="A32" s="4" t="s">
        <v>5</v>
      </c>
      <c r="B32" s="14">
        <f ref="B32:J32" si="25" t="shared">B15/B$16</f>
        <v>4.843695407475963E-3</v>
      </c>
      <c r="C32" s="14">
        <f si="25" t="shared"/>
        <v>7.1719262314470988E-3</v>
      </c>
      <c r="D32" s="14">
        <f si="25" t="shared"/>
        <v>2.9743120841572265E-3</v>
      </c>
      <c r="E32" s="14">
        <f si="25" t="shared"/>
        <v>0</v>
      </c>
      <c r="F32" s="14">
        <f si="25" t="shared"/>
        <v>5.4207345077169976E-2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2.6356205550197579E-2</v>
      </c>
      <c r="K32" s="6"/>
      <c r="L32" s="4" t="s">
        <v>5</v>
      </c>
      <c r="M32" s="14">
        <f ref="M32:P32" si="26" t="shared">M15/M$16</f>
        <v>1.5427625275756518E-3</v>
      </c>
      <c r="N32" s="14">
        <f si="26" t="shared"/>
        <v>4.1739984449809715E-4</v>
      </c>
      <c r="O32" s="14">
        <f si="26" t="shared"/>
        <v>6.9568121104185215E-5</v>
      </c>
      <c r="P32" s="14" t="e">
        <f si="26" t="shared"/>
        <v>#DIV/0!</v>
      </c>
      <c r="Q32" s="14">
        <f si="6" t="shared"/>
        <v>9.4786729857819912E-3</v>
      </c>
      <c r="R32" s="14">
        <f si="6" t="shared"/>
        <v>7.1269487750556795E-3</v>
      </c>
      <c r="S32" s="14">
        <f si="6" t="shared"/>
        <v>1</v>
      </c>
      <c r="T32" s="14" t="e">
        <f si="6" t="shared"/>
        <v>#DIV/0!</v>
      </c>
      <c r="U32" s="14">
        <f si="6" t="shared"/>
        <v>3.939042887341606E-2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57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2.5148118467407388E-3</v>
      </c>
      <c r="N39" s="13">
        <f si="29" t="shared"/>
        <v>2.9761877515695548E-3</v>
      </c>
      <c r="O39" s="13">
        <f si="29" t="shared"/>
        <v>-3.4150993361274674E-3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-4.0925753793068231E-2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3.5082563830571845E-3</v>
      </c>
      <c r="O40" s="13">
        <f si="29" t="shared"/>
        <v>0.17837968885338978</v>
      </c>
      <c r="P40" s="13" t="e">
        <f si="29" t="shared"/>
        <v>#DIV/0!</v>
      </c>
      <c r="Q40" s="13">
        <f si="30" t="shared"/>
        <v>0.10181385258397449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3.5600956504527881E-3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-0.17126235199538065</v>
      </c>
      <c r="P41" s="13" t="e">
        <f si="29" t="shared"/>
        <v>#DIV/0!</v>
      </c>
      <c r="Q41" s="13">
        <f si="30" t="shared"/>
        <v>5.0674444039372948E-2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3.5960664971815631E-2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-0.21079925224574758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-1.3889665981382956E-2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1.4218009478672985E-2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-6.0354665113980163E-4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1.9686474662777981E-2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1.2898448603265218E-4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9.1141086401749907E-2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5.9715039829931569E-4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7.8612103315956784E-4</v>
      </c>
      <c r="N48" s="13">
        <f si="39" t="shared"/>
        <v>2.7008225232229814E-4</v>
      </c>
      <c r="O48" s="13">
        <f si="39" t="shared"/>
        <v>-7.9749355882883664E-4</v>
      </c>
      <c r="P48" s="13" t="e">
        <f si="39" t="shared"/>
        <v>#DIV/0!</v>
      </c>
      <c r="Q48" s="13">
        <f si="30" t="shared"/>
        <v>-2.2005942829412685E-2</v>
      </c>
      <c r="R48" s="13">
        <f si="31" t="shared"/>
        <v>-7.1269487750557081E-3</v>
      </c>
      <c r="S48" s="13">
        <f si="32" t="shared"/>
        <v>0</v>
      </c>
      <c r="T48" s="13" t="e">
        <f si="33" t="shared"/>
        <v>#DIV/0!</v>
      </c>
      <c r="U48" s="13">
        <f si="34" t="shared"/>
        <v>2.1378475957722467E-3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-3.3009328799003109E-3</v>
      </c>
      <c r="N49" s="17">
        <f si="39" t="shared"/>
        <v>-6.7545263869490018E-3</v>
      </c>
      <c r="O49" s="17">
        <f si="39" t="shared"/>
        <v>-2.9047439630530414E-3</v>
      </c>
      <c r="P49" s="17" t="e">
        <f si="39" t="shared"/>
        <v>#DIV/0!</v>
      </c>
      <c r="Q49" s="17">
        <f si="30" t="shared"/>
        <v>-4.4728672091387985E-2</v>
      </c>
      <c r="R49" s="17">
        <f si="31" t="shared"/>
        <v>7.1269487750556795E-3</v>
      </c>
      <c r="S49" s="17">
        <f si="32" t="shared"/>
        <v>0</v>
      </c>
      <c r="T49" s="17" t="e">
        <f si="33" t="shared"/>
        <v>#DIV/0!</v>
      </c>
      <c r="U49" s="13">
        <f si="34" t="shared"/>
        <v>1.3034223323218481E-2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0"/>
  <sheetViews>
    <sheetView topLeftCell="A19" workbookViewId="0">
      <selection activeCell="Q16" sqref="Q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45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45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43561.842496</v>
      </c>
      <c r="C5" s="6" t="n">
        <v>3072.872361</v>
      </c>
      <c r="D5" s="6" t="n">
        <v>823.9764819999999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47458.691338999997</v>
      </c>
      <c r="K5" s="6"/>
      <c r="L5" t="s">
        <v>1</v>
      </c>
      <c r="M5" s="6" t="n">
        <v>46722.0</v>
      </c>
      <c r="N5" s="6" t="n">
        <v>5642.0</v>
      </c>
      <c r="O5" s="6" t="n">
        <v>1042.0</v>
      </c>
      <c r="P5" s="6" t="n">
        <v>0.0</v>
      </c>
      <c r="Q5" s="6" t="n">
        <v>5.0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53896</v>
      </c>
    </row>
    <row r="6" spans="1:21" x14ac:dyDescent="0.25">
      <c r="A6" t="s">
        <v>12</v>
      </c>
      <c r="B6" s="6" t="n">
        <v>0.0</v>
      </c>
      <c r="C6" s="6" t="n">
        <v>113566.845401</v>
      </c>
      <c r="D6" s="6" t="n">
        <v>1581.480109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115148.32551</v>
      </c>
      <c r="K6" s="6"/>
      <c r="L6" t="s">
        <v>12</v>
      </c>
      <c r="M6" s="6" t="n">
        <v>0.0</v>
      </c>
      <c r="N6" s="6" t="n">
        <v>105436.0</v>
      </c>
      <c r="O6" s="6" t="n">
        <v>9653.0</v>
      </c>
      <c r="P6" s="6" t="n">
        <v>0.0</v>
      </c>
      <c r="Q6" s="6" t="n">
        <v>121.0</v>
      </c>
      <c r="R6" s="6" t="n">
        <v>0.0</v>
      </c>
      <c r="S6" s="6" t="n">
        <v>0.0</v>
      </c>
      <c r="T6" s="6" t="n">
        <v>0.0</v>
      </c>
      <c r="U6" s="6">
        <f si="0" t="shared"/>
        <v>115731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57829.420472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198.865068</v>
      </c>
      <c r="J7" s="6">
        <f si="1" t="shared"/>
        <v>58028.285539999997</v>
      </c>
      <c r="K7" s="6"/>
      <c r="L7" t="s">
        <v>56</v>
      </c>
      <c r="M7" s="6" t="n">
        <v>0.0</v>
      </c>
      <c r="N7" s="6" t="n">
        <v>0.0</v>
      </c>
      <c r="O7" s="6" t="n">
        <v>44976.0</v>
      </c>
      <c r="P7" s="6" t="n">
        <v>0.0</v>
      </c>
      <c r="Q7" s="6" t="n">
        <v>37.0</v>
      </c>
      <c r="R7" s="6" t="n">
        <v>0.0</v>
      </c>
      <c r="S7" s="6" t="n">
        <v>0.0</v>
      </c>
      <c r="T7" s="6" t="n">
        <v>0.0</v>
      </c>
      <c r="U7" s="6">
        <f si="0" t="shared"/>
        <v>45053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50.073322</v>
      </c>
      <c r="G8" s="6" t="n">
        <v>0.0</v>
      </c>
      <c r="H8" s="6" t="n">
        <v>0.0</v>
      </c>
      <c r="I8" s="6" t="n">
        <v>0.0</v>
      </c>
      <c r="J8" s="6">
        <f si="1" t="shared"/>
        <v>50.073321999999997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648.0</v>
      </c>
      <c r="R8" s="6" t="n">
        <v>0.0</v>
      </c>
      <c r="S8" s="6" t="n">
        <v>0.0</v>
      </c>
      <c r="T8" s="6" t="n">
        <v>0.0</v>
      </c>
      <c r="U8" s="6">
        <f si="0" t="shared"/>
        <v>625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26.0</v>
      </c>
      <c r="R10" s="6" t="n">
        <v>0.0</v>
      </c>
      <c r="S10" s="6" t="n">
        <v>0.0</v>
      </c>
      <c r="T10" s="6" t="n">
        <v>0.0</v>
      </c>
      <c r="U10" s="6">
        <f si="0" t="shared"/>
        <v>21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14.0</v>
      </c>
      <c r="R11" s="6" t="n">
        <v>0.0</v>
      </c>
      <c r="S11" s="6" t="n">
        <v>0.0</v>
      </c>
      <c r="T11" s="6" t="n">
        <v>0.0</v>
      </c>
      <c r="U11" s="6">
        <f si="0" t="shared"/>
        <v>18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92.0</v>
      </c>
      <c r="R12" s="6" t="n">
        <v>0.0</v>
      </c>
      <c r="S12" s="6" t="n">
        <v>0.0</v>
      </c>
      <c r="T12" s="6" t="n">
        <v>0.0</v>
      </c>
      <c r="U12" s="6">
        <f si="0" t="shared"/>
        <v>110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198.865068</v>
      </c>
      <c r="J13" s="6">
        <f si="1" t="shared"/>
        <v>198.86506800000001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931.9734090000001</v>
      </c>
      <c r="H14" s="6" t="n">
        <v>0.0</v>
      </c>
      <c r="I14" s="6" t="n">
        <v>0.0</v>
      </c>
      <c r="J14" s="6">
        <f si="1" t="shared"/>
        <v>931.97340900000006</v>
      </c>
      <c r="K14" s="6"/>
      <c r="L14" t="s">
        <v>4</v>
      </c>
      <c r="M14" s="6" t="n">
        <v>21.0</v>
      </c>
      <c r="N14" s="6" t="n">
        <v>57.0</v>
      </c>
      <c r="O14" s="6" t="n">
        <v>13.0</v>
      </c>
      <c r="P14" s="6" t="n">
        <v>0.0</v>
      </c>
      <c r="Q14" s="6" t="n">
        <v>13.0</v>
      </c>
      <c r="R14" s="6" t="n">
        <v>377.0</v>
      </c>
      <c r="S14" s="6" t="n">
        <v>0.0</v>
      </c>
      <c r="T14" s="6" t="n">
        <v>0.0</v>
      </c>
      <c r="U14" s="6">
        <f si="0" t="shared"/>
        <v>557</v>
      </c>
    </row>
    <row r="15" spans="1:21" x14ac:dyDescent="0.25">
      <c r="A15" s="4" t="s">
        <v>5</v>
      </c>
      <c r="B15" s="10" t="n">
        <v>694.466149</v>
      </c>
      <c r="C15" s="10" t="n">
        <v>267.478341</v>
      </c>
      <c r="D15" s="10" t="n">
        <v>249.116791</v>
      </c>
      <c r="E15" s="10" t="n">
        <v>0.0</v>
      </c>
      <c r="F15" s="10" t="n">
        <v>0.0</v>
      </c>
      <c r="G15" s="10" t="n">
        <v>0.0</v>
      </c>
      <c r="H15" s="10" t="n">
        <v>5309.741854</v>
      </c>
      <c r="I15" s="10" t="n">
        <v>0.0</v>
      </c>
      <c r="J15" s="6">
        <f si="1" t="shared"/>
        <v>6520.8031350000001</v>
      </c>
      <c r="K15" s="6"/>
      <c r="L15" s="4" t="s">
        <v>5</v>
      </c>
      <c r="M15" s="8" t="n">
        <v>31.0</v>
      </c>
      <c r="N15" s="8" t="n">
        <v>26.0</v>
      </c>
      <c r="O15" s="8" t="n">
        <v>6.0</v>
      </c>
      <c r="P15" s="8" t="n">
        <v>0.0</v>
      </c>
      <c r="Q15" s="8" t="n">
        <v>6.0</v>
      </c>
      <c r="R15" s="8" t="n">
        <v>3.0</v>
      </c>
      <c r="S15" s="8" t="n">
        <v>5953.0</v>
      </c>
      <c r="T15" s="8" t="n">
        <v>0.0</v>
      </c>
      <c r="U15" s="6">
        <f si="0" t="shared"/>
        <v>6411</v>
      </c>
    </row>
    <row ht="15.75" r="16" spans="1:21" thickBot="1" x14ac:dyDescent="0.3">
      <c r="A16" s="12" t="s">
        <v>7</v>
      </c>
      <c r="B16" s="16">
        <f ref="B16:J16" si="2" t="shared">SUM(B5:B15)</f>
        <v>44256.308644999997</v>
      </c>
      <c r="C16" s="16">
        <f si="2" t="shared"/>
        <v>116907.19610299999</v>
      </c>
      <c r="D16" s="16">
        <f si="2" t="shared"/>
        <v>60483.993854</v>
      </c>
      <c r="E16" s="16">
        <f si="2" t="shared"/>
        <v>0</v>
      </c>
      <c r="F16" s="16">
        <f si="2" t="shared"/>
        <v>50.073321999999997</v>
      </c>
      <c r="G16" s="16">
        <f si="2" t="shared"/>
        <v>931.97340900000006</v>
      </c>
      <c r="H16" s="16">
        <f si="2" t="shared"/>
        <v>5309.7418539999999</v>
      </c>
      <c r="I16" s="16">
        <f si="2" t="shared"/>
        <v>397.73013600000002</v>
      </c>
      <c r="J16" s="16">
        <f si="2" t="shared"/>
        <v>228337.01732300004</v>
      </c>
      <c r="L16" s="9" t="s">
        <v>7</v>
      </c>
      <c r="M16" s="16">
        <f ref="M16:U16" si="3" t="shared">SUM(M5:M15)</f>
        <v>47205</v>
      </c>
      <c r="N16" s="16">
        <f si="3" t="shared"/>
        <v>111947</v>
      </c>
      <c r="O16" s="16">
        <f si="3" t="shared"/>
        <v>55539</v>
      </c>
      <c r="P16" s="16">
        <f si="3" t="shared"/>
        <v>0</v>
      </c>
      <c r="Q16" s="16">
        <f si="3" t="shared"/>
        <v>967</v>
      </c>
      <c r="R16" s="16">
        <f si="3" t="shared"/>
        <v>437</v>
      </c>
      <c r="S16" s="16">
        <f si="3" t="shared"/>
        <v>6327</v>
      </c>
      <c r="T16" s="16">
        <f si="3" t="shared"/>
        <v>0</v>
      </c>
      <c r="U16" s="16">
        <f si="3" t="shared"/>
        <v>222422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45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45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0.98430808690867944</v>
      </c>
      <c r="C22" s="13">
        <f si="4" t="shared"/>
        <v>2.6284715256472961E-2</v>
      </c>
      <c r="D22" s="13">
        <f si="4" t="shared"/>
        <v>1.3623050157517131E-2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0.20784492981208597</v>
      </c>
      <c r="K22" s="6"/>
      <c r="L22" t="s">
        <v>1</v>
      </c>
      <c r="M22" s="13">
        <f ref="M22:P22" si="5" t="shared">M5/M$16</f>
        <v>0.99855947463192463</v>
      </c>
      <c r="N22" s="13">
        <f si="5" t="shared"/>
        <v>5.1274263714078984E-2</v>
      </c>
      <c r="O22" s="13">
        <f si="5" t="shared"/>
        <v>1.831145681413061E-2</v>
      </c>
      <c r="P22" s="13" t="e">
        <f si="5" t="shared"/>
        <v>#DIV/0!</v>
      </c>
      <c r="Q22" s="13">
        <f ref="Q22:U33" si="6" t="shared">Q5/Q$16</f>
        <v>2.0682523267838678E-3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0.24231415957054608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0.97142733028121719</v>
      </c>
      <c r="D23" s="13">
        <f si="7" t="shared"/>
        <v>2.6147084678592395E-2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0.50429109944584216</v>
      </c>
      <c r="K23" s="6"/>
      <c r="L23" t="s">
        <v>12</v>
      </c>
      <c r="M23" s="13">
        <f ref="M23:P23" si="8" t="shared">M6/M$16</f>
        <v>0</v>
      </c>
      <c r="N23" s="13">
        <f si="8" t="shared"/>
        <v>0.94785032202738795</v>
      </c>
      <c r="O23" s="13">
        <f si="8" t="shared"/>
        <v>0.17099695709321378</v>
      </c>
      <c r="P23" s="13" t="e">
        <f si="8" t="shared"/>
        <v>#DIV/0!</v>
      </c>
      <c r="Q23" s="13">
        <f si="6" t="shared"/>
        <v>0.12926577042399173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0.52032173076404309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0.95611114258744589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0.25413437654707816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0.81038549487747347</v>
      </c>
      <c r="P24" s="13" t="e">
        <f si="10" t="shared"/>
        <v>#DIV/0!</v>
      </c>
      <c r="Q24" s="13">
        <f si="6" t="shared"/>
        <v>4.6535677352637021E-2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0.20255640179478648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2.192956822641135E-4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0.64632885211995861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2.8099738335236623E-3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2.1716649431230611E-2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9.4415120806395049E-5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1.8614270941054809E-2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8.0927246405481474E-5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0.11375387797311272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4.9455539470016452E-4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8.7092785187208727E-4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4.081569514774089E-3</v>
      </c>
      <c r="K31" s="6"/>
      <c r="L31" t="s">
        <v>4</v>
      </c>
      <c r="M31" s="13">
        <f ref="M31:P31" si="24" t="shared">M14/M$16</f>
        <v>7.2026268403770782E-4</v>
      </c>
      <c r="N31" s="13">
        <f si="24" t="shared"/>
        <v>5.2703511483112543E-4</v>
      </c>
      <c r="O31" s="13">
        <f si="24" t="shared"/>
        <v>2.5207511838527884E-4</v>
      </c>
      <c r="P31" s="13" t="e">
        <f si="24" t="shared"/>
        <v>#DIV/0!</v>
      </c>
      <c r="Q31" s="13">
        <f si="6" t="shared"/>
        <v>1.4477766287487074E-2</v>
      </c>
      <c r="R31" s="13">
        <f si="6" t="shared"/>
        <v>0.99771167048054921</v>
      </c>
      <c r="S31" s="13">
        <f si="6" t="shared"/>
        <v>0</v>
      </c>
      <c r="T31" s="13" t="e">
        <f si="6" t="shared"/>
        <v>#DIV/0!</v>
      </c>
      <c r="U31" s="13">
        <f si="6" t="shared"/>
        <v>2.5042486804362878E-3</v>
      </c>
    </row>
    <row r="32" spans="1:21" x14ac:dyDescent="0.25">
      <c r="A32" s="4" t="s">
        <v>5</v>
      </c>
      <c r="B32" s="14">
        <f ref="B32:J32" si="25" t="shared">B15/B$16</f>
        <v>1.5691913091320588E-2</v>
      </c>
      <c r="C32" s="14">
        <f si="25" t="shared"/>
        <v>2.2879544623099221E-3</v>
      </c>
      <c r="D32" s="14">
        <f si="25" t="shared"/>
        <v>4.1187225764444972E-3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2.8557801146083243E-2</v>
      </c>
      <c r="K32" s="6"/>
      <c r="L32" s="4" t="s">
        <v>5</v>
      </c>
      <c r="M32" s="14">
        <f ref="M32:P32" si="26" t="shared">M15/M$16</f>
        <v>7.2026268403770782E-4</v>
      </c>
      <c r="N32" s="14">
        <f si="26" t="shared"/>
        <v>3.4837914370193035E-4</v>
      </c>
      <c r="O32" s="14">
        <f si="26" t="shared"/>
        <v>5.4016096796845461E-5</v>
      </c>
      <c r="P32" s="14" t="e">
        <f si="26" t="shared"/>
        <v>#DIV/0!</v>
      </c>
      <c r="Q32" s="14">
        <f si="6" t="shared"/>
        <v>7.2388831437435368E-3</v>
      </c>
      <c r="R32" s="14">
        <f si="6" t="shared"/>
        <v>2.2883295194508009E-3</v>
      </c>
      <c r="S32" s="14">
        <f si="6" t="shared"/>
        <v>1</v>
      </c>
      <c r="T32" s="14" t="e">
        <f si="6" t="shared"/>
        <v>#DIV/0!</v>
      </c>
      <c r="U32" s="14">
        <f si="6" t="shared"/>
        <v>2.8823587594752318E-2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45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1.425138772324519E-2</v>
      </c>
      <c r="N39" s="13">
        <f si="29" t="shared"/>
        <v>2.4989548457606023E-2</v>
      </c>
      <c r="O39" s="13">
        <f si="29" t="shared"/>
        <v>4.6884066566134797E-3</v>
      </c>
      <c r="P39" s="13" t="e">
        <f si="29" t="shared"/>
        <v>#DIV/0!</v>
      </c>
      <c r="Q39" s="13">
        <f ref="Q39:Q50" si="30" t="shared">Q22-F22</f>
        <v>2.0682523267838678E-3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3.4469229758460118E-2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-2.3577008253829246E-2</v>
      </c>
      <c r="O40" s="13">
        <f si="29" t="shared"/>
        <v>0.14484987241462138</v>
      </c>
      <c r="P40" s="13" t="e">
        <f si="29" t="shared"/>
        <v>#DIV/0!</v>
      </c>
      <c r="Q40" s="13">
        <f si="30" t="shared"/>
        <v>0.12926577042399173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1.6030631318200927E-2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-0.14572564770997243</v>
      </c>
      <c r="P41" s="13" t="e">
        <f si="29" t="shared"/>
        <v>#DIV/0!</v>
      </c>
      <c r="Q41" s="13">
        <f si="30" t="shared"/>
        <v>4.6535677352637021E-2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-5.1577974752291672E-2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-0.35367114788004139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2.5906781512595486E-3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2.1716649431230611E-2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9.4415120806395049E-5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1.8614270941054809E-2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8.0927246405481474E-5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0.11375387797311272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4.9455539470016452E-4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-8.7092785187208727E-4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7.2026268403770782E-4</v>
      </c>
      <c r="N48" s="13">
        <f si="39" t="shared"/>
        <v>5.2703511483112543E-4</v>
      </c>
      <c r="O48" s="13">
        <f si="39" t="shared"/>
        <v>2.5207511838527884E-4</v>
      </c>
      <c r="P48" s="13" t="e">
        <f si="39" t="shared"/>
        <v>#DIV/0!</v>
      </c>
      <c r="Q48" s="13">
        <f si="30" t="shared"/>
        <v>1.4477766287487074E-2</v>
      </c>
      <c r="R48" s="13">
        <f si="31" t="shared"/>
        <v>-2.2883295194507935E-3</v>
      </c>
      <c r="S48" s="13">
        <f si="32" t="shared"/>
        <v>0</v>
      </c>
      <c r="T48" s="13" t="e">
        <f si="33" t="shared"/>
        <v>#DIV/0!</v>
      </c>
      <c r="U48" s="13">
        <f si="34" t="shared"/>
        <v>-1.5773208343378012E-3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-1.4971650407282881E-2</v>
      </c>
      <c r="N49" s="17">
        <f si="39" t="shared"/>
        <v>-1.9395753186079918E-3</v>
      </c>
      <c r="O49" s="17">
        <f si="39" t="shared"/>
        <v>-4.0647064796476519E-3</v>
      </c>
      <c r="P49" s="17" t="e">
        <f si="39" t="shared"/>
        <v>#DIV/0!</v>
      </c>
      <c r="Q49" s="17">
        <f si="30" t="shared"/>
        <v>7.2388831437435368E-3</v>
      </c>
      <c r="R49" s="17">
        <f si="31" t="shared"/>
        <v>2.2883295194508009E-3</v>
      </c>
      <c r="S49" s="17">
        <f si="32" t="shared"/>
        <v>0</v>
      </c>
      <c r="T49" s="17" t="e">
        <f si="33" t="shared"/>
        <v>#DIV/0!</v>
      </c>
      <c r="U49" s="13">
        <f si="34" t="shared"/>
        <v>2.6578644866907461E-4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0"/>
  <sheetViews>
    <sheetView workbookViewId="0">
      <selection activeCell="V44" sqref="V4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46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46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54169.02755</v>
      </c>
      <c r="C5" s="6" t="n">
        <v>3026.817092</v>
      </c>
      <c r="D5" s="6" t="n">
        <v>2511.410736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59707.255377999994</v>
      </c>
      <c r="K5" s="6"/>
      <c r="L5" t="s">
        <v>1</v>
      </c>
      <c r="M5" s="6" t="n">
        <v>167856.0</v>
      </c>
      <c r="N5" s="6" t="n">
        <v>13055.0</v>
      </c>
      <c r="O5" s="6" t="n">
        <v>2882.0</v>
      </c>
      <c r="P5" s="6" t="n">
        <v>0.0</v>
      </c>
      <c r="Q5" s="6" t="n">
        <v>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183381</v>
      </c>
    </row>
    <row r="6" spans="1:21" x14ac:dyDescent="0.25">
      <c r="A6" t="s">
        <v>12</v>
      </c>
      <c r="B6" s="6" t="n">
        <v>0.0</v>
      </c>
      <c r="C6" s="6" t="n">
        <v>54819.591454</v>
      </c>
      <c r="D6" s="6" t="n">
        <v>2790.6436400000002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57610.235094000003</v>
      </c>
      <c r="K6" s="6"/>
      <c r="L6" t="s">
        <v>12</v>
      </c>
      <c r="M6" s="6" t="n">
        <v>0.0</v>
      </c>
      <c r="N6" s="6" t="n">
        <v>168638.0</v>
      </c>
      <c r="O6" s="6" t="n">
        <v>20359.0</v>
      </c>
      <c r="P6" s="6" t="n">
        <v>0.0</v>
      </c>
      <c r="Q6" s="6" t="n">
        <v>219.0</v>
      </c>
      <c r="R6" s="6" t="n">
        <v>0.0</v>
      </c>
      <c r="S6" s="6" t="n">
        <v>0.0</v>
      </c>
      <c r="T6" s="6" t="n">
        <v>0.0</v>
      </c>
      <c r="U6" s="6">
        <f si="0" t="shared"/>
        <v>189101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43084.950145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43084.950145000003</v>
      </c>
      <c r="K7" s="6"/>
      <c r="L7" t="s">
        <v>56</v>
      </c>
      <c r="M7" s="6" t="n">
        <v>0.0</v>
      </c>
      <c r="N7" s="6" t="n">
        <v>0.0</v>
      </c>
      <c r="O7" s="6" t="n">
        <v>99536.0</v>
      </c>
      <c r="P7" s="6" t="n">
        <v>0.0</v>
      </c>
      <c r="Q7" s="6" t="n">
        <v>80.0</v>
      </c>
      <c r="R7" s="6" t="n">
        <v>0.0</v>
      </c>
      <c r="S7" s="6" t="n">
        <v>0.0</v>
      </c>
      <c r="T7" s="6" t="n">
        <v>0.0</v>
      </c>
      <c r="U7" s="6">
        <f si="0" t="shared"/>
        <v>99339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383.022944</v>
      </c>
      <c r="G8" s="6" t="n">
        <v>0.0</v>
      </c>
      <c r="H8" s="6" t="n">
        <v>0.0</v>
      </c>
      <c r="I8" s="6" t="n">
        <v>0.0</v>
      </c>
      <c r="J8" s="6">
        <f si="1" t="shared"/>
        <v>383.022944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1808.0</v>
      </c>
      <c r="R8" s="6" t="n">
        <v>0.0</v>
      </c>
      <c r="S8" s="6" t="n">
        <v>0.0</v>
      </c>
      <c r="T8" s="6" t="n">
        <v>0.0</v>
      </c>
      <c r="U8" s="6">
        <f si="0" t="shared"/>
        <v>1972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47.0</v>
      </c>
      <c r="R10" s="6" t="n">
        <v>0.0</v>
      </c>
      <c r="S10" s="6" t="n">
        <v>0.0</v>
      </c>
      <c r="T10" s="6" t="n">
        <v>0.0</v>
      </c>
      <c r="U10" s="6">
        <f si="0" t="shared"/>
        <v>60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36.0</v>
      </c>
      <c r="R11" s="6" t="n">
        <v>0.0</v>
      </c>
      <c r="S11" s="6" t="n">
        <v>0.0</v>
      </c>
      <c r="T11" s="6" t="n">
        <v>0.0</v>
      </c>
      <c r="U11" s="6">
        <f si="0" t="shared"/>
        <v>38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209.0</v>
      </c>
      <c r="R12" s="6" t="n">
        <v>0.0</v>
      </c>
      <c r="S12" s="6" t="n">
        <v>0.0</v>
      </c>
      <c r="T12" s="6" t="n">
        <v>0.0</v>
      </c>
      <c r="U12" s="6">
        <f si="0" t="shared"/>
        <v>247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606.309166</v>
      </c>
      <c r="H14" s="6" t="n">
        <v>0.0</v>
      </c>
      <c r="I14" s="6" t="n">
        <v>0.0</v>
      </c>
      <c r="J14" s="6">
        <f si="1" t="shared"/>
        <v>606.309166</v>
      </c>
      <c r="K14" s="6"/>
      <c r="L14" t="s">
        <v>4</v>
      </c>
      <c r="M14" s="6" t="n">
        <v>113.0</v>
      </c>
      <c r="N14" s="6" t="n">
        <v>187.0</v>
      </c>
      <c r="O14" s="6" t="n">
        <v>65.0</v>
      </c>
      <c r="P14" s="6" t="n">
        <v>0.0</v>
      </c>
      <c r="Q14" s="6" t="n">
        <v>38.0</v>
      </c>
      <c r="R14" s="6" t="n">
        <v>4814.0</v>
      </c>
      <c r="S14" s="6" t="n">
        <v>0.0</v>
      </c>
      <c r="T14" s="6" t="n">
        <v>0.0</v>
      </c>
      <c r="U14" s="6">
        <f si="0" t="shared"/>
        <v>5301</v>
      </c>
    </row>
    <row r="15" spans="1:21" x14ac:dyDescent="0.25">
      <c r="A15" s="4" t="s">
        <v>5</v>
      </c>
      <c r="B15" s="10" t="n">
        <v>101.825162</v>
      </c>
      <c r="C15" s="10" t="n">
        <v>1295.62815</v>
      </c>
      <c r="D15" s="10" t="n">
        <v>35.588113</v>
      </c>
      <c r="E15" s="10" t="n">
        <v>0.0</v>
      </c>
      <c r="F15" s="10" t="n">
        <v>33.362385</v>
      </c>
      <c r="G15" s="10" t="n">
        <v>0.0</v>
      </c>
      <c r="H15" s="10" t="n">
        <v>18683.362838</v>
      </c>
      <c r="I15" s="10" t="n">
        <v>0.0</v>
      </c>
      <c r="J15" s="6">
        <f si="1" t="shared"/>
        <v>20149.766648000001</v>
      </c>
      <c r="K15" s="6"/>
      <c r="L15" s="4" t="s">
        <v>5</v>
      </c>
      <c r="M15" s="8" t="n">
        <v>122.0</v>
      </c>
      <c r="N15" s="8" t="n">
        <v>80.0</v>
      </c>
      <c r="O15" s="8" t="n">
        <v>24.0</v>
      </c>
      <c r="P15" s="8" t="n">
        <v>0.0</v>
      </c>
      <c r="Q15" s="8" t="n">
        <v>26.0</v>
      </c>
      <c r="R15" s="8" t="n">
        <v>24.0</v>
      </c>
      <c r="S15" s="8" t="n">
        <v>32807.0</v>
      </c>
      <c r="T15" s="8" t="n">
        <v>0.0</v>
      </c>
      <c r="U15" s="6">
        <f si="0" t="shared"/>
        <v>32227</v>
      </c>
    </row>
    <row ht="15.75" r="16" spans="1:21" thickBot="1" x14ac:dyDescent="0.3">
      <c r="A16" s="12" t="s">
        <v>7</v>
      </c>
      <c r="B16" s="16">
        <f ref="B16:J16" si="2" t="shared">SUM(B5:B15)</f>
        <v>54270.852712</v>
      </c>
      <c r="C16" s="16">
        <f si="2" t="shared"/>
        <v>59142.036695999996</v>
      </c>
      <c r="D16" s="16">
        <f si="2" t="shared"/>
        <v>48422.592634000001</v>
      </c>
      <c r="E16" s="16">
        <f si="2" t="shared"/>
        <v>0</v>
      </c>
      <c r="F16" s="16">
        <f si="2" t="shared"/>
        <v>416.38532900000001</v>
      </c>
      <c r="G16" s="16">
        <f si="2" t="shared"/>
        <v>606.309166</v>
      </c>
      <c r="H16" s="16">
        <f si="2" t="shared"/>
        <v>18683.362838000001</v>
      </c>
      <c r="I16" s="16">
        <f si="2" t="shared"/>
        <v>0</v>
      </c>
      <c r="J16" s="16">
        <f si="2" t="shared"/>
        <v>181541.53937499999</v>
      </c>
      <c r="L16" s="9" t="s">
        <v>7</v>
      </c>
      <c r="M16" s="16">
        <f ref="M16:U16" si="3" t="shared">SUM(M5:M15)</f>
        <v>167727</v>
      </c>
      <c r="N16" s="16">
        <f si="3" t="shared"/>
        <v>181687</v>
      </c>
      <c r="O16" s="16">
        <f si="3" t="shared"/>
        <v>122659</v>
      </c>
      <c r="P16" s="16">
        <f si="3" t="shared"/>
        <v>0</v>
      </c>
      <c r="Q16" s="16">
        <f si="3" t="shared"/>
        <v>2735</v>
      </c>
      <c r="R16" s="16">
        <f si="3" t="shared"/>
        <v>4927</v>
      </c>
      <c r="S16" s="16">
        <f si="3" t="shared"/>
        <v>31931</v>
      </c>
      <c r="T16" s="16">
        <f si="3" t="shared"/>
        <v>0</v>
      </c>
      <c r="U16" s="16">
        <f si="3" t="shared"/>
        <v>511666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46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46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0.9981237596810878</v>
      </c>
      <c r="C22" s="13">
        <f si="4" t="shared"/>
        <v>5.1178776739772225E-2</v>
      </c>
      <c r="D22" s="13">
        <f si="4" t="shared"/>
        <v>5.186444176961745E-2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0.32889032220149972</v>
      </c>
      <c r="K22" s="6"/>
      <c r="L22" t="s">
        <v>1</v>
      </c>
      <c r="M22" s="13">
        <f ref="M22:P22" si="5" t="shared">M5/M$16</f>
        <v>0.9984796723246705</v>
      </c>
      <c r="N22" s="13">
        <f si="5" t="shared"/>
        <v>7.167821583272331E-2</v>
      </c>
      <c r="O22" s="13">
        <f si="5" t="shared"/>
        <v>2.3487881036043014E-2</v>
      </c>
      <c r="P22" s="13" t="e">
        <f si="5" t="shared"/>
        <v>#DIV/0!</v>
      </c>
      <c r="Q22" s="13">
        <f ref="Q22:U33" si="6" t="shared">Q5/Q$16</f>
        <v>1.8281535648994515E-3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0.35839981550464561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0.92691416319972053</v>
      </c>
      <c r="D23" s="13">
        <f si="7" t="shared"/>
        <v>5.7631024862566847E-2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0.31733913512211565</v>
      </c>
      <c r="K23" s="6"/>
      <c r="L23" t="s">
        <v>12</v>
      </c>
      <c r="M23" s="13">
        <f ref="M23:P23" si="8" t="shared">M6/M$16</f>
        <v>0</v>
      </c>
      <c r="N23" s="13">
        <f si="8" t="shared"/>
        <v>0.92689075167733515</v>
      </c>
      <c r="O23" s="13">
        <f si="8" t="shared"/>
        <v>0.1665674756846216</v>
      </c>
      <c r="P23" s="13" t="e">
        <f si="8" t="shared"/>
        <v>#DIV/0!</v>
      </c>
      <c r="Q23" s="13">
        <f si="6" t="shared"/>
        <v>9.7257769652650816E-2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0.36957898316479892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0.889769584843498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0.23732832878541302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0.80917829103449401</v>
      </c>
      <c r="P24" s="13" t="e">
        <f si="10" t="shared"/>
        <v>#DIV/0!</v>
      </c>
      <c r="Q24" s="13">
        <f si="6" t="shared"/>
        <v>3.144424131627057E-2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0.19414813569789668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0.91987617556045065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2.1098363785976904E-3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0.72102376599634366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3.8540766828360691E-3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2.1937842778793418E-2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1.172639964351745E-4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1.3893967093235832E-2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7.4267197742277182E-5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9.0310786106032909E-2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4.8273678532480171E-4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3.3397820029915123E-3</v>
      </c>
      <c r="K31" s="6"/>
      <c r="L31" t="s">
        <v>4</v>
      </c>
      <c r="M31" s="13">
        <f ref="M31:P31" si="24" t="shared">M14/M$16</f>
        <v>6.8563797122705343E-4</v>
      </c>
      <c r="N31" s="13">
        <f si="24" t="shared"/>
        <v>9.3567508957712985E-4</v>
      </c>
      <c r="O31" s="13">
        <f si="24" t="shared"/>
        <v>5.46229791535884E-4</v>
      </c>
      <c r="P31" s="13" t="e">
        <f si="24" t="shared"/>
        <v>#DIV/0!</v>
      </c>
      <c r="Q31" s="13">
        <f si="6" t="shared"/>
        <v>1.4990859232175503E-2</v>
      </c>
      <c r="R31" s="13">
        <f si="6" t="shared"/>
        <v>0.99614369799066371</v>
      </c>
      <c r="S31" s="13">
        <f si="6" t="shared"/>
        <v>0</v>
      </c>
      <c r="T31" s="13" t="e">
        <f si="6" t="shared"/>
        <v>#DIV/0!</v>
      </c>
      <c r="U31" s="13">
        <f si="6" t="shared"/>
        <v>1.0360274085047668E-2</v>
      </c>
    </row>
    <row r="32" spans="1:21" x14ac:dyDescent="0.25">
      <c r="A32" s="4" t="s">
        <v>5</v>
      </c>
      <c r="B32" s="14">
        <f ref="B32:J32" si="25" t="shared">B15/B$16</f>
        <v>1.8762403189122017E-3</v>
      </c>
      <c r="C32" s="14">
        <f si="25" t="shared"/>
        <v>2.1907060060507324E-2</v>
      </c>
      <c r="D32" s="14">
        <f si="25" t="shared"/>
        <v>7.3494852431779439E-4</v>
      </c>
      <c r="E32" s="14" t="e">
        <f si="25" t="shared"/>
        <v>#DIV/0!</v>
      </c>
      <c r="F32" s="14">
        <f si="25" t="shared"/>
        <v>8.0123824439549365E-2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0.11099259550938245</v>
      </c>
      <c r="K32" s="6"/>
      <c r="L32" s="4" t="s">
        <v>5</v>
      </c>
      <c r="M32" s="14">
        <f ref="M32:P32" si="26" t="shared">M15/M$16</f>
        <v>8.3468970410249994E-4</v>
      </c>
      <c r="N32" s="14">
        <f si="26" t="shared"/>
        <v>4.9535740036436285E-4</v>
      </c>
      <c r="O32" s="14">
        <f si="26" t="shared"/>
        <v>2.201224533055055E-4</v>
      </c>
      <c r="P32" s="14" t="e">
        <f si="26" t="shared"/>
        <v>#DIV/0!</v>
      </c>
      <c r="Q32" s="14">
        <f si="6" t="shared"/>
        <v>7.3126142595978062E-3</v>
      </c>
      <c r="R32" s="14">
        <f si="6" t="shared"/>
        <v>3.8563020093363102E-3</v>
      </c>
      <c r="S32" s="14">
        <f si="6" t="shared"/>
        <v>1</v>
      </c>
      <c r="T32" s="14" t="e">
        <f si="6" t="shared"/>
        <v>#DIV/0!</v>
      </c>
      <c r="U32" s="14">
        <f si="6" t="shared"/>
        <v>6.2984446885272813E-2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46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3.5591264358270092E-4</v>
      </c>
      <c r="N39" s="13">
        <f si="29" t="shared"/>
        <v>2.0499439092951086E-2</v>
      </c>
      <c r="O39" s="13">
        <f si="29" t="shared"/>
        <v>-2.8376560733574436E-2</v>
      </c>
      <c r="P39" s="13" t="e">
        <f si="29" t="shared"/>
        <v>#DIV/0!</v>
      </c>
      <c r="Q39" s="13">
        <f ref="Q39:Q50" si="30" t="shared">Q22-F22</f>
        <v>1.8281535648994515E-3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2.9509493303145895E-2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-2.3411522385385908E-5</v>
      </c>
      <c r="O40" s="13">
        <f si="29" t="shared"/>
        <v>0.10893645082205475</v>
      </c>
      <c r="P40" s="13" t="e">
        <f si="29" t="shared"/>
        <v>#DIV/0!</v>
      </c>
      <c r="Q40" s="13">
        <f si="30" t="shared"/>
        <v>9.7257769652650816E-2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5.2239848042683279E-2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-8.0591293809003983E-2</v>
      </c>
      <c r="P41" s="13" t="e">
        <f si="29" t="shared"/>
        <v>#DIV/0!</v>
      </c>
      <c r="Q41" s="13">
        <f si="30" t="shared"/>
        <v>3.144424131627057E-2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-4.3180193087516333E-2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-0.19885240956410699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1.7442403042383786E-3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2.1937842778793418E-2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1.172639964351745E-4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1.3893967093235832E-2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7.4267197742277182E-5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9.0310786106032909E-2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4.8273678532480171E-4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6.8563797122705343E-4</v>
      </c>
      <c r="N48" s="13">
        <f si="39" t="shared"/>
        <v>9.3567508957712985E-4</v>
      </c>
      <c r="O48" s="13">
        <f si="39" t="shared"/>
        <v>5.46229791535884E-4</v>
      </c>
      <c r="P48" s="13" t="e">
        <f si="39" t="shared"/>
        <v>#DIV/0!</v>
      </c>
      <c r="Q48" s="13">
        <f si="30" t="shared"/>
        <v>1.4990859232175503E-2</v>
      </c>
      <c r="R48" s="13">
        <f si="31" t="shared"/>
        <v>-3.8563020093362876E-3</v>
      </c>
      <c r="S48" s="13">
        <f si="32" t="shared"/>
        <v>0</v>
      </c>
      <c r="T48" s="13" t="e">
        <f si="33" t="shared"/>
        <v>#DIV/0!</v>
      </c>
      <c r="U48" s="13">
        <f si="34" t="shared"/>
        <v>7.020492082056155E-3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-1.0415506148097019E-3</v>
      </c>
      <c r="N49" s="17">
        <f si="39" t="shared"/>
        <v>-2.1411702660142962E-2</v>
      </c>
      <c r="O49" s="17">
        <f si="39" t="shared"/>
        <v>-5.1482607101228884E-4</v>
      </c>
      <c r="P49" s="17" t="e">
        <f si="39" t="shared"/>
        <v>#DIV/0!</v>
      </c>
      <c r="Q49" s="17">
        <f si="30" t="shared"/>
        <v>-7.2811210179951555E-2</v>
      </c>
      <c r="R49" s="17">
        <f si="31" t="shared"/>
        <v>3.8563020093363102E-3</v>
      </c>
      <c r="S49" s="17">
        <f si="32" t="shared"/>
        <v>0</v>
      </c>
      <c r="T49" s="17" t="e">
        <f si="33" t="shared"/>
        <v>#DIV/0!</v>
      </c>
      <c r="U49" s="13">
        <f si="34" t="shared"/>
        <v>-4.8008148624109639E-2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2020-05-18T05:56:57Z</dcterms:modified>
</cp:coreProperties>
</file>