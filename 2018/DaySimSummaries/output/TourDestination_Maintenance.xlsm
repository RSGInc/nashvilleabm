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8"/>
  <c i="1" r="S27"/>
  <c i="1" r="N26"/>
  <c i="1" r="O26"/>
  <c i="1" r="P26"/>
  <c i="1" r="Q26"/>
  <c i="1" r="R26"/>
  <c i="1" r="S26"/>
  <c i="1" r="T26"/>
  <c i="1" r="U26"/>
  <c i="1" r="M26"/>
  <c i="1" r="C26"/>
  <c i="1" r="D26"/>
  <c i="1" r="E26"/>
  <c i="1" r="F26"/>
  <c i="1" r="G26"/>
  <c i="1" r="U13"/>
  <c i="1" r="H26" s="1"/>
  <c i="1" r="S15"/>
  <c i="1" r="J13"/>
  <c i="1" r="H15"/>
  <c i="1" l="1" r="B26"/>
  <c i="1" r="J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H25" s="1"/>
  <c i="1" r="F15"/>
  <c i="1" r="G15"/>
  <c i="1" r="J10"/>
  <c i="1" r="J11"/>
  <c i="1" r="J12"/>
  <c i="1" l="1" r="H24"/>
  <c i="1" r="H23"/>
  <c i="1" r="B25"/>
  <c i="1" r="D25"/>
  <c i="1" r="G25"/>
  <c i="1" r="I25"/>
  <c i="1" r="F25"/>
  <c i="1" r="C25"/>
  <c i="1" r="E25"/>
  <c i="1" r="C24"/>
  <c i="1" r="D24"/>
  <c i="1" r="G24"/>
  <c i="1" r="I24"/>
  <c i="1" r="F24"/>
  <c i="1" r="B24"/>
  <c i="1" r="E24"/>
  <c i="1" r="I23"/>
  <c i="1" r="B23"/>
  <c i="1" r="C23"/>
  <c i="1" r="D23"/>
  <c i="1" r="E23"/>
  <c i="1" r="F23"/>
  <c i="1" r="G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7"/>
  <c i="1" r="H20"/>
  <c i="1" r="H21"/>
  <c i="1" r="H22"/>
  <c i="1" r="E21"/>
  <c i="1" r="F21"/>
  <c i="1" r="B21"/>
  <c i="1" r="G21"/>
  <c i="1" r="I21"/>
  <c i="1" r="C21"/>
  <c i="1" r="D21"/>
  <c i="1" r="U27"/>
  <c i="1" r="E27"/>
  <c i="1" r="F27"/>
  <c i="1" r="I27"/>
  <c i="1" r="B27"/>
  <c i="1" r="G27"/>
  <c i="1" r="D27"/>
  <c i="1" r="C27"/>
  <c i="1" r="B22"/>
  <c i="1" r="C22"/>
  <c i="1" r="D22"/>
  <c i="1" r="E22"/>
  <c i="1" r="F22"/>
  <c i="1" r="G22"/>
  <c i="1" r="I22"/>
  <c i="1" r="D20"/>
  <c i="1" r="E20"/>
  <c i="1" r="F20"/>
  <c i="1" r="G20"/>
  <c i="1" r="I20"/>
  <c i="1" r="B20"/>
  <c i="1" r="C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O39"/>
  <c i="1" r="S37"/>
  <c i="1" r="M39"/>
  <c i="1" r="S41"/>
  <c i="1" r="Q39"/>
  <c i="1" r="P39"/>
  <c i="1" r="S34"/>
  <c i="1" r="T39"/>
  <c i="1" r="S35"/>
  <c i="1" r="N39"/>
  <c i="1" r="U39"/>
  <c i="1" r="S36"/>
  <c i="1" r="S33"/>
  <c i="1" r="R39"/>
  <c i="1" r="S40"/>
  <c i="1" r="S39"/>
  <c i="1" r="S38"/>
  <c i="1" r="O38"/>
  <c i="1" r="P38"/>
  <c i="1" r="P36"/>
  <c i="1" r="Q38"/>
  <c i="1" r="O35"/>
  <c i="1" r="M36"/>
  <c i="1" r="O36"/>
  <c i="1" r="R38"/>
  <c i="1" r="T38"/>
  <c i="1" r="N35"/>
  <c i="1" r="M40"/>
  <c i="1" r="Q36"/>
  <c i="1" r="P37"/>
  <c i="1" r="N38"/>
  <c i="1" r="N40"/>
  <c i="1" r="R33"/>
  <c i="1" r="M35"/>
  <c i="1" r="O37"/>
  <c i="1" r="O40"/>
  <c i="1" r="T37"/>
  <c i="1" r="P40"/>
  <c i="1" r="N37"/>
  <c i="1" r="Q40"/>
  <c i="1" r="M34"/>
  <c i="1" r="R40"/>
  <c i="1" r="M37"/>
  <c i="1" r="N34"/>
  <c i="1" r="T40"/>
  <c i="1" r="P35"/>
  <c i="1" r="T36"/>
  <c i="1" r="O34"/>
  <c i="1" r="N33"/>
  <c i="1" r="M33"/>
  <c i="1" r="Q35"/>
  <c i="1" r="Q37"/>
  <c i="1" r="P34"/>
  <c i="1" r="O33"/>
  <c i="1" r="T35"/>
  <c i="1" r="R36"/>
  <c i="1" r="Q34"/>
  <c i="1" r="P33"/>
  <c i="1" r="R35"/>
  <c i="1" r="N36"/>
  <c i="1" r="R34"/>
  <c i="1" r="Q33"/>
  <c i="1" r="T34"/>
  <c i="1" r="T33"/>
  <c i="1" r="R37"/>
  <c i="1" r="M38"/>
  <c i="1" r="U40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E39"/>
  <c i="1" r="AA39" s="1"/>
  <c i="1" r="G39"/>
  <c i="1" r="AC39" s="1"/>
  <c i="1" r="D39"/>
  <c i="1" r="Z39" s="1"/>
  <c i="1" r="C39"/>
  <c i="1" r="Y39" s="1"/>
  <c i="1" r="H39"/>
  <c i="1" r="AD39" s="1"/>
  <c i="1" r="J39"/>
  <c i="1" r="AF39" s="1"/>
  <c i="1" r="I39"/>
  <c i="1" r="AE39" s="1"/>
  <c i="1" r="B39"/>
  <c i="1" r="X39" s="1"/>
  <c i="1" r="H38"/>
  <c i="1" r="AD38" s="1"/>
  <c i="1" r="H36"/>
  <c i="1" r="AD36" s="1"/>
  <c i="1" r="H37"/>
  <c i="1" r="AD37" s="1"/>
  <c i="1" r="H35"/>
  <c i="1" r="AD35" s="1"/>
  <c i="1" r="H34"/>
  <c i="1" r="AD34" s="1"/>
  <c i="1" r="H33"/>
  <c i="1" r="AD33" s="1"/>
  <c i="1" r="H40"/>
  <c i="1" r="AD40" s="1"/>
  <c i="1" r="H41"/>
  <c i="1" r="AD41" s="1"/>
  <c i="1" r="G38"/>
  <c i="1" r="AC38" s="1"/>
  <c i="1" r="D38"/>
  <c i="1" r="Z38" s="1"/>
  <c i="1" r="C36"/>
  <c i="1" r="Y36" s="1"/>
  <c i="1" r="G36"/>
  <c i="1" r="AC36" s="1"/>
  <c i="1" r="I37"/>
  <c i="1" r="AE37" s="1"/>
  <c i="1" r="E38"/>
  <c i="1" r="AA38" s="1"/>
  <c i="1" r="F36"/>
  <c i="1" r="AB36" s="1"/>
  <c i="1" r="G37"/>
  <c i="1" r="AC37" s="1"/>
  <c i="1" r="C37"/>
  <c i="1" r="Y37" s="1"/>
  <c i="1" r="B36"/>
  <c i="1" r="X36" s="1"/>
  <c i="1" r="I36"/>
  <c i="1" r="AE36" s="1"/>
  <c i="1" r="B38"/>
  <c i="1" r="X38" s="1"/>
  <c i="1" r="E36"/>
  <c i="1" r="AA36" s="1"/>
  <c i="1" r="D37"/>
  <c i="1" r="Z37" s="1"/>
  <c i="1" r="E37"/>
  <c i="1" r="AA37" s="1"/>
  <c i="1" r="D36"/>
  <c i="1" r="Z36" s="1"/>
  <c i="1" r="C38"/>
  <c i="1" r="Y38" s="1"/>
  <c i="1" r="B37"/>
  <c i="1" r="X37" s="1"/>
  <c i="1" r="F37"/>
  <c i="1" r="AB37" s="1"/>
  <c i="1" r="F38"/>
  <c i="1" r="AB38" s="1"/>
  <c i="1" r="I38"/>
  <c i="1" r="AE38" s="1"/>
  <c i="1" r="B35"/>
  <c i="1" r="X35" s="1"/>
  <c i="1" r="C33"/>
  <c i="1" r="Y33" s="1"/>
  <c i="1" r="G40"/>
  <c i="1" r="AC40" s="1"/>
  <c i="1" r="F40"/>
  <c i="1" r="AB40" s="1"/>
  <c i="1" r="D34"/>
  <c i="1" r="Z34" s="1"/>
  <c i="1" r="G33"/>
  <c i="1" r="AC33" s="1"/>
  <c i="1" r="G35"/>
  <c i="1" r="AC35" s="1"/>
  <c i="1" r="D33"/>
  <c i="1" r="Z33" s="1"/>
  <c i="1" r="C34"/>
  <c i="1" r="Y34" s="1"/>
  <c i="1" r="D40"/>
  <c i="1" r="Z40" s="1"/>
  <c i="1" r="B33"/>
  <c i="1" r="X33" s="1"/>
  <c i="1" r="F35"/>
  <c i="1" r="AB35" s="1"/>
  <c i="1" r="B40"/>
  <c i="1" r="X40" s="1"/>
  <c i="1" r="E35"/>
  <c i="1" r="AA35" s="1"/>
  <c i="1" r="E33"/>
  <c i="1" r="AA33" s="1"/>
  <c i="1" r="E34"/>
  <c i="1" r="AA34" s="1"/>
  <c i="1" r="I40"/>
  <c i="1" r="AE40" s="1"/>
  <c i="1" r="I35"/>
  <c i="1" r="AE35" s="1"/>
  <c i="1" r="I33"/>
  <c i="1" r="AE33" s="1"/>
  <c i="1" r="F33"/>
  <c i="1" r="AB33" s="1"/>
  <c i="1" r="E40"/>
  <c i="1" r="AA40" s="1"/>
  <c i="1" r="B34"/>
  <c i="1" r="X34" s="1"/>
  <c i="1" r="C40"/>
  <c i="1" r="Y40" s="1"/>
  <c i="1" r="I34"/>
  <c i="1" r="AE34" s="1"/>
  <c i="1" r="G34"/>
  <c i="1" r="AC34" s="1"/>
  <c i="1" r="F34"/>
  <c i="1" r="AB34" s="1"/>
  <c i="1" r="C35"/>
  <c i="1" r="Y35" s="1"/>
  <c i="1" r="D35"/>
  <c i="1" r="Z35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<sst xmlns="http://schemas.openxmlformats.org/spreadsheetml/2006/main" count="718" uniqueCount="287">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</sst>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8.1034666828458696E-2</c:v>
                </c:pt>
                <c:pt idx="1">
                  <c:v>0.16185825440790769</c:v>
                </c:pt>
                <c:pt idx="2">
                  <c:v>0.13755204476116009</c:v>
                </c:pt>
                <c:pt idx="3">
                  <c:v>0.12134841735482489</c:v>
                </c:pt>
                <c:pt idx="4">
                  <c:v>0.10741893507505031</c:v>
                </c:pt>
                <c:pt idx="5">
                  <c:v>7.3225249560188249E-2</c:v>
                </c:pt>
                <c:pt idx="6">
                  <c:v>5.6084339776311803E-2</c:v>
                </c:pt>
                <c:pt idx="7">
                  <c:v>3.1307016537583873E-2</c:v>
                </c:pt>
                <c:pt idx="8">
                  <c:v>4.097902031632239E-2</c:v>
                </c:pt>
                <c:pt idx="9">
                  <c:v>2.0068539883794485E-2</c:v>
                </c:pt>
                <c:pt idx="10">
                  <c:v>2.0943892258680746E-2</c:v>
                </c:pt>
                <c:pt idx="11">
                  <c:v>1.8311847516325593E-2</c:v>
                </c:pt>
                <c:pt idx="12">
                  <c:v>1.6833625871170727E-2</c:v>
                </c:pt>
                <c:pt idx="13">
                  <c:v>1.4059811711642495E-2</c:v>
                </c:pt>
                <c:pt idx="14">
                  <c:v>8.5947691422572099E-3</c:v>
                </c:pt>
                <c:pt idx="15">
                  <c:v>1.3158618480444279E-2</c:v>
                </c:pt>
                <c:pt idx="16">
                  <c:v>1.3491292643156254E-2</c:v>
                </c:pt>
                <c:pt idx="17">
                  <c:v>4.447668292609952E-3</c:v>
                </c:pt>
                <c:pt idx="18">
                  <c:v>6.6197218829254778E-3</c:v>
                </c:pt>
                <c:pt idx="19">
                  <c:v>6.104389642342849E-3</c:v>
                </c:pt>
                <c:pt idx="20">
                  <c:v>4.2687615574595371E-3</c:v>
                </c:pt>
                <c:pt idx="21">
                  <c:v>6.5146500430915515E-3</c:v>
                </c:pt>
                <c:pt idx="22">
                  <c:v>8.5946366698246414E-4</c:v>
                </c:pt>
                <c:pt idx="23">
                  <c:v>2.1114302073721209E-3</c:v>
                </c:pt>
                <c:pt idx="24">
                  <c:v>1.792176428328155E-3</c:v>
                </c:pt>
                <c:pt idx="25">
                  <c:v>1.6598870451499232E-3</c:v>
                </c:pt>
                <c:pt idx="26">
                  <c:v>3.1266950835238537E-3</c:v>
                </c:pt>
                <c:pt idx="27">
                  <c:v>6.0401529350087736E-3</c:v>
                </c:pt>
                <c:pt idx="28">
                  <c:v>5.6472173221872697E-4</c:v>
                </c:pt>
                <c:pt idx="29">
                  <c:v>1.3406897049574125E-3</c:v>
                </c:pt>
                <c:pt idx="30">
                  <c:v>1.3448400217692348E-3</c:v>
                </c:pt>
                <c:pt idx="31">
                  <c:v>4.8152190041862927E-3</c:v>
                </c:pt>
                <c:pt idx="32">
                  <c:v>0</c:v>
                </c:pt>
                <c:pt idx="33">
                  <c:v>2.0057641738134633E-3</c:v>
                </c:pt>
                <c:pt idx="34">
                  <c:v>3.9206039257986105E-3</c:v>
                </c:pt>
                <c:pt idx="35">
                  <c:v>4.5237804729699989E-4</c:v>
                </c:pt>
                <c:pt idx="36">
                  <c:v>7.7030607574892992E-4</c:v>
                </c:pt>
                <c:pt idx="37">
                  <c:v>1.4486287677432149E-4</c:v>
                </c:pt>
                <c:pt idx="38">
                  <c:v>2.2136272490169183E-4</c:v>
                </c:pt>
                <c:pt idx="39">
                  <c:v>0</c:v>
                </c:pt>
                <c:pt idx="40">
                  <c:v>1.0840447022957911E-3</c:v>
                </c:pt>
                <c:pt idx="41">
                  <c:v>0</c:v>
                </c:pt>
                <c:pt idx="42">
                  <c:v>2.3928757424600505E-4</c:v>
                </c:pt>
                <c:pt idx="43">
                  <c:v>1.2023532183219204E-3</c:v>
                </c:pt>
                <c:pt idx="44">
                  <c:v>8.1956184545867614E-5</c:v>
                </c:pt>
                <c:pt idx="45">
                  <c:v>1.3178376377755783E-3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4.5066092684121003E-4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2.2777255843364086E-4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0.13479730538364773</c:v>
                </c:pt>
                <c:pt idx="1">
                  <c:v>0.17689470198851623</c:v>
                </c:pt>
                <c:pt idx="2">
                  <c:v>0.16420883542681158</c:v>
                </c:pt>
                <c:pt idx="3">
                  <c:v>0.25271735516969007</c:v>
                </c:pt>
                <c:pt idx="4">
                  <c:v>0.14372794268222303</c:v>
                </c:pt>
                <c:pt idx="5">
                  <c:v>5.9761867402110057E-2</c:v>
                </c:pt>
                <c:pt idx="6">
                  <c:v>2.9682800145741192E-2</c:v>
                </c:pt>
                <c:pt idx="7">
                  <c:v>1.5518245573909135E-2</c:v>
                </c:pt>
                <c:pt idx="8">
                  <c:v>7.3429093452550337E-3</c:v>
                </c:pt>
                <c:pt idx="9">
                  <c:v>3.4254499227412108E-3</c:v>
                </c:pt>
                <c:pt idx="10">
                  <c:v>1.9361238693754671E-3</c:v>
                </c:pt>
                <c:pt idx="11">
                  <c:v>1.4600714344603454E-3</c:v>
                </c:pt>
                <c:pt idx="12">
                  <c:v>9.0157416444819143E-4</c:v>
                </c:pt>
                <c:pt idx="13">
                  <c:v>7.1540840777747341E-4</c:v>
                </c:pt>
                <c:pt idx="14">
                  <c:v>5.3456167272591883E-4</c:v>
                </c:pt>
                <c:pt idx="15">
                  <c:v>4.2286221872348798E-4</c:v>
                </c:pt>
                <c:pt idx="16">
                  <c:v>2.952056998635671E-4</c:v>
                </c:pt>
                <c:pt idx="17">
                  <c:v>2.3669646205277001E-4</c:v>
                </c:pt>
                <c:pt idx="18">
                  <c:v>1.5957064857490113E-4</c:v>
                </c:pt>
                <c:pt idx="19">
                  <c:v>1.8084673505155461E-4</c:v>
                </c:pt>
                <c:pt idx="20">
                  <c:v>1.3563505128866597E-4</c:v>
                </c:pt>
                <c:pt idx="21">
                  <c:v>1.4893260533657438E-4</c:v>
                </c:pt>
                <c:pt idx="22">
                  <c:v>1.3031602966950259E-4</c:v>
                </c:pt>
                <c:pt idx="23">
                  <c:v>1.5425162695573776E-4</c:v>
                </c:pt>
                <c:pt idx="24">
                  <c:v>9.3082878335358995E-5</c:v>
                </c:pt>
                <c:pt idx="25">
                  <c:v>1.5957064857490113E-4</c:v>
                </c:pt>
                <c:pt idx="26">
                  <c:v>9.3082878335358995E-5</c:v>
                </c:pt>
                <c:pt idx="27">
                  <c:v>2.0744184314737147E-4</c:v>
                </c:pt>
                <c:pt idx="28">
                  <c:v>1.5425162695573776E-4</c:v>
                </c:pt>
                <c:pt idx="29">
                  <c:v>1.3829456209824765E-4</c:v>
                </c:pt>
                <c:pt idx="30">
                  <c:v>3.3243885119771068E-4</c:v>
                </c:pt>
                <c:pt idx="31">
                  <c:v>1.5691113776531945E-4</c:v>
                </c:pt>
                <c:pt idx="32">
                  <c:v>1.276565188599209E-4</c:v>
                </c:pt>
                <c:pt idx="33">
                  <c:v>9.5742389144940683E-5</c:v>
                </c:pt>
                <c:pt idx="34">
                  <c:v>5.58497270012154E-5</c:v>
                </c:pt>
                <c:pt idx="35">
                  <c:v>1.6488967019406451E-4</c:v>
                </c:pt>
                <c:pt idx="36">
                  <c:v>1.4095407290782934E-4</c:v>
                </c:pt>
                <c:pt idx="37">
                  <c:v>1.116994540024308E-4</c:v>
                </c:pt>
                <c:pt idx="38">
                  <c:v>2.4999401610067843E-4</c:v>
                </c:pt>
                <c:pt idx="39">
                  <c:v>1.1435896481201247E-4</c:v>
                </c:pt>
                <c:pt idx="40">
                  <c:v>9.5742389144940683E-5</c:v>
                </c:pt>
                <c:pt idx="41">
                  <c:v>1.3563505128866597E-4</c:v>
                </c:pt>
                <c:pt idx="42">
                  <c:v>8.5104345906613944E-5</c:v>
                </c:pt>
                <c:pt idx="43">
                  <c:v>1.5159211614615607E-4</c:v>
                </c:pt>
                <c:pt idx="44">
                  <c:v>1.0372092157368573E-4</c:v>
                </c:pt>
                <c:pt idx="45">
                  <c:v>6.1168748620378763E-5</c:v>
                </c:pt>
                <c:pt idx="46">
                  <c:v>2.9786521067314876E-4</c:v>
                </c:pt>
                <c:pt idx="47">
                  <c:v>2.1010135395695316E-4</c:v>
                </c:pt>
                <c:pt idx="48">
                  <c:v>1.2499700805033921E-4</c:v>
                </c:pt>
                <c:pt idx="49">
                  <c:v>4.2552172953306972E-5</c:v>
                </c:pt>
                <c:pt idx="50">
                  <c:v>9.0423367525777307E-5</c:v>
                </c:pt>
                <c:pt idx="51">
                  <c:v>4.2552172953306972E-5</c:v>
                </c:pt>
                <c:pt idx="52">
                  <c:v>1.116994540024308E-4</c:v>
                </c:pt>
                <c:pt idx="53">
                  <c:v>1.6223015938448282E-4</c:v>
                </c:pt>
                <c:pt idx="54">
                  <c:v>6.1168748620378763E-5</c:v>
                </c:pt>
                <c:pt idx="55">
                  <c:v>5.8509237810797081E-5</c:v>
                </c:pt>
                <c:pt idx="56">
                  <c:v>7.1806791858705516E-5</c:v>
                </c:pt>
                <c:pt idx="57">
                  <c:v>6.1168748620378763E-5</c:v>
                </c:pt>
                <c:pt idx="58">
                  <c:v>4.2552172953306972E-5</c:v>
                </c:pt>
                <c:pt idx="59">
                  <c:v>1.0372092157368573E-4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2.1173089161753006E-3</c:v>
                </c:pt>
                <c:pt idx="3">
                  <c:v>5.1076496836203744E-2</c:v>
                </c:pt>
                <c:pt idx="4">
                  <c:v>6.3513855101451314E-2</c:v>
                </c:pt>
                <c:pt idx="5">
                  <c:v>9.3742980061628567E-2</c:v>
                </c:pt>
                <c:pt idx="6">
                  <c:v>9.8112027161370644E-2</c:v>
                </c:pt>
                <c:pt idx="7">
                  <c:v>8.2034169302843851E-2</c:v>
                </c:pt>
                <c:pt idx="8">
                  <c:v>7.860990623691809E-2</c:v>
                </c:pt>
                <c:pt idx="9">
                  <c:v>4.6920358725613967E-2</c:v>
                </c:pt>
                <c:pt idx="10">
                  <c:v>7.1225528784836512E-2</c:v>
                </c:pt>
                <c:pt idx="11">
                  <c:v>5.4959021021311227E-2</c:v>
                </c:pt>
                <c:pt idx="12">
                  <c:v>5.4086687945236231E-2</c:v>
                </c:pt>
                <c:pt idx="13">
                  <c:v>2.6622719283300025E-2</c:v>
                </c:pt>
                <c:pt idx="14">
                  <c:v>3.5704814886455022E-2</c:v>
                </c:pt>
                <c:pt idx="15">
                  <c:v>2.4457057201573984E-2</c:v>
                </c:pt>
                <c:pt idx="16">
                  <c:v>2.0117758632539916E-2</c:v>
                </c:pt>
                <c:pt idx="17">
                  <c:v>2.0445227859301879E-2</c:v>
                </c:pt>
                <c:pt idx="18">
                  <c:v>2.1674074929243801E-2</c:v>
                </c:pt>
                <c:pt idx="19">
                  <c:v>9.6128258281780055E-3</c:v>
                </c:pt>
                <c:pt idx="20">
                  <c:v>7.8470206880158298E-3</c:v>
                </c:pt>
                <c:pt idx="21">
                  <c:v>6.9154023411706639E-3</c:v>
                </c:pt>
                <c:pt idx="22">
                  <c:v>1.3347050814076302E-2</c:v>
                </c:pt>
                <c:pt idx="23">
                  <c:v>1.0628699961557251E-2</c:v>
                </c:pt>
                <c:pt idx="24">
                  <c:v>1.4257785878478139E-2</c:v>
                </c:pt>
                <c:pt idx="25">
                  <c:v>3.3983932016444377E-3</c:v>
                </c:pt>
                <c:pt idx="26">
                  <c:v>2.2288845016099064E-3</c:v>
                </c:pt>
                <c:pt idx="27">
                  <c:v>7.4867779205913089E-3</c:v>
                </c:pt>
                <c:pt idx="28">
                  <c:v>1.4006529933807561E-2</c:v>
                </c:pt>
                <c:pt idx="29">
                  <c:v>5.9850080517784669E-3</c:v>
                </c:pt>
                <c:pt idx="30">
                  <c:v>4.1023970263775866E-3</c:v>
                </c:pt>
                <c:pt idx="31">
                  <c:v>3.2423252501943812E-3</c:v>
                </c:pt>
                <c:pt idx="32">
                  <c:v>1.9296184281656541E-3</c:v>
                </c:pt>
                <c:pt idx="33">
                  <c:v>1.3215498751091687E-3</c:v>
                </c:pt>
                <c:pt idx="34">
                  <c:v>5.8627614386468577E-3</c:v>
                </c:pt>
                <c:pt idx="35">
                  <c:v>3.2886669249905546E-3</c:v>
                </c:pt>
                <c:pt idx="36">
                  <c:v>4.8436553142036237E-3</c:v>
                </c:pt>
                <c:pt idx="37">
                  <c:v>3.3787717281808759E-3</c:v>
                </c:pt>
                <c:pt idx="38">
                  <c:v>3.6532600094058678E-3</c:v>
                </c:pt>
                <c:pt idx="39">
                  <c:v>1.3746380190954018E-3</c:v>
                </c:pt>
                <c:pt idx="40">
                  <c:v>8.003523744511122E-4</c:v>
                </c:pt>
                <c:pt idx="41">
                  <c:v>1.9121446344809525E-3</c:v>
                </c:pt>
                <c:pt idx="42">
                  <c:v>7.2844225907930406E-4</c:v>
                </c:pt>
                <c:pt idx="43">
                  <c:v>1.5747684382229493E-3</c:v>
                </c:pt>
                <c:pt idx="44">
                  <c:v>2.3554360382899366E-3</c:v>
                </c:pt>
                <c:pt idx="45">
                  <c:v>1.6154594962621081E-3</c:v>
                </c:pt>
                <c:pt idx="46">
                  <c:v>5.1985425715305204E-4</c:v>
                </c:pt>
                <c:pt idx="47">
                  <c:v>1.3450600747289469E-3</c:v>
                </c:pt>
                <c:pt idx="48">
                  <c:v>9.675527009119178E-4</c:v>
                </c:pt>
                <c:pt idx="49">
                  <c:v>8.6874649838883291E-4</c:v>
                </c:pt>
                <c:pt idx="50">
                  <c:v>9.0148688832885357E-4</c:v>
                </c:pt>
                <c:pt idx="51">
                  <c:v>1.6764832187531802E-3</c:v>
                </c:pt>
                <c:pt idx="52">
                  <c:v>0</c:v>
                </c:pt>
                <c:pt idx="53">
                  <c:v>1.1052184210168709E-3</c:v>
                </c:pt>
                <c:pt idx="54">
                  <c:v>8.8635546352863715E-5</c:v>
                </c:pt>
                <c:pt idx="55">
                  <c:v>4.45927971947861E-4</c:v>
                </c:pt>
                <c:pt idx="56">
                  <c:v>3.5737056997987779E-3</c:v>
                </c:pt>
                <c:pt idx="57">
                  <c:v>0</c:v>
                </c:pt>
                <c:pt idx="58">
                  <c:v>1.6297993942915266E-4</c:v>
                </c:pt>
                <c:pt idx="59">
                  <c:v>4.5753264981065659E-4</c:v>
                </c:pt>
                <c:pt idx="60">
                  <c:v>3.9508573070772392E-4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2.8302514035568299E-2</c:v>
                </c:pt>
                <c:pt idx="1">
                  <c:v>5.0900377384583882E-2</c:v>
                </c:pt>
                <c:pt idx="2">
                  <c:v>5.5772601187737525E-2</c:v>
                </c:pt>
                <c:pt idx="3">
                  <c:v>5.4144980572273536E-2</c:v>
                </c:pt>
                <c:pt idx="4">
                  <c:v>5.1881736873319519E-2</c:v>
                </c:pt>
                <c:pt idx="5">
                  <c:v>5.0086567076851884E-2</c:v>
                </c:pt>
                <c:pt idx="6">
                  <c:v>4.6174426675957225E-2</c:v>
                </c:pt>
                <c:pt idx="7">
                  <c:v>4.3081415604413725E-2</c:v>
                </c:pt>
                <c:pt idx="8">
                  <c:v>3.8770348582081809E-2</c:v>
                </c:pt>
                <c:pt idx="9">
                  <c:v>3.4895441332521294E-2</c:v>
                </c:pt>
                <c:pt idx="10">
                  <c:v>3.0906175118148766E-2</c:v>
                </c:pt>
                <c:pt idx="11">
                  <c:v>2.7884970838463974E-2</c:v>
                </c:pt>
                <c:pt idx="12">
                  <c:v>2.4472818469770671E-2</c:v>
                </c:pt>
                <c:pt idx="13">
                  <c:v>2.2105853849242969E-2</c:v>
                </c:pt>
                <c:pt idx="14">
                  <c:v>2.0167070469057923E-2</c:v>
                </c:pt>
                <c:pt idx="15">
                  <c:v>1.8225627578063289E-2</c:v>
                </c:pt>
                <c:pt idx="16">
                  <c:v>1.6746939567935874E-2</c:v>
                </c:pt>
                <c:pt idx="17">
                  <c:v>1.5199104276759332E-2</c:v>
                </c:pt>
                <c:pt idx="18">
                  <c:v>1.5135276017329372E-2</c:v>
                </c:pt>
                <c:pt idx="19">
                  <c:v>1.375764941796606E-2</c:v>
                </c:pt>
                <c:pt idx="20">
                  <c:v>1.3502336380246217E-2</c:v>
                </c:pt>
                <c:pt idx="21">
                  <c:v>1.2786927972468744E-2</c:v>
                </c:pt>
                <c:pt idx="22">
                  <c:v>1.2239068745694916E-2</c:v>
                </c:pt>
                <c:pt idx="23">
                  <c:v>1.2249706788933244E-2</c:v>
                </c:pt>
                <c:pt idx="24">
                  <c:v>1.1491746208202463E-2</c:v>
                </c:pt>
                <c:pt idx="25">
                  <c:v>1.1026331816525669E-2</c:v>
                </c:pt>
                <c:pt idx="26">
                  <c:v>1.0709850030185448E-2</c:v>
                </c:pt>
                <c:pt idx="27">
                  <c:v>1.0154012270982875E-2</c:v>
                </c:pt>
                <c:pt idx="28">
                  <c:v>9.6859383684964988E-3</c:v>
                </c:pt>
                <c:pt idx="29">
                  <c:v>9.8082758657372562E-3</c:v>
                </c:pt>
                <c:pt idx="30">
                  <c:v>9.2125454443909589E-3</c:v>
                </c:pt>
                <c:pt idx="31">
                  <c:v>8.7684071391908175E-3</c:v>
                </c:pt>
                <c:pt idx="32">
                  <c:v>9.0556343066256397E-3</c:v>
                </c:pt>
                <c:pt idx="33">
                  <c:v>8.5822413825200998E-3</c:v>
                </c:pt>
                <c:pt idx="34">
                  <c:v>8.2524620421319701E-3</c:v>
                </c:pt>
                <c:pt idx="35">
                  <c:v>7.7125813477868883E-3</c:v>
                </c:pt>
                <c:pt idx="36">
                  <c:v>7.4998204830203528E-3</c:v>
                </c:pt>
                <c:pt idx="37">
                  <c:v>7.6141794478323654E-3</c:v>
                </c:pt>
                <c:pt idx="38">
                  <c:v>7.2125933155855314E-3</c:v>
                </c:pt>
                <c:pt idx="39">
                  <c:v>6.8508998454824216E-3</c:v>
                </c:pt>
                <c:pt idx="40">
                  <c:v>6.7338813698608274E-3</c:v>
                </c:pt>
                <c:pt idx="41">
                  <c:v>6.7072862617650105E-3</c:v>
                </c:pt>
                <c:pt idx="42">
                  <c:v>6.4998444186176391E-3</c:v>
                </c:pt>
                <c:pt idx="43">
                  <c:v>6.3562308349002289E-3</c:v>
                </c:pt>
                <c:pt idx="44">
                  <c:v>6.3296357268044119E-3</c:v>
                </c:pt>
                <c:pt idx="45">
                  <c:v>6.0769821998941514E-3</c:v>
                </c:pt>
                <c:pt idx="46">
                  <c:v>6.0557061134174977E-3</c:v>
                </c:pt>
                <c:pt idx="47">
                  <c:v>5.7605004135539307E-3</c:v>
                </c:pt>
                <c:pt idx="48">
                  <c:v>5.4812517785478541E-3</c:v>
                </c:pt>
                <c:pt idx="49">
                  <c:v>4.957328149060262E-3</c:v>
                </c:pt>
                <c:pt idx="50">
                  <c:v>5.0450920057764576E-3</c:v>
                </c:pt>
                <c:pt idx="51">
                  <c:v>4.7950979896757787E-3</c:v>
                </c:pt>
                <c:pt idx="52">
                  <c:v>4.6780795140541846E-3</c:v>
                </c:pt>
                <c:pt idx="53">
                  <c:v>4.4201069655247617E-3</c:v>
                </c:pt>
                <c:pt idx="54">
                  <c:v>4.0663920278503976E-3</c:v>
                </c:pt>
                <c:pt idx="55">
                  <c:v>3.9015023576563328E-3</c:v>
                </c:pt>
                <c:pt idx="56">
                  <c:v>3.4547045416466094E-3</c:v>
                </c:pt>
                <c:pt idx="57">
                  <c:v>3.2100295471650946E-3</c:v>
                </c:pt>
                <c:pt idx="58">
                  <c:v>2.8696121635386389E-3</c:v>
                </c:pt>
                <c:pt idx="59">
                  <c:v>2.8376980338236583E-3</c:v>
                </c:pt>
                <c:pt idx="60">
                  <c:v>2.6222776582475421E-3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U29" sqref="U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27998.501555</v>
      </c>
      <c r="C11" s="11">
        <f>B11/B$102</f>
        <v>8.1034666828458696E-2</v>
      </c>
      <c r="E11" s="19">
        <v>0</v>
      </c>
      <c r="F11" s="343" t="n">
        <v>40932.0</v>
      </c>
      <c r="G11" s="11">
        <f>F11/F$102</f>
        <v>0.13479730538364773</v>
      </c>
      <c r="K11" s="8" t="n">
        <v>6.098208660986478</v>
      </c>
      <c r="L11" s="8" t="n">
        <v>6.535866110162549</v>
      </c>
    </row>
    <row r="12" spans="1:12" x14ac:dyDescent="0.25">
      <c r="A12">
        <v>1</v>
      </c>
      <c r="B12" s="341" t="n">
        <v>56093.261045</v>
      </c>
      <c r="C12" s="11">
        <f>B12/B$102</f>
        <v>0.16185825440790769</v>
      </c>
      <c r="E12" s="20">
        <v>1</v>
      </c>
      <c r="F12" s="343" t="n">
        <v>56058.0</v>
      </c>
      <c r="G12" s="11">
        <f>F12/F$102</f>
        <v>0.17689470198851623</v>
      </c>
      <c r="K12" s="8"/>
      <c r="L12" s="289"/>
    </row>
    <row r="13" spans="1:12" x14ac:dyDescent="0.25">
      <c r="A13">
        <v>2</v>
      </c>
      <c r="B13" s="341" t="n">
        <v>48500.368942</v>
      </c>
      <c r="C13" s="11">
        <f ref="C13:C76" si="0" t="shared">B13/B$102</f>
        <v>0.13755204476116009</v>
      </c>
      <c r="E13" s="21">
        <v>2</v>
      </c>
      <c r="F13" s="343" t="n">
        <v>56308.0</v>
      </c>
      <c r="G13" s="11">
        <f ref="G13:G76" si="1" t="shared">F13/F$102</f>
        <v>0.16420883542681158</v>
      </c>
    </row>
    <row r="14" spans="1:12" x14ac:dyDescent="0.25">
      <c r="A14">
        <v>3</v>
      </c>
      <c r="B14" s="341" t="n">
        <v>41969.004578</v>
      </c>
      <c r="C14" s="11">
        <f si="0" t="shared"/>
        <v>0.12134841735482489</v>
      </c>
      <c r="E14" s="22">
        <v>3</v>
      </c>
      <c r="F14" s="343" t="n">
        <v>49492.0</v>
      </c>
      <c r="G14" s="11">
        <f si="1" t="shared"/>
        <v>0.25271735516969007</v>
      </c>
    </row>
    <row r="15" spans="1:12" x14ac:dyDescent="0.25">
      <c r="A15">
        <v>4</v>
      </c>
      <c r="B15" s="341" t="n">
        <v>36163.311909</v>
      </c>
      <c r="C15" s="11">
        <f si="0" t="shared"/>
        <v>0.10741893507505031</v>
      </c>
      <c r="E15" s="23">
        <v>4</v>
      </c>
      <c r="F15" s="343" t="n">
        <v>38267.0</v>
      </c>
      <c r="G15" s="11">
        <f si="1" t="shared"/>
        <v>0.14372794268222303</v>
      </c>
    </row>
    <row r="16" spans="1:12" x14ac:dyDescent="0.25">
      <c r="A16">
        <v>5</v>
      </c>
      <c r="B16" s="341" t="n">
        <v>23442.198417</v>
      </c>
      <c r="C16" s="11">
        <f si="0" t="shared"/>
        <v>7.3225249560188249E-2</v>
      </c>
      <c r="E16" s="24">
        <v>5</v>
      </c>
      <c r="F16" s="343" t="n">
        <v>30093.0</v>
      </c>
      <c r="G16" s="11">
        <f si="1" t="shared"/>
        <v>5.9761867402110057E-2</v>
      </c>
    </row>
    <row r="17" spans="1:7" x14ac:dyDescent="0.25">
      <c r="A17">
        <v>6</v>
      </c>
      <c r="B17" s="341" t="n">
        <v>20630.455186</v>
      </c>
      <c r="C17" s="11">
        <f si="0" t="shared"/>
        <v>5.6084339776311803E-2</v>
      </c>
      <c r="E17" s="25">
        <v>6</v>
      </c>
      <c r="F17" s="343" t="n">
        <v>20974.0</v>
      </c>
      <c r="G17" s="11">
        <f si="1" t="shared"/>
        <v>2.9682800145741192E-2</v>
      </c>
    </row>
    <row r="18" spans="1:7" x14ac:dyDescent="0.25">
      <c r="A18">
        <v>7</v>
      </c>
      <c r="B18" s="341" t="n">
        <v>12135.352562</v>
      </c>
      <c r="C18" s="11">
        <f si="0" t="shared"/>
        <v>3.1307016537583873E-2</v>
      </c>
      <c r="E18" s="26">
        <v>7</v>
      </c>
      <c r="F18" s="343" t="n">
        <v>14656.0</v>
      </c>
      <c r="G18" s="11">
        <f si="1" t="shared"/>
        <v>1.5518245573909135E-2</v>
      </c>
    </row>
    <row r="19" spans="1:7" x14ac:dyDescent="0.25">
      <c r="A19">
        <v>8</v>
      </c>
      <c r="B19" s="341" t="n">
        <v>13423.084095</v>
      </c>
      <c r="C19" s="11">
        <f si="0" t="shared"/>
        <v>4.097902031632239E-2</v>
      </c>
      <c r="E19" s="27">
        <v>8</v>
      </c>
      <c r="F19" s="343" t="n">
        <v>10407.0</v>
      </c>
      <c r="G19" s="11">
        <f si="1" t="shared"/>
        <v>7.3429093452550337E-3</v>
      </c>
    </row>
    <row r="20" spans="1:7" x14ac:dyDescent="0.25">
      <c r="A20">
        <v>9</v>
      </c>
      <c r="B20" s="341" t="n">
        <v>6907.804882</v>
      </c>
      <c r="C20" s="11">
        <f si="0" t="shared"/>
        <v>2.0068539883794485E-2</v>
      </c>
      <c r="E20" s="28">
        <v>9</v>
      </c>
      <c r="F20" s="343" t="n">
        <v>7864.0</v>
      </c>
      <c r="G20" s="11">
        <f si="1" t="shared"/>
        <v>3.4254499227412108E-3</v>
      </c>
    </row>
    <row r="21" spans="1:7" x14ac:dyDescent="0.25">
      <c r="A21">
        <v>10</v>
      </c>
      <c r="B21" s="341" t="n">
        <v>6671.590032</v>
      </c>
      <c r="C21" s="11">
        <f si="0" t="shared"/>
        <v>2.0943892258680746E-2</v>
      </c>
      <c r="E21" s="29">
        <v>10</v>
      </c>
      <c r="F21" s="343" t="n">
        <v>6509.0</v>
      </c>
      <c r="G21" s="11">
        <f si="1" t="shared"/>
        <v>1.9361238693754671E-3</v>
      </c>
    </row>
    <row r="22" spans="1:7" x14ac:dyDescent="0.25">
      <c r="A22">
        <v>11</v>
      </c>
      <c r="B22" s="341" t="n">
        <v>6208.207657</v>
      </c>
      <c r="C22" s="11">
        <f si="0" t="shared"/>
        <v>1.8311847516325593E-2</v>
      </c>
      <c r="E22" s="30">
        <v>11</v>
      </c>
      <c r="F22" s="343" t="n">
        <v>5677.0</v>
      </c>
      <c r="G22" s="11">
        <f si="1" t="shared"/>
        <v>1.4600714344603454E-3</v>
      </c>
    </row>
    <row r="23" spans="1:7" x14ac:dyDescent="0.25">
      <c r="A23">
        <v>12</v>
      </c>
      <c r="B23" s="341" t="n">
        <v>6258.922504</v>
      </c>
      <c r="C23" s="11">
        <f si="0" t="shared"/>
        <v>1.6833625871170727E-2</v>
      </c>
      <c r="E23" s="31">
        <v>12</v>
      </c>
      <c r="F23" s="343" t="n">
        <v>5627.0</v>
      </c>
      <c r="G23" s="11">
        <f si="1" t="shared"/>
        <v>9.0157416444819143E-4</v>
      </c>
    </row>
    <row r="24" spans="1:7" x14ac:dyDescent="0.25">
      <c r="A24">
        <v>13</v>
      </c>
      <c r="B24" s="341" t="n">
        <v>4397.45032</v>
      </c>
      <c r="C24" s="11">
        <f si="0" t="shared"/>
        <v>1.4059811711642495E-2</v>
      </c>
      <c r="E24" s="32">
        <v>13</v>
      </c>
      <c r="F24" s="343" t="n">
        <v>4560.0</v>
      </c>
      <c r="G24" s="11">
        <f si="1" t="shared"/>
        <v>7.1540840777747341E-4</v>
      </c>
    </row>
    <row r="25" spans="1:7" x14ac:dyDescent="0.25">
      <c r="A25">
        <v>14</v>
      </c>
      <c r="B25" s="341" t="n">
        <v>2964.6770149999998</v>
      </c>
      <c r="C25" s="11">
        <f si="0" t="shared"/>
        <v>8.5947691422572099E-3</v>
      </c>
      <c r="E25" s="33">
        <v>14</v>
      </c>
      <c r="F25" s="343" t="n">
        <v>4126.0</v>
      </c>
      <c r="G25" s="11">
        <f si="1" t="shared"/>
        <v>5.3456167272591883E-4</v>
      </c>
    </row>
    <row r="26" spans="1:7" x14ac:dyDescent="0.25">
      <c r="A26">
        <v>15</v>
      </c>
      <c r="B26" s="341" t="n">
        <v>5041.566159</v>
      </c>
      <c r="C26" s="11">
        <f si="0" t="shared"/>
        <v>1.3158618480444279E-2</v>
      </c>
      <c r="E26" s="34">
        <v>15</v>
      </c>
      <c r="F26" s="343" t="n">
        <v>3632.0</v>
      </c>
      <c r="G26" s="11">
        <f si="1" t="shared"/>
        <v>4.2286221872348798E-4</v>
      </c>
    </row>
    <row r="27" spans="1:7" x14ac:dyDescent="0.25">
      <c r="A27">
        <v>16</v>
      </c>
      <c r="B27" s="341" t="n">
        <v>4170.834902</v>
      </c>
      <c r="C27" s="11">
        <f si="0" t="shared"/>
        <v>1.3491292643156254E-2</v>
      </c>
      <c r="E27" s="35">
        <v>16</v>
      </c>
      <c r="F27" s="343" t="n">
        <v>3114.0</v>
      </c>
      <c r="G27" s="11">
        <f si="1" t="shared"/>
        <v>2.952056998635671E-4</v>
      </c>
    </row>
    <row r="28" spans="1:7" x14ac:dyDescent="0.25">
      <c r="A28">
        <v>17</v>
      </c>
      <c r="B28" s="341" t="n">
        <v>1514.388384</v>
      </c>
      <c r="C28" s="11">
        <f si="0" t="shared"/>
        <v>4.447668292609952E-3</v>
      </c>
      <c r="E28" s="36">
        <v>17</v>
      </c>
      <c r="F28" s="343" t="n">
        <v>2689.0</v>
      </c>
      <c r="G28" s="11">
        <f si="1" t="shared"/>
        <v>2.3669646205277001E-4</v>
      </c>
    </row>
    <row r="29" spans="1:7" x14ac:dyDescent="0.25">
      <c r="A29">
        <v>18</v>
      </c>
      <c r="B29" s="341" t="n">
        <v>2283.404823</v>
      </c>
      <c r="C29" s="11">
        <f si="0" t="shared"/>
        <v>6.6197218829254778E-3</v>
      </c>
      <c r="E29" s="37">
        <v>18</v>
      </c>
      <c r="F29" s="343" t="n">
        <v>2528.0</v>
      </c>
      <c r="G29" s="11">
        <f si="1" t="shared"/>
        <v>1.5957064857490113E-4</v>
      </c>
    </row>
    <row r="30" spans="1:7" x14ac:dyDescent="0.25">
      <c r="A30">
        <v>19</v>
      </c>
      <c r="B30" s="341" t="n">
        <v>2105.646279</v>
      </c>
      <c r="C30" s="11">
        <f si="0" t="shared"/>
        <v>6.104389642342849E-3</v>
      </c>
      <c r="E30" s="38">
        <v>19</v>
      </c>
      <c r="F30" s="343" t="n">
        <v>2323.0</v>
      </c>
      <c r="G30" s="11">
        <f si="1" t="shared"/>
        <v>1.8084673505155461E-4</v>
      </c>
    </row>
    <row r="31" spans="1:7" x14ac:dyDescent="0.25">
      <c r="A31">
        <v>20</v>
      </c>
      <c r="B31" s="341" t="n">
        <v>1472.465294</v>
      </c>
      <c r="C31" s="11">
        <f si="0" t="shared"/>
        <v>4.2687615574595371E-3</v>
      </c>
      <c r="E31" s="39">
        <v>20</v>
      </c>
      <c r="F31" s="343" t="n">
        <v>2245.0</v>
      </c>
      <c r="G31" s="11">
        <f si="1" t="shared"/>
        <v>1.3563505128866597E-4</v>
      </c>
    </row>
    <row r="32" spans="1:7" x14ac:dyDescent="0.25">
      <c r="A32">
        <v>21</v>
      </c>
      <c r="B32" s="341" t="n">
        <v>2247.161375</v>
      </c>
      <c r="C32" s="11">
        <f si="0" t="shared"/>
        <v>6.5146500430915515E-3</v>
      </c>
      <c r="E32" s="40">
        <v>21</v>
      </c>
      <c r="F32" s="343" t="n">
        <v>2106.0</v>
      </c>
      <c r="G32" s="11">
        <f si="1" t="shared"/>
        <v>1.4893260533657438E-4</v>
      </c>
    </row>
    <row r="33" spans="1:7" x14ac:dyDescent="0.25">
      <c r="A33">
        <v>22</v>
      </c>
      <c r="B33" s="341" t="n">
        <v>296.463132</v>
      </c>
      <c r="C33" s="11">
        <f si="0" t="shared"/>
        <v>8.5946366698246414E-4</v>
      </c>
      <c r="E33" s="41">
        <v>22</v>
      </c>
      <c r="F33" s="343" t="n">
        <v>1931.0</v>
      </c>
      <c r="G33" s="11">
        <f si="1" t="shared"/>
        <v>1.3031602966950259E-4</v>
      </c>
    </row>
    <row r="34" spans="1:7" x14ac:dyDescent="0.25">
      <c r="A34">
        <v>23</v>
      </c>
      <c r="B34" s="341" t="n">
        <v>938.252176</v>
      </c>
      <c r="C34" s="11">
        <f si="0" t="shared"/>
        <v>2.1114302073721209E-3</v>
      </c>
      <c r="E34" s="42">
        <v>23</v>
      </c>
      <c r="F34" s="343" t="n">
        <v>1814.0</v>
      </c>
      <c r="G34" s="11">
        <f si="1" t="shared"/>
        <v>1.5425162695573776E-4</v>
      </c>
    </row>
    <row r="35" spans="1:7" x14ac:dyDescent="0.25">
      <c r="A35">
        <v>24</v>
      </c>
      <c r="B35" s="341" t="n">
        <v>618.192784</v>
      </c>
      <c r="C35" s="11">
        <f si="0" t="shared"/>
        <v>1.792176428328155E-3</v>
      </c>
      <c r="E35" s="43">
        <v>24</v>
      </c>
      <c r="F35" s="343" t="n">
        <v>1562.0</v>
      </c>
      <c r="G35" s="11">
        <f si="1" t="shared"/>
        <v>9.3082878335358995E-5</v>
      </c>
    </row>
    <row r="36" spans="1:7" x14ac:dyDescent="0.25">
      <c r="A36">
        <v>25</v>
      </c>
      <c r="B36" s="341" t="n">
        <v>362.62483299999997</v>
      </c>
      <c r="C36" s="11">
        <f si="0" t="shared"/>
        <v>1.6598870451499232E-3</v>
      </c>
      <c r="E36" s="44">
        <v>25</v>
      </c>
      <c r="F36" s="343" t="n">
        <v>1376.0</v>
      </c>
      <c r="G36" s="11">
        <f si="1" t="shared"/>
        <v>1.5957064857490113E-4</v>
      </c>
    </row>
    <row r="37" spans="1:7" x14ac:dyDescent="0.25">
      <c r="A37">
        <v>26</v>
      </c>
      <c r="B37" s="341" t="n">
        <v>1166.239023</v>
      </c>
      <c r="C37" s="11">
        <f si="0" t="shared"/>
        <v>3.1266950835238537E-3</v>
      </c>
      <c r="E37" s="45">
        <v>26</v>
      </c>
      <c r="F37" s="343" t="n">
        <v>1302.0</v>
      </c>
      <c r="G37" s="11">
        <f si="1" t="shared"/>
        <v>9.3082878335358995E-5</v>
      </c>
    </row>
    <row r="38" spans="1:7" x14ac:dyDescent="0.25">
      <c r="A38">
        <v>27</v>
      </c>
      <c r="B38" s="341" t="n">
        <v>1874.547495</v>
      </c>
      <c r="C38" s="11">
        <f si="0" t="shared"/>
        <v>6.0401529350087736E-3</v>
      </c>
      <c r="E38" s="46">
        <v>27</v>
      </c>
      <c r="F38" s="343" t="n">
        <v>1282.0</v>
      </c>
      <c r="G38" s="11">
        <f si="1" t="shared"/>
        <v>2.0744184314737147E-4</v>
      </c>
    </row>
    <row r="39" spans="1:7" x14ac:dyDescent="0.25">
      <c r="A39">
        <v>28</v>
      </c>
      <c r="B39" s="341" t="n">
        <v>335.807092</v>
      </c>
      <c r="C39" s="11">
        <f si="0" t="shared"/>
        <v>5.6472173221872697E-4</v>
      </c>
      <c r="E39" s="47">
        <v>28</v>
      </c>
      <c r="F39" s="343" t="n">
        <v>1086.0</v>
      </c>
      <c r="G39" s="11">
        <f si="1" t="shared"/>
        <v>1.5425162695573776E-4</v>
      </c>
    </row>
    <row r="40" spans="1:7" x14ac:dyDescent="0.25">
      <c r="A40">
        <v>29</v>
      </c>
      <c r="B40" s="341" t="n">
        <v>442.66814899999997</v>
      </c>
      <c r="C40" s="11">
        <f si="0" t="shared"/>
        <v>1.3406897049574125E-3</v>
      </c>
      <c r="E40" s="48">
        <v>29</v>
      </c>
      <c r="F40" s="343" t="n">
        <v>908.0</v>
      </c>
      <c r="G40" s="11">
        <f si="1" t="shared"/>
        <v>1.3829456209824765E-4</v>
      </c>
    </row>
    <row r="41" spans="1:7" x14ac:dyDescent="0.25">
      <c r="A41">
        <v>30</v>
      </c>
      <c r="B41" s="341" t="n">
        <v>926.255014</v>
      </c>
      <c r="C41" s="11">
        <f si="0" t="shared"/>
        <v>1.3448400217692348E-3</v>
      </c>
      <c r="E41" s="49">
        <v>30</v>
      </c>
      <c r="F41" s="343" t="n">
        <v>915.0</v>
      </c>
      <c r="G41" s="11">
        <f si="1" t="shared"/>
        <v>3.3243885119771068E-4</v>
      </c>
    </row>
    <row r="42" spans="1:7" x14ac:dyDescent="0.25">
      <c r="A42">
        <v>31</v>
      </c>
      <c r="B42" s="341" t="n">
        <v>1198.5938449999999</v>
      </c>
      <c r="C42" s="11">
        <f si="0" t="shared"/>
        <v>4.8152190041862927E-3</v>
      </c>
      <c r="E42" s="50">
        <v>31</v>
      </c>
      <c r="F42" s="343" t="n">
        <v>884.0</v>
      </c>
      <c r="G42" s="11">
        <f si="1" t="shared"/>
        <v>1.5691113776531945E-4</v>
      </c>
    </row>
    <row r="43" spans="1:7" x14ac:dyDescent="0.25">
      <c r="A43">
        <v>32</v>
      </c>
      <c r="B43" s="341" t="n">
        <v>614.231389</v>
      </c>
      <c r="C43" s="11">
        <f si="0" t="shared"/>
        <v>0</v>
      </c>
      <c r="E43" s="51">
        <v>32</v>
      </c>
      <c r="F43" s="343" t="n">
        <v>652.0</v>
      </c>
      <c r="G43" s="11">
        <f si="1" t="shared"/>
        <v>1.276565188599209E-4</v>
      </c>
    </row>
    <row r="44" spans="1:7" x14ac:dyDescent="0.25">
      <c r="A44">
        <v>33</v>
      </c>
      <c r="B44" s="341" t="n">
        <v>1277.366978</v>
      </c>
      <c r="C44" s="11">
        <f si="0" t="shared"/>
        <v>2.0057641738134633E-3</v>
      </c>
      <c r="E44" s="52">
        <v>33</v>
      </c>
      <c r="F44" s="343" t="n">
        <v>683.0</v>
      </c>
      <c r="G44" s="11">
        <f si="1" t="shared"/>
        <v>9.5742389144940683E-5</v>
      </c>
    </row>
    <row r="45" spans="1:7" x14ac:dyDescent="0.25">
      <c r="A45">
        <v>34</v>
      </c>
      <c r="B45" s="341" t="n">
        <v>152.641216</v>
      </c>
      <c r="C45" s="11">
        <f si="0" t="shared"/>
        <v>3.9206039257986105E-3</v>
      </c>
      <c r="E45" s="53">
        <v>34</v>
      </c>
      <c r="F45" s="343" t="n">
        <v>491.0</v>
      </c>
      <c r="G45" s="11">
        <f si="1" t="shared"/>
        <v>5.58497270012154E-5</v>
      </c>
    </row>
    <row r="46" spans="1:7" x14ac:dyDescent="0.25">
      <c r="A46">
        <v>35</v>
      </c>
      <c r="B46" s="341" t="n">
        <v>156.043144</v>
      </c>
      <c r="C46" s="11">
        <f si="0" t="shared"/>
        <v>4.5237804729699989E-4</v>
      </c>
      <c r="E46" s="54">
        <v>35</v>
      </c>
      <c r="F46" s="343" t="n">
        <v>521.0</v>
      </c>
      <c r="G46" s="11">
        <f si="1" t="shared"/>
        <v>1.6488967019406451E-4</v>
      </c>
    </row>
    <row r="47" spans="1:7" x14ac:dyDescent="0.25">
      <c r="A47">
        <v>36</v>
      </c>
      <c r="B47" s="341" t="n">
        <v>265.70914000000005</v>
      </c>
      <c r="C47" s="11">
        <f si="0" t="shared"/>
        <v>7.7030607574892992E-4</v>
      </c>
      <c r="E47" s="55">
        <v>36</v>
      </c>
      <c r="F47" s="343" t="n">
        <v>514.0</v>
      </c>
      <c r="G47" s="11">
        <f si="1" t="shared"/>
        <v>1.4095407290782934E-4</v>
      </c>
    </row>
    <row r="48" spans="1:7" x14ac:dyDescent="0.25">
      <c r="A48">
        <v>37</v>
      </c>
      <c r="B48" s="341" t="n">
        <v>49.968956</v>
      </c>
      <c r="C48" s="11">
        <f si="0" t="shared"/>
        <v>1.4486287677432149E-4</v>
      </c>
      <c r="E48" s="56">
        <v>37</v>
      </c>
      <c r="F48" s="343" t="n">
        <v>364.0</v>
      </c>
      <c r="G48" s="11">
        <f si="1" t="shared"/>
        <v>1.116994540024308E-4</v>
      </c>
    </row>
    <row r="49" spans="1:7" x14ac:dyDescent="0.25">
      <c r="A49">
        <v>38</v>
      </c>
      <c r="B49" s="341" t="n">
        <v>76.35679</v>
      </c>
      <c r="C49" s="11">
        <f si="0" t="shared"/>
        <v>2.2136272490169183E-4</v>
      </c>
      <c r="E49" s="57">
        <v>38</v>
      </c>
      <c r="F49" s="343" t="n">
        <v>468.0</v>
      </c>
      <c r="G49" s="11">
        <f si="1" t="shared"/>
        <v>2.4999401610067843E-4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346.0</v>
      </c>
      <c r="G50" s="11">
        <f si="1" t="shared"/>
        <v>1.1435896481201247E-4</v>
      </c>
    </row>
    <row r="51" spans="1:7" x14ac:dyDescent="0.25">
      <c r="A51">
        <v>40</v>
      </c>
      <c r="B51" s="341" t="n">
        <v>373.930045</v>
      </c>
      <c r="C51" s="11">
        <f si="0" t="shared"/>
        <v>1.0840447022957911E-3</v>
      </c>
      <c r="E51" s="59">
        <v>40</v>
      </c>
      <c r="F51" s="343" t="n">
        <v>312.0</v>
      </c>
      <c r="G51" s="11">
        <f si="1" t="shared"/>
        <v>9.5742389144940683E-5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240.0</v>
      </c>
      <c r="G52" s="11">
        <f si="1" t="shared"/>
        <v>1.3563505128866597E-4</v>
      </c>
    </row>
    <row r="53" spans="1:7" x14ac:dyDescent="0.25">
      <c r="A53">
        <v>42</v>
      </c>
      <c r="B53" s="341" t="n">
        <v>82.539782</v>
      </c>
      <c r="C53" s="11">
        <f si="0" t="shared"/>
        <v>2.3928757424600505E-4</v>
      </c>
      <c r="E53" s="61">
        <v>42</v>
      </c>
      <c r="F53" s="343" t="n">
        <v>246.0</v>
      </c>
      <c r="G53" s="11">
        <f si="1" t="shared"/>
        <v>8.5104345906613944E-5</v>
      </c>
    </row>
    <row r="54" spans="1:7" x14ac:dyDescent="0.25">
      <c r="A54">
        <v>43</v>
      </c>
      <c r="B54" s="341" t="n">
        <v>414.739348</v>
      </c>
      <c r="C54" s="11">
        <f si="0" t="shared"/>
        <v>1.2023532183219204E-3</v>
      </c>
      <c r="E54" s="62">
        <v>43</v>
      </c>
      <c r="F54" s="343" t="n">
        <v>276.0</v>
      </c>
      <c r="G54" s="11">
        <f si="1" t="shared"/>
        <v>1.5159211614615607E-4</v>
      </c>
    </row>
    <row r="55" spans="1:7" x14ac:dyDescent="0.25">
      <c r="A55">
        <v>44</v>
      </c>
      <c r="B55" s="341" t="n">
        <v>28.269941</v>
      </c>
      <c r="C55" s="11">
        <f si="0" t="shared"/>
        <v>8.1956184545867614E-5</v>
      </c>
      <c r="E55" s="63">
        <v>44</v>
      </c>
      <c r="F55" s="343" t="n">
        <v>168.0</v>
      </c>
      <c r="G55" s="11">
        <f si="1" t="shared"/>
        <v>1.0372092157368573E-4</v>
      </c>
    </row>
    <row r="56" spans="1:7" x14ac:dyDescent="0.25">
      <c r="A56">
        <v>45</v>
      </c>
      <c r="B56" s="341" t="n">
        <v>454.574508</v>
      </c>
      <c r="C56" s="11">
        <f si="0" t="shared"/>
        <v>1.3178376377755783E-3</v>
      </c>
      <c r="E56" s="64">
        <v>45</v>
      </c>
      <c r="F56" s="343" t="n">
        <v>148.0</v>
      </c>
      <c r="G56" s="11">
        <f si="1" t="shared"/>
        <v>6.1168748620378763E-5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141.0</v>
      </c>
      <c r="G57" s="11">
        <f si="1" t="shared"/>
        <v>2.9786521067314876E-4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161.0</v>
      </c>
      <c r="G58" s="11">
        <f si="1" t="shared"/>
        <v>2.1010135395695316E-4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147.0</v>
      </c>
      <c r="G59" s="11">
        <f si="1" t="shared"/>
        <v>1.2499700805033921E-4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97.0</v>
      </c>
      <c r="G60" s="11">
        <f si="1" t="shared"/>
        <v>4.2552172953306972E-5</v>
      </c>
    </row>
    <row r="61" spans="1:7" x14ac:dyDescent="0.25">
      <c r="A61">
        <v>50</v>
      </c>
      <c r="B61" s="341" t="n">
        <v>34.524483</v>
      </c>
      <c r="C61" s="11">
        <f si="0" t="shared"/>
        <v>0</v>
      </c>
      <c r="E61" s="69">
        <v>50</v>
      </c>
      <c r="F61" s="343" t="n">
        <v>122.0</v>
      </c>
      <c r="G61" s="11">
        <f si="1" t="shared"/>
        <v>9.0423367525777307E-5</v>
      </c>
    </row>
    <row r="62" spans="1:7" x14ac:dyDescent="0.25">
      <c r="A62">
        <v>51</v>
      </c>
      <c r="B62" s="341" t="n">
        <v>120.926358</v>
      </c>
      <c r="C62" s="11">
        <f si="0" t="shared"/>
        <v>4.5066092684121003E-4</v>
      </c>
      <c r="E62" s="70">
        <v>51</v>
      </c>
      <c r="F62" s="343" t="n">
        <v>83.0</v>
      </c>
      <c r="G62" s="11">
        <f si="1" t="shared"/>
        <v>4.2552172953306972E-5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131.0</v>
      </c>
      <c r="G63" s="11">
        <f si="1" t="shared"/>
        <v>1.116994540024308E-4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69.0</v>
      </c>
      <c r="G64" s="11">
        <f si="1" t="shared"/>
        <v>1.6223015938448282E-4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88.0</v>
      </c>
      <c r="G65" s="11">
        <f si="1" t="shared"/>
        <v>6.1168748620378763E-5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69.0</v>
      </c>
      <c r="G66" s="11">
        <f si="1" t="shared"/>
        <v>5.8509237810797081E-5</v>
      </c>
    </row>
    <row r="67" spans="1:7" x14ac:dyDescent="0.25">
      <c r="A67">
        <v>56</v>
      </c>
      <c r="B67" s="341" t="n">
        <v>78.567796</v>
      </c>
      <c r="C67" s="11">
        <f si="0" t="shared"/>
        <v>2.2777255843364086E-4</v>
      </c>
      <c r="E67" s="75">
        <v>56</v>
      </c>
      <c r="F67" s="343" t="n">
        <v>95.0</v>
      </c>
      <c r="G67" s="11">
        <f si="1" t="shared"/>
        <v>7.1806791858705516E-5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19.0</v>
      </c>
      <c r="G68" s="11">
        <f si="1" t="shared"/>
        <v>6.1168748620378763E-5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55.0</v>
      </c>
      <c r="G69" s="11">
        <f si="1" t="shared"/>
        <v>4.2552172953306972E-5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149.0</v>
      </c>
      <c r="G70" s="11">
        <f si="1" t="shared"/>
        <v>1.0372092157368573E-4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28.0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36.0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16.0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25.0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97.0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100.0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53.0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172.0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37.0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11.0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56.0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8.0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35.0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21.0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22.0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28.0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18.0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7.0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41.0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10.0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19.0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27.0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12.0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33.0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4.0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21.0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24.0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17.0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40.0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16.0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378.0</v>
      </c>
      <c r="G101" s="11">
        <f si="3" t="shared"/>
        <v>0</v>
      </c>
    </row>
    <row r="102" spans="1:7" x14ac:dyDescent="0.25">
      <c r="B102" s="341">
        <f>SUM(B11:B101)</f>
        <v>344939.69133199996</v>
      </c>
      <c r="C102" s="11">
        <f si="2" t="shared"/>
        <v>1</v>
      </c>
      <c r="F102" s="341">
        <f>SUM(F11:F101)</f>
        <v>376009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T16" sqref="T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10759.0</v>
      </c>
      <c r="G11" s="11">
        <f>F11/F$102</f>
        <v>2.8302514035568299E-2</v>
      </c>
      <c r="K11" s="8" t="n">
        <v>13.845737311664235</v>
      </c>
      <c r="L11" s="8" t="n">
        <v>16.447917956402783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5713.0</v>
      </c>
      <c r="G12" s="11">
        <f>F12/F$102</f>
        <v>5.0900377384583882E-2</v>
      </c>
      <c r="K12" s="8"/>
      <c r="L12" s="290"/>
    </row>
    <row r="13" spans="1:12" x14ac:dyDescent="0.25">
      <c r="A13">
        <v>2</v>
      </c>
      <c r="B13" s="8" t="n">
        <v>946.393617</v>
      </c>
      <c r="C13" s="11">
        <f ref="C13:C76" si="0" t="shared">B13/B$102</f>
        <v>2.1173089161753006E-3</v>
      </c>
      <c r="E13" s="111">
        <v>2</v>
      </c>
      <c r="F13" s="201" t="n">
        <v>5897.0</v>
      </c>
      <c r="G13" s="11">
        <f ref="G13:G76" si="1" t="shared">F13/F$102</f>
        <v>5.5772601187737525E-2</v>
      </c>
    </row>
    <row r="14" spans="1:12" x14ac:dyDescent="0.25">
      <c r="A14">
        <v>3</v>
      </c>
      <c r="B14" s="8" t="n">
        <v>17044.589247</v>
      </c>
      <c r="C14" s="11">
        <f si="0" t="shared"/>
        <v>5.1076496836203744E-2</v>
      </c>
      <c r="E14" s="112">
        <v>3</v>
      </c>
      <c r="F14" s="202" t="n">
        <v>10067.0</v>
      </c>
      <c r="G14" s="11">
        <f si="1" t="shared"/>
        <v>5.4144980572273536E-2</v>
      </c>
    </row>
    <row r="15" spans="1:12" x14ac:dyDescent="0.25">
      <c r="A15">
        <v>4</v>
      </c>
      <c r="B15" s="8" t="n">
        <v>19184.802018</v>
      </c>
      <c r="C15" s="11">
        <f si="0" t="shared"/>
        <v>6.3513855101451314E-2</v>
      </c>
      <c r="E15" s="113">
        <v>4</v>
      </c>
      <c r="F15" s="203" t="n">
        <v>16398.0</v>
      </c>
      <c r="G15" s="11">
        <f si="1" t="shared"/>
        <v>5.1881736873319519E-2</v>
      </c>
    </row>
    <row r="16" spans="1:12" x14ac:dyDescent="0.25">
      <c r="A16">
        <v>5</v>
      </c>
      <c r="B16" s="8" t="n">
        <v>28416.135047</v>
      </c>
      <c r="C16" s="11">
        <f si="0" t="shared"/>
        <v>9.3742980061628567E-2</v>
      </c>
      <c r="E16" s="114">
        <v>5</v>
      </c>
      <c r="F16" s="204" t="n">
        <v>22796.0</v>
      </c>
      <c r="G16" s="11">
        <f si="1" t="shared"/>
        <v>5.0086567076851884E-2</v>
      </c>
    </row>
    <row r="17" spans="1:7" x14ac:dyDescent="0.25">
      <c r="A17">
        <v>6</v>
      </c>
      <c r="B17" s="8" t="n">
        <v>29957.534808</v>
      </c>
      <c r="C17" s="11">
        <f si="0" t="shared"/>
        <v>9.8112027161370644E-2</v>
      </c>
      <c r="E17" s="115">
        <v>6</v>
      </c>
      <c r="F17" s="205" t="n">
        <v>27060.0</v>
      </c>
      <c r="G17" s="11">
        <f si="1" t="shared"/>
        <v>4.6174426675957225E-2</v>
      </c>
    </row>
    <row r="18" spans="1:7" x14ac:dyDescent="0.25">
      <c r="A18">
        <v>7</v>
      </c>
      <c r="B18" s="8" t="n">
        <v>28012.526856</v>
      </c>
      <c r="C18" s="11">
        <f si="0" t="shared"/>
        <v>8.2034169302843851E-2</v>
      </c>
      <c r="E18" s="116">
        <v>7</v>
      </c>
      <c r="F18" s="206" t="n">
        <v>27342.0</v>
      </c>
      <c r="G18" s="11">
        <f si="1" t="shared"/>
        <v>4.3081415604413725E-2</v>
      </c>
    </row>
    <row r="19" spans="1:7" x14ac:dyDescent="0.25">
      <c r="A19">
        <v>8</v>
      </c>
      <c r="B19" s="8" t="n">
        <v>25853.684401</v>
      </c>
      <c r="C19" s="11">
        <f si="0" t="shared"/>
        <v>7.860990623691809E-2</v>
      </c>
      <c r="E19" s="117">
        <v>8</v>
      </c>
      <c r="F19" s="207" t="n">
        <v>26408.0</v>
      </c>
      <c r="G19" s="11">
        <f si="1" t="shared"/>
        <v>3.8770348582081809E-2</v>
      </c>
    </row>
    <row r="20" spans="1:7" x14ac:dyDescent="0.25">
      <c r="A20">
        <v>9</v>
      </c>
      <c r="B20" s="8" t="n">
        <v>16150.539078</v>
      </c>
      <c r="C20" s="11">
        <f si="0" t="shared"/>
        <v>4.6920358725613967E-2</v>
      </c>
      <c r="E20" s="118">
        <v>9</v>
      </c>
      <c r="F20" s="208" t="n">
        <v>24381.0</v>
      </c>
      <c r="G20" s="11">
        <f si="1" t="shared"/>
        <v>3.4895441332521294E-2</v>
      </c>
    </row>
    <row r="21" spans="1:7" x14ac:dyDescent="0.25">
      <c r="A21">
        <v>10</v>
      </c>
      <c r="B21" s="8" t="n">
        <v>15885.581081</v>
      </c>
      <c r="C21" s="11">
        <f si="0" t="shared"/>
        <v>7.1225528784836512E-2</v>
      </c>
      <c r="E21" s="119">
        <v>10</v>
      </c>
      <c r="F21" s="209" t="n">
        <v>21832.0</v>
      </c>
      <c r="G21" s="11">
        <f si="1" t="shared"/>
        <v>3.0906175118148766E-2</v>
      </c>
    </row>
    <row r="22" spans="1:7" x14ac:dyDescent="0.25">
      <c r="A22">
        <v>11</v>
      </c>
      <c r="B22" s="8" t="n">
        <v>21351.482667</v>
      </c>
      <c r="C22" s="11">
        <f si="0" t="shared"/>
        <v>5.4959021021311227E-2</v>
      </c>
      <c r="E22" s="120">
        <v>11</v>
      </c>
      <c r="F22" s="210" t="n">
        <v>20007.0</v>
      </c>
      <c r="G22" s="11">
        <f si="1" t="shared"/>
        <v>2.7884970838463974E-2</v>
      </c>
    </row>
    <row r="23" spans="1:7" x14ac:dyDescent="0.25">
      <c r="A23">
        <v>12</v>
      </c>
      <c r="B23" s="8" t="n">
        <v>18172.385929</v>
      </c>
      <c r="C23" s="11">
        <f si="0" t="shared"/>
        <v>5.4086687945236231E-2</v>
      </c>
      <c r="E23" s="121">
        <v>12</v>
      </c>
      <c r="F23" s="211" t="n">
        <v>17879.0</v>
      </c>
      <c r="G23" s="11">
        <f si="1" t="shared"/>
        <v>2.4472818469770671E-2</v>
      </c>
    </row>
    <row r="24" spans="1:7" x14ac:dyDescent="0.25">
      <c r="A24">
        <v>13</v>
      </c>
      <c r="B24" s="8" t="n">
        <v>11139.004169</v>
      </c>
      <c r="C24" s="11">
        <f si="0" t="shared"/>
        <v>2.6622719283300025E-2</v>
      </c>
      <c r="E24" s="122">
        <v>13</v>
      </c>
      <c r="F24" s="212" t="n">
        <v>15558.0</v>
      </c>
      <c r="G24" s="11">
        <f si="1" t="shared"/>
        <v>2.2105853849242969E-2</v>
      </c>
    </row>
    <row r="25" spans="1:7" x14ac:dyDescent="0.25">
      <c r="A25">
        <v>14</v>
      </c>
      <c r="B25" s="8" t="n">
        <v>12530.841465</v>
      </c>
      <c r="C25" s="11">
        <f si="0" t="shared"/>
        <v>3.5704814886455022E-2</v>
      </c>
      <c r="E25" s="123">
        <v>14</v>
      </c>
      <c r="F25" s="213" t="n">
        <v>13491.0</v>
      </c>
      <c r="G25" s="11">
        <f si="1" t="shared"/>
        <v>2.0167070469057923E-2</v>
      </c>
    </row>
    <row r="26" spans="1:7" x14ac:dyDescent="0.25">
      <c r="A26">
        <v>15</v>
      </c>
      <c r="B26" s="8" t="n">
        <v>11914.218703</v>
      </c>
      <c r="C26" s="11">
        <f si="0" t="shared"/>
        <v>2.4457057201573984E-2</v>
      </c>
      <c r="E26" s="124">
        <v>15</v>
      </c>
      <c r="F26" s="214" t="n">
        <v>11756.0</v>
      </c>
      <c r="G26" s="11">
        <f si="1" t="shared"/>
        <v>1.8225627578063289E-2</v>
      </c>
    </row>
    <row r="27" spans="1:7" x14ac:dyDescent="0.25">
      <c r="A27">
        <v>16</v>
      </c>
      <c r="B27" s="8" t="n">
        <v>6366.245163</v>
      </c>
      <c r="C27" s="11">
        <f si="0" t="shared"/>
        <v>2.0117758632539916E-2</v>
      </c>
      <c r="E27" s="125">
        <v>16</v>
      </c>
      <c r="F27" s="215" t="n">
        <v>9649.0</v>
      </c>
      <c r="G27" s="11">
        <f si="1" t="shared"/>
        <v>1.6746939567935874E-2</v>
      </c>
    </row>
    <row r="28" spans="1:7" x14ac:dyDescent="0.25">
      <c r="A28">
        <v>17</v>
      </c>
      <c r="B28" s="8" t="n">
        <v>11569.064312</v>
      </c>
      <c r="C28" s="11">
        <f si="0" t="shared"/>
        <v>2.0445227859301879E-2</v>
      </c>
      <c r="E28" s="126">
        <v>17</v>
      </c>
      <c r="F28" s="216" t="n">
        <v>8332.0</v>
      </c>
      <c r="G28" s="11">
        <f si="1" t="shared"/>
        <v>1.5199104276759332E-2</v>
      </c>
    </row>
    <row r="29" spans="1:7" x14ac:dyDescent="0.25">
      <c r="A29">
        <v>18</v>
      </c>
      <c r="B29" s="8" t="n">
        <v>5427.568418</v>
      </c>
      <c r="C29" s="11">
        <f si="0" t="shared"/>
        <v>2.1674074929243801E-2</v>
      </c>
      <c r="E29" s="127">
        <v>18</v>
      </c>
      <c r="F29" s="217" t="n">
        <v>7405.0</v>
      </c>
      <c r="G29" s="11">
        <f si="1" t="shared"/>
        <v>1.5135276017329372E-2</v>
      </c>
    </row>
    <row r="30" spans="1:7" x14ac:dyDescent="0.25">
      <c r="A30">
        <v>19</v>
      </c>
      <c r="B30" s="8" t="n">
        <v>5111.306311</v>
      </c>
      <c r="C30" s="11">
        <f si="0" t="shared"/>
        <v>9.6128258281780055E-3</v>
      </c>
      <c r="E30" s="128">
        <v>19</v>
      </c>
      <c r="F30" s="218" t="n">
        <v>6408.0</v>
      </c>
      <c r="G30" s="11">
        <f si="1" t="shared"/>
        <v>1.375764941796606E-2</v>
      </c>
    </row>
    <row r="31" spans="1:7" x14ac:dyDescent="0.25">
      <c r="A31">
        <v>20</v>
      </c>
      <c r="B31" s="8" t="n">
        <v>3744.321407</v>
      </c>
      <c r="C31" s="11">
        <f si="0" t="shared"/>
        <v>7.8470206880158298E-3</v>
      </c>
      <c r="E31" s="129">
        <v>20</v>
      </c>
      <c r="F31" s="219" t="n">
        <v>5848.0</v>
      </c>
      <c r="G31" s="11">
        <f si="1" t="shared"/>
        <v>1.3502336380246217E-2</v>
      </c>
    </row>
    <row r="32" spans="1:7" x14ac:dyDescent="0.25">
      <c r="A32">
        <v>21</v>
      </c>
      <c r="B32" s="8" t="n">
        <v>3225.504343</v>
      </c>
      <c r="C32" s="11">
        <f si="0" t="shared"/>
        <v>6.9154023411706639E-3</v>
      </c>
      <c r="E32" s="130">
        <v>21</v>
      </c>
      <c r="F32" s="220" t="n">
        <v>5133.0</v>
      </c>
      <c r="G32" s="11">
        <f si="1" t="shared"/>
        <v>1.2786927972468744E-2</v>
      </c>
    </row>
    <row r="33" spans="1:7" x14ac:dyDescent="0.25">
      <c r="A33">
        <v>22</v>
      </c>
      <c r="B33" s="8" t="n">
        <v>3187.49245</v>
      </c>
      <c r="C33" s="11">
        <f si="0" t="shared"/>
        <v>1.3347050814076302E-2</v>
      </c>
      <c r="E33" s="131">
        <v>22</v>
      </c>
      <c r="F33" s="221" t="n">
        <v>4540.0</v>
      </c>
      <c r="G33" s="11">
        <f si="1" t="shared"/>
        <v>1.2239068745694916E-2</v>
      </c>
    </row>
    <row r="34" spans="1:7" x14ac:dyDescent="0.25">
      <c r="A34">
        <v>23</v>
      </c>
      <c r="B34" s="8" t="n">
        <v>3430.251592</v>
      </c>
      <c r="C34" s="11">
        <f si="0" t="shared"/>
        <v>1.0628699961557251E-2</v>
      </c>
      <c r="E34" s="132">
        <v>23</v>
      </c>
      <c r="F34" s="222" t="n">
        <v>4060.0</v>
      </c>
      <c r="G34" s="11">
        <f si="1" t="shared"/>
        <v>1.2249706788933244E-2</v>
      </c>
    </row>
    <row r="35" spans="1:7" x14ac:dyDescent="0.25">
      <c r="A35">
        <v>24</v>
      </c>
      <c r="B35" s="8" t="n">
        <v>3939.4118909999997</v>
      </c>
      <c r="C35" s="11">
        <f si="0" t="shared"/>
        <v>1.4257785878478139E-2</v>
      </c>
      <c r="E35" s="133">
        <v>24</v>
      </c>
      <c r="F35" s="223" t="n">
        <v>3547.0</v>
      </c>
      <c r="G35" s="11">
        <f si="1" t="shared"/>
        <v>1.1491746208202463E-2</v>
      </c>
    </row>
    <row r="36" spans="1:7" x14ac:dyDescent="0.25">
      <c r="A36">
        <v>25</v>
      </c>
      <c r="B36" s="8" t="n">
        <v>3115.010081</v>
      </c>
      <c r="C36" s="11">
        <f si="0" t="shared"/>
        <v>3.3983932016444377E-3</v>
      </c>
      <c r="E36" s="134">
        <v>25</v>
      </c>
      <c r="F36" s="224" t="n">
        <v>3408.0</v>
      </c>
      <c r="G36" s="11">
        <f si="1" t="shared"/>
        <v>1.1026331816525669E-2</v>
      </c>
    </row>
    <row r="37" spans="1:7" x14ac:dyDescent="0.25">
      <c r="A37">
        <v>26</v>
      </c>
      <c r="B37" s="8" t="n">
        <v>3105.647645</v>
      </c>
      <c r="C37" s="11">
        <f si="0" t="shared"/>
        <v>2.2288845016099064E-3</v>
      </c>
      <c r="E37" s="135">
        <v>26</v>
      </c>
      <c r="F37" s="225" t="n">
        <v>3125.0</v>
      </c>
      <c r="G37" s="11">
        <f si="1" t="shared"/>
        <v>1.0709850030185448E-2</v>
      </c>
    </row>
    <row r="38" spans="1:7" x14ac:dyDescent="0.25">
      <c r="A38">
        <v>27</v>
      </c>
      <c r="B38" s="8" t="n">
        <v>2490.885529</v>
      </c>
      <c r="C38" s="11">
        <f si="0" t="shared"/>
        <v>7.4867779205913089E-3</v>
      </c>
      <c r="E38" s="136">
        <v>27</v>
      </c>
      <c r="F38" s="226" t="n">
        <v>2794.0</v>
      </c>
      <c r="G38" s="11">
        <f si="1" t="shared"/>
        <v>1.0154012270982875E-2</v>
      </c>
    </row>
    <row r="39" spans="1:7" x14ac:dyDescent="0.25">
      <c r="A39">
        <v>28</v>
      </c>
      <c r="B39" s="8" t="n">
        <v>925.746639</v>
      </c>
      <c r="C39" s="11">
        <f si="0" t="shared"/>
        <v>1.4006529933807561E-2</v>
      </c>
      <c r="E39" s="137">
        <v>28</v>
      </c>
      <c r="F39" s="227" t="n">
        <v>2619.0</v>
      </c>
      <c r="G39" s="11">
        <f si="1" t="shared"/>
        <v>9.6859383684964988E-3</v>
      </c>
    </row>
    <row r="40" spans="1:7" x14ac:dyDescent="0.25">
      <c r="A40">
        <v>29</v>
      </c>
      <c r="B40" s="8" t="n">
        <v>3153.763517</v>
      </c>
      <c r="C40" s="11">
        <f si="0" t="shared"/>
        <v>5.9850080517784669E-3</v>
      </c>
      <c r="E40" s="138">
        <v>29</v>
      </c>
      <c r="F40" s="228" t="n">
        <v>2398.0</v>
      </c>
      <c r="G40" s="11">
        <f si="1" t="shared"/>
        <v>9.8082758657372562E-3</v>
      </c>
    </row>
    <row r="41" spans="1:7" x14ac:dyDescent="0.25">
      <c r="A41">
        <v>30</v>
      </c>
      <c r="B41" s="8" t="n">
        <v>2489.205348</v>
      </c>
      <c r="C41" s="11">
        <f si="0" t="shared"/>
        <v>4.1023970263775866E-3</v>
      </c>
      <c r="E41" s="139">
        <v>30</v>
      </c>
      <c r="F41" s="229" t="n">
        <v>2170.0</v>
      </c>
      <c r="G41" s="11">
        <f si="1" t="shared"/>
        <v>9.2125454443909589E-3</v>
      </c>
    </row>
    <row r="42" spans="1:7" x14ac:dyDescent="0.25">
      <c r="A42">
        <v>31</v>
      </c>
      <c r="B42" s="8" t="n">
        <v>2501.692751</v>
      </c>
      <c r="C42" s="11">
        <f si="0" t="shared"/>
        <v>3.2423252501943812E-3</v>
      </c>
      <c r="E42" s="140">
        <v>31</v>
      </c>
      <c r="F42" s="230" t="n">
        <v>1909.0</v>
      </c>
      <c r="G42" s="11">
        <f si="1" t="shared"/>
        <v>8.7684071391908175E-3</v>
      </c>
    </row>
    <row r="43" spans="1:7" x14ac:dyDescent="0.25">
      <c r="A43">
        <v>32</v>
      </c>
      <c r="B43" s="8" t="n">
        <v>2535.547136</v>
      </c>
      <c r="C43" s="11">
        <f si="0" t="shared"/>
        <v>1.9296184281656541E-3</v>
      </c>
      <c r="E43" s="141">
        <v>32</v>
      </c>
      <c r="F43" s="231" t="n">
        <v>1941.0</v>
      </c>
      <c r="G43" s="11">
        <f si="1" t="shared"/>
        <v>9.0556343066256397E-3</v>
      </c>
    </row>
    <row r="44" spans="1:7" x14ac:dyDescent="0.25">
      <c r="A44">
        <v>33</v>
      </c>
      <c r="B44" s="8" t="n">
        <v>1074.332272</v>
      </c>
      <c r="C44" s="11">
        <f si="0" t="shared"/>
        <v>1.3215498751091687E-3</v>
      </c>
      <c r="E44" s="142">
        <v>33</v>
      </c>
      <c r="F44" s="232" t="n">
        <v>1729.0</v>
      </c>
      <c r="G44" s="11">
        <f si="1" t="shared"/>
        <v>8.5822413825200998E-3</v>
      </c>
    </row>
    <row r="45" spans="1:7" x14ac:dyDescent="0.25">
      <c r="A45">
        <v>34</v>
      </c>
      <c r="B45" s="8" t="n">
        <v>811.657917</v>
      </c>
      <c r="C45" s="11">
        <f si="0" t="shared"/>
        <v>5.8627614386468577E-3</v>
      </c>
      <c r="E45" s="143">
        <v>34</v>
      </c>
      <c r="F45" s="233" t="n">
        <v>1645.0</v>
      </c>
      <c r="G45" s="11">
        <f si="1" t="shared"/>
        <v>8.2524620421319701E-3</v>
      </c>
    </row>
    <row r="46" spans="1:7" x14ac:dyDescent="0.25">
      <c r="A46">
        <v>35</v>
      </c>
      <c r="B46" s="8" t="n">
        <v>1150.846127</v>
      </c>
      <c r="C46" s="11">
        <f si="0" t="shared"/>
        <v>3.2886669249905546E-3</v>
      </c>
      <c r="E46" s="144">
        <v>35</v>
      </c>
      <c r="F46" s="234" t="n">
        <v>1577.0</v>
      </c>
      <c r="G46" s="11">
        <f si="1" t="shared"/>
        <v>7.7125813477868883E-3</v>
      </c>
    </row>
    <row r="47" spans="1:7" x14ac:dyDescent="0.25">
      <c r="A47">
        <v>36</v>
      </c>
      <c r="B47" s="8" t="n">
        <v>777.406865</v>
      </c>
      <c r="C47" s="11">
        <f si="0" t="shared"/>
        <v>4.8436553142036237E-3</v>
      </c>
      <c r="E47" s="145">
        <v>36</v>
      </c>
      <c r="F47" s="235" t="n">
        <v>1522.0</v>
      </c>
      <c r="G47" s="11">
        <f si="1" t="shared"/>
        <v>7.4998204830203528E-3</v>
      </c>
    </row>
    <row r="48" spans="1:7" x14ac:dyDescent="0.25">
      <c r="A48">
        <v>37</v>
      </c>
      <c r="B48" s="8" t="n">
        <v>1101.74298</v>
      </c>
      <c r="C48" s="11">
        <f si="0" t="shared"/>
        <v>3.3787717281808759E-3</v>
      </c>
      <c r="E48" s="146">
        <v>37</v>
      </c>
      <c r="F48" s="236" t="n">
        <v>1389.0</v>
      </c>
      <c r="G48" s="11">
        <f si="1" t="shared"/>
        <v>7.6141794478323654E-3</v>
      </c>
    </row>
    <row r="49" spans="1:7" x14ac:dyDescent="0.25">
      <c r="A49">
        <v>38</v>
      </c>
      <c r="B49" s="8" t="n">
        <v>2839.18682</v>
      </c>
      <c r="C49" s="11">
        <f si="0" t="shared"/>
        <v>3.6532600094058678E-3</v>
      </c>
      <c r="E49" s="147">
        <v>38</v>
      </c>
      <c r="F49" s="237" t="n">
        <v>1326.0</v>
      </c>
      <c r="G49" s="11">
        <f si="1" t="shared"/>
        <v>7.2125933155855314E-3</v>
      </c>
    </row>
    <row r="50" spans="1:7" x14ac:dyDescent="0.25">
      <c r="A50">
        <v>39</v>
      </c>
      <c r="B50" s="8" t="n">
        <v>1743.095227</v>
      </c>
      <c r="C50" s="11">
        <f si="0" t="shared"/>
        <v>1.3746380190954018E-3</v>
      </c>
      <c r="E50" s="148">
        <v>39</v>
      </c>
      <c r="F50" s="238" t="n">
        <v>1319.0</v>
      </c>
      <c r="G50" s="11">
        <f si="1" t="shared"/>
        <v>6.8508998454824216E-3</v>
      </c>
    </row>
    <row r="51" spans="1:7" x14ac:dyDescent="0.25">
      <c r="A51">
        <v>40</v>
      </c>
      <c r="B51" s="8" t="n">
        <v>1522.7119969999999</v>
      </c>
      <c r="C51" s="11">
        <f si="0" t="shared"/>
        <v>8.003523744511122E-4</v>
      </c>
      <c r="E51" s="149">
        <v>40</v>
      </c>
      <c r="F51" s="239" t="n">
        <v>1225.0</v>
      </c>
      <c r="G51" s="11">
        <f si="1" t="shared"/>
        <v>6.7338813698608274E-3</v>
      </c>
    </row>
    <row r="52" spans="1:7" x14ac:dyDescent="0.25">
      <c r="A52">
        <v>41</v>
      </c>
      <c r="B52" s="8" t="n">
        <v>381.125067</v>
      </c>
      <c r="C52" s="11">
        <f si="0" t="shared"/>
        <v>1.9121446344809525E-3</v>
      </c>
      <c r="E52" s="150">
        <v>41</v>
      </c>
      <c r="F52" s="240" t="n">
        <v>1221.0</v>
      </c>
      <c r="G52" s="11">
        <f si="1" t="shared"/>
        <v>6.7072862617650105E-3</v>
      </c>
    </row>
    <row r="53" spans="1:7" x14ac:dyDescent="0.25">
      <c r="A53">
        <v>42</v>
      </c>
      <c r="B53" s="8" t="n">
        <v>1086.692855</v>
      </c>
      <c r="C53" s="11">
        <f si="0" t="shared"/>
        <v>7.2844225907930406E-4</v>
      </c>
      <c r="E53" s="151">
        <v>42</v>
      </c>
      <c r="F53" s="241" t="n">
        <v>1124.0</v>
      </c>
      <c r="G53" s="11">
        <f si="1" t="shared"/>
        <v>6.4998444186176391E-3</v>
      </c>
    </row>
    <row r="54" spans="1:7" x14ac:dyDescent="0.25">
      <c r="A54">
        <v>43</v>
      </c>
      <c r="B54" s="8" t="n">
        <v>162.70512399999998</v>
      </c>
      <c r="C54" s="11">
        <f si="0" t="shared"/>
        <v>1.5747684382229493E-3</v>
      </c>
      <c r="E54" s="152">
        <v>43</v>
      </c>
      <c r="F54" s="242" t="n">
        <v>1015.0</v>
      </c>
      <c r="G54" s="11">
        <f si="1" t="shared"/>
        <v>6.3562308349002289E-3</v>
      </c>
    </row>
    <row r="55" spans="1:7" x14ac:dyDescent="0.25">
      <c r="A55">
        <v>44</v>
      </c>
      <c r="B55" s="8" t="n">
        <v>69.795838</v>
      </c>
      <c r="C55" s="11">
        <f si="0" t="shared"/>
        <v>2.3554360382899366E-3</v>
      </c>
      <c r="E55" s="153">
        <v>44</v>
      </c>
      <c r="F55" s="243" t="n">
        <v>963.0</v>
      </c>
      <c r="G55" s="11">
        <f si="1" t="shared"/>
        <v>6.3296357268044119E-3</v>
      </c>
    </row>
    <row r="56" spans="1:7" x14ac:dyDescent="0.25">
      <c r="A56">
        <v>45</v>
      </c>
      <c r="B56" s="8" t="n">
        <v>222.93762099999998</v>
      </c>
      <c r="C56" s="11">
        <f si="0" t="shared"/>
        <v>1.6154594962621081E-3</v>
      </c>
      <c r="E56" s="154">
        <v>45</v>
      </c>
      <c r="F56" s="244" t="n">
        <v>919.0</v>
      </c>
      <c r="G56" s="11">
        <f si="1" t="shared"/>
        <v>6.0769821998941514E-3</v>
      </c>
    </row>
    <row r="57" spans="1:7" x14ac:dyDescent="0.25">
      <c r="A57">
        <v>46</v>
      </c>
      <c r="B57" s="8" t="n">
        <v>1010.9302729999999</v>
      </c>
      <c r="C57" s="11">
        <f si="0" t="shared"/>
        <v>5.1985425715305204E-4</v>
      </c>
      <c r="E57" s="155">
        <v>46</v>
      </c>
      <c r="F57" s="245" t="n">
        <v>918.0</v>
      </c>
      <c r="G57" s="11">
        <f si="1" t="shared"/>
        <v>6.0557061134174977E-3</v>
      </c>
    </row>
    <row r="58" spans="1:7" x14ac:dyDescent="0.25">
      <c r="A58">
        <v>47</v>
      </c>
      <c r="B58" s="8" t="n">
        <v>34.050388</v>
      </c>
      <c r="C58" s="11">
        <f si="0" t="shared"/>
        <v>1.3450600747289469E-3</v>
      </c>
      <c r="E58" s="156">
        <v>47</v>
      </c>
      <c r="F58" s="246" t="n">
        <v>844.0</v>
      </c>
      <c r="G58" s="11">
        <f si="1" t="shared"/>
        <v>5.7605004135539307E-3</v>
      </c>
    </row>
    <row r="59" spans="1:7" x14ac:dyDescent="0.25">
      <c r="A59">
        <v>48</v>
      </c>
      <c r="B59" s="8" t="n">
        <v>531.287106</v>
      </c>
      <c r="C59" s="11">
        <f si="0" t="shared"/>
        <v>9.675527009119178E-4</v>
      </c>
      <c r="E59" s="157">
        <v>48</v>
      </c>
      <c r="F59" s="247" t="n">
        <v>767.0</v>
      </c>
      <c r="G59" s="11">
        <f si="1" t="shared"/>
        <v>5.4812517785478541E-3</v>
      </c>
    </row>
    <row r="60" spans="1:7" x14ac:dyDescent="0.25">
      <c r="A60">
        <v>49</v>
      </c>
      <c r="B60" s="8" t="n">
        <v>717.997614</v>
      </c>
      <c r="C60" s="11">
        <f si="0" t="shared"/>
        <v>8.6874649838883291E-4</v>
      </c>
      <c r="E60" s="158">
        <v>49</v>
      </c>
      <c r="F60" s="248" t="n">
        <v>752.0</v>
      </c>
      <c r="G60" s="11">
        <f si="1" t="shared"/>
        <v>4.957328149060262E-3</v>
      </c>
    </row>
    <row r="61" spans="1:7" x14ac:dyDescent="0.25">
      <c r="A61">
        <v>50</v>
      </c>
      <c r="B61" s="8" t="n">
        <v>429.052119</v>
      </c>
      <c r="C61" s="11">
        <f si="0" t="shared"/>
        <v>9.0148688832885357E-4</v>
      </c>
      <c r="E61" s="159">
        <v>50</v>
      </c>
      <c r="F61" s="249" t="n">
        <v>705.0</v>
      </c>
      <c r="G61" s="11">
        <f si="1" t="shared"/>
        <v>5.0450920057764576E-3</v>
      </c>
    </row>
    <row r="62" spans="1:7" x14ac:dyDescent="0.25">
      <c r="A62">
        <v>51</v>
      </c>
      <c r="B62" s="8" t="n">
        <v>198.753378</v>
      </c>
      <c r="C62" s="11">
        <f si="0" t="shared"/>
        <v>1.6764832187531802E-3</v>
      </c>
      <c r="E62" s="160">
        <v>51</v>
      </c>
      <c r="F62" s="250" t="n">
        <v>666.0</v>
      </c>
      <c r="G62" s="11">
        <f si="1" t="shared"/>
        <v>4.7950979896757787E-3</v>
      </c>
    </row>
    <row r="63" spans="1:7" x14ac:dyDescent="0.25">
      <c r="A63">
        <v>52</v>
      </c>
      <c r="B63" s="8" t="n">
        <v>458.885721</v>
      </c>
      <c r="C63" s="11">
        <f si="0" t="shared"/>
        <v>0</v>
      </c>
      <c r="E63" s="161">
        <v>52</v>
      </c>
      <c r="F63" s="251" t="n">
        <v>595.0</v>
      </c>
      <c r="G63" s="11">
        <f si="1" t="shared"/>
        <v>4.6780795140541846E-3</v>
      </c>
    </row>
    <row r="64" spans="1:7" x14ac:dyDescent="0.25">
      <c r="A64">
        <v>53</v>
      </c>
      <c r="B64" s="8" t="n">
        <v>85.4146</v>
      </c>
      <c r="C64" s="11">
        <f si="0" t="shared"/>
        <v>1.1052184210168709E-3</v>
      </c>
      <c r="E64" s="162">
        <v>53</v>
      </c>
      <c r="F64" s="252" t="n">
        <v>647.0</v>
      </c>
      <c r="G64" s="11">
        <f si="1" t="shared"/>
        <v>4.4201069655247617E-3</v>
      </c>
    </row>
    <row r="65" spans="1:7" x14ac:dyDescent="0.25">
      <c r="A65">
        <v>54</v>
      </c>
      <c r="B65" s="8" t="n">
        <v>485.631151</v>
      </c>
      <c r="C65" s="11">
        <f si="0" t="shared"/>
        <v>8.8635546352863715E-5</v>
      </c>
      <c r="E65" s="163">
        <v>54</v>
      </c>
      <c r="F65" s="253" t="n">
        <v>530.0</v>
      </c>
      <c r="G65" s="11">
        <f si="1" t="shared"/>
        <v>4.0663920278503976E-3</v>
      </c>
    </row>
    <row r="66" spans="1:7" x14ac:dyDescent="0.25">
      <c r="A66">
        <v>55</v>
      </c>
      <c r="B66" s="8" t="n">
        <v>422.666653</v>
      </c>
      <c r="C66" s="11">
        <f si="0" t="shared"/>
        <v>4.45927971947861E-4</v>
      </c>
      <c r="E66" s="164">
        <v>55</v>
      </c>
      <c r="F66" s="254" t="n">
        <v>569.0</v>
      </c>
      <c r="G66" s="11">
        <f si="1" t="shared"/>
        <v>3.9015023576563328E-3</v>
      </c>
    </row>
    <row r="67" spans="1:7" x14ac:dyDescent="0.25">
      <c r="A67">
        <v>56</v>
      </c>
      <c r="B67" s="8" t="n">
        <v>108.083727</v>
      </c>
      <c r="C67" s="11">
        <f si="0" t="shared"/>
        <v>3.5737056997987779E-3</v>
      </c>
      <c r="E67" s="165">
        <v>56</v>
      </c>
      <c r="F67" s="255" t="n">
        <v>568.0</v>
      </c>
      <c r="G67" s="11">
        <f si="1" t="shared"/>
        <v>3.4547045416466094E-3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498.0</v>
      </c>
      <c r="G68" s="11">
        <f si="1" t="shared"/>
        <v>3.2100295471650946E-3</v>
      </c>
    </row>
    <row r="69" spans="1:7" x14ac:dyDescent="0.25">
      <c r="A69">
        <v>58</v>
      </c>
      <c r="B69" s="8" t="n">
        <v>180.622095</v>
      </c>
      <c r="C69" s="11">
        <f si="0" t="shared"/>
        <v>1.6297993942915266E-4</v>
      </c>
      <c r="E69" s="167">
        <v>58</v>
      </c>
      <c r="F69" s="257" t="n">
        <v>484.0</v>
      </c>
      <c r="G69" s="11">
        <f si="1" t="shared"/>
        <v>2.8696121635386389E-3</v>
      </c>
    </row>
    <row r="70" spans="1:7" x14ac:dyDescent="0.25">
      <c r="A70">
        <v>59</v>
      </c>
      <c r="B70" s="8" t="n">
        <v>0.0</v>
      </c>
      <c r="C70" s="11">
        <f si="0" t="shared"/>
        <v>4.5753264981065659E-4</v>
      </c>
      <c r="E70" s="168">
        <v>59</v>
      </c>
      <c r="F70" s="258" t="n">
        <v>463.0</v>
      </c>
      <c r="G70" s="11">
        <f si="1" t="shared"/>
        <v>2.8376980338236583E-3</v>
      </c>
    </row>
    <row r="71" spans="1:7" x14ac:dyDescent="0.25">
      <c r="A71">
        <v>60</v>
      </c>
      <c r="B71" s="8" t="n">
        <v>21.137344</v>
      </c>
      <c r="C71" s="11">
        <f si="0" t="shared"/>
        <v>3.9508573070772392E-4</v>
      </c>
      <c r="E71" s="169">
        <v>60</v>
      </c>
      <c r="F71" s="259" t="n">
        <v>470.0</v>
      </c>
      <c r="G71" s="11">
        <f si="1" t="shared"/>
        <v>2.6222776582475421E-3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462.0</v>
      </c>
      <c r="G72" s="11">
        <f si="1" t="shared"/>
        <v>2.4254738583384971E-3</v>
      </c>
    </row>
    <row r="73" spans="1:7" x14ac:dyDescent="0.25">
      <c r="A73">
        <v>62</v>
      </c>
      <c r="B73" s="8" t="n">
        <v>153.818257</v>
      </c>
      <c r="C73" s="11">
        <f si="0" t="shared"/>
        <v>5.8734711339728277E-4</v>
      </c>
      <c r="E73" s="171">
        <v>62</v>
      </c>
      <c r="F73" s="261" t="n">
        <v>394.0</v>
      </c>
      <c r="G73" s="11">
        <f si="1" t="shared"/>
        <v>2.1169706044270216E-3</v>
      </c>
    </row>
    <row r="74" spans="1:7" x14ac:dyDescent="0.25">
      <c r="A74">
        <v>63</v>
      </c>
      <c r="B74" s="8" t="n">
        <v>580.584333</v>
      </c>
      <c r="C74" s="11">
        <f si="0" t="shared"/>
        <v>0</v>
      </c>
      <c r="E74" s="172">
        <v>63</v>
      </c>
      <c r="F74" s="262" t="n">
        <v>407.0</v>
      </c>
      <c r="G74" s="11">
        <f si="1" t="shared"/>
        <v>2.1089920719982768E-3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173">
        <v>64</v>
      </c>
      <c r="F75" s="263" t="n">
        <v>366.0</v>
      </c>
      <c r="G75" s="11">
        <f si="1" t="shared"/>
        <v>1.8882526748029967E-3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174">
        <v>65</v>
      </c>
      <c r="F76" s="264" t="n">
        <v>340.0</v>
      </c>
      <c r="G76" s="11">
        <f si="1" t="shared"/>
        <v>1.8403814802305264E-3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1.0008846145447093E-4</v>
      </c>
      <c r="E77" s="175">
        <v>66</v>
      </c>
      <c r="F77" s="265" t="n">
        <v>341.0</v>
      </c>
      <c r="G77" s="11">
        <f ref="G77:G102" si="3" t="shared">F77/F$102</f>
        <v>1.6409181695119001E-3</v>
      </c>
    </row>
    <row r="78" spans="1:7" x14ac:dyDescent="0.25">
      <c r="A78">
        <v>67</v>
      </c>
      <c r="B78" s="8" t="n">
        <v>222.426854</v>
      </c>
      <c r="C78" s="11">
        <f si="2" t="shared"/>
        <v>5.7172776272414031E-4</v>
      </c>
      <c r="E78" s="176">
        <v>67</v>
      </c>
      <c r="F78" s="266" t="n">
        <v>306.0</v>
      </c>
      <c r="G78" s="11">
        <f si="3" t="shared"/>
        <v>1.582408931701103E-3</v>
      </c>
    </row>
    <row r="79" spans="1:7" x14ac:dyDescent="0.25">
      <c r="A79">
        <v>68</v>
      </c>
      <c r="B79" s="8" t="n">
        <v>0.0</v>
      </c>
      <c r="C79" s="11">
        <f si="2" t="shared"/>
        <v>8.3636882982632873E-4</v>
      </c>
      <c r="E79" s="177">
        <v>68</v>
      </c>
      <c r="F79" s="267" t="n">
        <v>258.0</v>
      </c>
      <c r="G79" s="11">
        <f si="3" t="shared"/>
        <v>1.5504948019861226E-3</v>
      </c>
    </row>
    <row r="80" spans="1:7" x14ac:dyDescent="0.25">
      <c r="A80">
        <v>69</v>
      </c>
      <c r="B80" s="8" t="n">
        <v>0.0</v>
      </c>
      <c r="C80" s="11">
        <f si="2" t="shared"/>
        <v>2.0498064147667599E-3</v>
      </c>
      <c r="E80" s="178">
        <v>69</v>
      </c>
      <c r="F80" s="268" t="n">
        <v>270.0</v>
      </c>
      <c r="G80" s="11">
        <f si="3" t="shared"/>
        <v>1.2765651885992091E-3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294.0</v>
      </c>
      <c r="G81" s="11">
        <f si="3" t="shared"/>
        <v>1.2792246994087907E-3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268.0</v>
      </c>
      <c r="G82" s="11">
        <f si="3" t="shared"/>
        <v>1.1781632886446868E-3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181">
        <v>72</v>
      </c>
      <c r="F83" s="271" t="n">
        <v>227.0</v>
      </c>
      <c r="G83" s="11">
        <f si="3" t="shared"/>
        <v>1.0398687265464391E-3</v>
      </c>
    </row>
    <row r="84" spans="1:7" x14ac:dyDescent="0.25">
      <c r="A84">
        <v>73</v>
      </c>
      <c r="B84" s="8" t="n">
        <v>336.909338</v>
      </c>
      <c r="C84" s="11">
        <f si="2" t="shared"/>
        <v>0</v>
      </c>
      <c r="E84" s="182">
        <v>73</v>
      </c>
      <c r="F84" s="272" t="n">
        <v>243.0</v>
      </c>
      <c r="G84" s="11">
        <f si="3" t="shared"/>
        <v>1.0531662805943476E-3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183">
        <v>74</v>
      </c>
      <c r="F85" s="273" t="n">
        <v>201.0</v>
      </c>
      <c r="G85" s="11">
        <f si="3" t="shared"/>
        <v>9.973165535931321E-4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184">
        <v>75</v>
      </c>
      <c r="F86" s="274" t="n">
        <v>206.0</v>
      </c>
      <c r="G86" s="11">
        <f si="3" t="shared"/>
        <v>8.6434101311404785E-4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185">
        <v>76</v>
      </c>
      <c r="F87" s="275" t="n">
        <v>194.0</v>
      </c>
      <c r="G87" s="11">
        <f si="3" t="shared"/>
        <v>9.2019074011526322E-4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186">
        <v>77</v>
      </c>
      <c r="F88" s="276" t="n">
        <v>188.0</v>
      </c>
      <c r="G88" s="11">
        <f si="3" t="shared"/>
        <v>7.9785324287450562E-4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179.0</v>
      </c>
      <c r="G89" s="11">
        <f si="3" t="shared"/>
        <v>6.1700650782295103E-4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173.0</v>
      </c>
      <c r="G90" s="11">
        <f si="3" t="shared"/>
        <v>7.2604645101580017E-4</v>
      </c>
    </row>
    <row r="91" spans="1:7" x14ac:dyDescent="0.25">
      <c r="A91">
        <v>80</v>
      </c>
      <c r="B91" s="8" t="n">
        <v>0.0</v>
      </c>
      <c r="C91" s="11">
        <f si="2" t="shared"/>
        <v>2.2777255843364075E-4</v>
      </c>
      <c r="E91" s="189">
        <v>80</v>
      </c>
      <c r="F91" s="279" t="n">
        <v>162.0</v>
      </c>
      <c r="G91" s="11">
        <f si="3" t="shared"/>
        <v>6.5955868077625804E-4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182.0</v>
      </c>
      <c r="G92" s="11">
        <f si="3" t="shared"/>
        <v>5.7711384567922573E-4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137.0</v>
      </c>
      <c r="G93" s="11">
        <f si="3" t="shared"/>
        <v>4.8403096734386678E-4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192">
        <v>83</v>
      </c>
      <c r="F94" s="282" t="n">
        <v>178.0</v>
      </c>
      <c r="G94" s="11">
        <f si="3" t="shared"/>
        <v>5.1328558624926532E-4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124.0</v>
      </c>
      <c r="G95" s="11">
        <f si="3" t="shared"/>
        <v>4.3615977277139644E-4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107.0</v>
      </c>
      <c r="G96" s="11">
        <f si="3" t="shared"/>
        <v>4.6009537005763161E-4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104.0</v>
      </c>
      <c r="G97" s="11">
        <f si="3" t="shared"/>
        <v>4.467978160097232E-4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130.0</v>
      </c>
      <c r="G98" s="11">
        <f si="3" t="shared"/>
        <v>4.0956466467557956E-4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109.0</v>
      </c>
      <c r="G99" s="11">
        <f si="3" t="shared"/>
        <v>3.6435298091269094E-4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100.0</v>
      </c>
      <c r="G100" s="11">
        <f si="3" t="shared"/>
        <v>3.6169347010310923E-4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0</v>
      </c>
      <c r="E101" s="292">
        <v>90</v>
      </c>
      <c r="F101" s="292" t="n">
        <v>5784.0</v>
      </c>
      <c r="G101" s="11">
        <f si="3" t="shared"/>
        <v>1.3497017358627053E-2</v>
      </c>
    </row>
    <row r="102" spans="1:7" x14ac:dyDescent="0.25">
      <c r="B102" s="8">
        <f>SUM(B11:B101)</f>
        <v>344939.69133200013</v>
      </c>
      <c r="C102" s="11">
        <f si="2" t="shared"/>
        <v>1</v>
      </c>
      <c r="F102" s="8">
        <f>SUM(F11:F101)</f>
        <v>376009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3" workbookViewId="0" zoomScaleNormal="100">
      <selection activeCell="AF48" sqref="AF48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130161.632161</v>
      </c>
      <c r="C7" s="12" t="n">
        <v>0.0</v>
      </c>
      <c r="D7" s="12" t="n">
        <v>697.890619</v>
      </c>
      <c r="E7" s="12" t="n">
        <v>1110.387855</v>
      </c>
      <c r="F7" s="12" t="n">
        <v>2538.918279</v>
      </c>
      <c r="G7" s="12" t="n">
        <v>5616.01582</v>
      </c>
      <c r="H7" s="12" t="n">
        <v>786.890864</v>
      </c>
      <c r="I7" s="12"/>
      <c r="J7" s="12">
        <f ref="J7:J14" si="0" t="shared">SUM(B7:I7)</f>
        <v>33763.331853000003</v>
      </c>
      <c r="K7" s="12"/>
      <c r="L7">
        <f>$A$7</f>
        <v>1</v>
      </c>
      <c r="M7" s="343" t="n">
        <v>146995.0</v>
      </c>
      <c r="N7" s="343" t="n">
        <v>3.0</v>
      </c>
      <c r="O7" s="343" t="n">
        <v>53.0</v>
      </c>
      <c r="P7" s="343" t="n">
        <v>2229.0</v>
      </c>
      <c r="Q7" s="343" t="n">
        <v>612.0</v>
      </c>
      <c r="R7" s="343" t="n">
        <v>6097.0</v>
      </c>
      <c r="S7" s="343" t="n">
        <v>2317.0</v>
      </c>
      <c r="T7" s="291"/>
      <c r="U7" s="12">
        <f ref="U7:U14" si="1" t="shared">SUM(M7:T7)</f>
        <v>43615</v>
      </c>
    </row>
    <row r="8" spans="1:21" x14ac:dyDescent="0.25">
      <c r="A8">
        <v>2</v>
      </c>
      <c r="B8" s="12" t="n">
        <v>1534.755558</v>
      </c>
      <c r="C8" s="12" t="n">
        <v>16759.625962</v>
      </c>
      <c r="D8" s="12" t="n">
        <v>0.0</v>
      </c>
      <c r="E8" s="12" t="n">
        <v>155.450841</v>
      </c>
      <c r="F8" s="12" t="n">
        <v>0.0</v>
      </c>
      <c r="G8" s="12" t="n">
        <v>1720.9037779999999</v>
      </c>
      <c r="H8" s="12" t="n">
        <v>0.0</v>
      </c>
      <c r="I8" s="12"/>
      <c r="J8" s="12">
        <f si="0" t="shared"/>
        <v>59997.562356000002</v>
      </c>
      <c r="K8" s="12"/>
      <c r="L8">
        <f>$A$8</f>
        <v>2</v>
      </c>
      <c r="M8" s="343" t="n">
        <v>779.0</v>
      </c>
      <c r="N8" s="343" t="n">
        <v>17023.0</v>
      </c>
      <c r="O8" s="343" t="n">
        <v>0.0</v>
      </c>
      <c r="P8" s="343" t="n">
        <v>281.0</v>
      </c>
      <c r="Q8" s="343" t="n">
        <v>0.0</v>
      </c>
      <c r="R8" s="343" t="n">
        <v>4422.0</v>
      </c>
      <c r="S8" s="343" t="n">
        <v>8.0</v>
      </c>
      <c r="T8" s="291"/>
      <c r="U8" s="12">
        <f si="1" t="shared"/>
        <v>64202</v>
      </c>
    </row>
    <row r="9" spans="1:21" x14ac:dyDescent="0.25">
      <c r="A9" s="294">
        <v>3</v>
      </c>
      <c r="B9" s="12" t="n">
        <v>960.855129</v>
      </c>
      <c r="C9" s="12" t="n">
        <v>0.0</v>
      </c>
      <c r="D9" s="12" t="n">
        <v>13085.219886</v>
      </c>
      <c r="E9" s="12" t="n">
        <v>0.0</v>
      </c>
      <c r="F9" s="12" t="n">
        <v>1439.823862</v>
      </c>
      <c r="G9" s="12" t="n">
        <v>0.0</v>
      </c>
      <c r="H9" s="12" t="n">
        <v>0.0</v>
      </c>
      <c r="I9" s="12"/>
      <c r="J9" s="12">
        <f si="0" t="shared"/>
        <v>34036.009189999997</v>
      </c>
      <c r="K9" s="13"/>
      <c r="L9">
        <f>$A$9</f>
        <v>3</v>
      </c>
      <c r="M9" s="343" t="n">
        <v>5014.0</v>
      </c>
      <c r="N9" s="343" t="n">
        <v>0.0</v>
      </c>
      <c r="O9" s="343" t="n">
        <v>10705.0</v>
      </c>
      <c r="P9" s="343" t="n">
        <v>30.0</v>
      </c>
      <c r="Q9" s="343" t="n">
        <v>979.0</v>
      </c>
      <c r="R9" s="343" t="n">
        <v>70.0</v>
      </c>
      <c r="S9" s="343" t="n">
        <v>60.0</v>
      </c>
      <c r="T9" s="291"/>
      <c r="U9" s="12">
        <f si="1" t="shared"/>
        <v>35696</v>
      </c>
    </row>
    <row r="10" spans="1:21" x14ac:dyDescent="0.25">
      <c r="A10">
        <v>4</v>
      </c>
      <c r="B10" s="12" t="n">
        <v>2958.90081</v>
      </c>
      <c r="C10" s="12" t="n">
        <v>0.0</v>
      </c>
      <c r="D10" s="12" t="n">
        <v>0.0</v>
      </c>
      <c r="E10" s="12" t="n">
        <v>53665.717083</v>
      </c>
      <c r="F10" s="12" t="n">
        <v>367.064602</v>
      </c>
      <c r="G10" s="12" t="n">
        <v>1465.73728</v>
      </c>
      <c r="H10" s="12" t="n">
        <v>1729.917532</v>
      </c>
      <c r="I10" s="12"/>
      <c r="J10" s="12">
        <f si="0" t="shared"/>
        <v>13911.618689999999</v>
      </c>
      <c r="K10" s="13"/>
      <c r="L10">
        <f>$A$10</f>
        <v>4</v>
      </c>
      <c r="M10" s="343" t="n">
        <v>2612.0</v>
      </c>
      <c r="N10" s="343" t="n">
        <v>5.0</v>
      </c>
      <c r="O10" s="343" t="n">
        <v>1.0</v>
      </c>
      <c r="P10" s="343" t="n">
        <v>63529.0</v>
      </c>
      <c r="Q10" s="343" t="n">
        <v>1.0</v>
      </c>
      <c r="R10" s="343" t="n">
        <v>512.0</v>
      </c>
      <c r="S10" s="343" t="n">
        <v>288.0</v>
      </c>
      <c r="T10" s="291"/>
      <c r="U10" s="12">
        <f si="1" t="shared"/>
        <v>13795</v>
      </c>
    </row>
    <row r="11" spans="1:21" x14ac:dyDescent="0.25">
      <c r="A11" s="294">
        <v>5</v>
      </c>
      <c r="B11" s="12" t="n">
        <v>4360.440871</v>
      </c>
      <c r="C11" s="12" t="n">
        <v>0.0</v>
      </c>
      <c r="D11" s="12" t="n">
        <v>1358.076741</v>
      </c>
      <c r="E11" s="12" t="n">
        <v>0.0</v>
      </c>
      <c r="F11" s="12" t="n">
        <v>34439.20866</v>
      </c>
      <c r="G11" s="12" t="n">
        <v>50.362862</v>
      </c>
      <c r="H11" s="12" t="n">
        <v>0.0</v>
      </c>
      <c r="I11" s="12"/>
      <c r="J11" s="12">
        <f si="0" t="shared"/>
        <v>139183.326596</v>
      </c>
      <c r="K11" s="13"/>
      <c r="L11">
        <f>$A$11</f>
        <v>5</v>
      </c>
      <c r="M11" s="343" t="n">
        <v>9961.0</v>
      </c>
      <c r="N11" s="343" t="n">
        <v>1.0</v>
      </c>
      <c r="O11" s="343" t="n">
        <v>1269.0</v>
      </c>
      <c r="P11" s="343" t="n">
        <v>103.0</v>
      </c>
      <c r="Q11" s="343" t="n">
        <v>30568.0</v>
      </c>
      <c r="R11" s="343" t="n">
        <v>97.0</v>
      </c>
      <c r="S11" s="343" t="n">
        <v>618.0</v>
      </c>
      <c r="T11" s="291"/>
      <c r="U11" s="12">
        <f si="1" t="shared"/>
        <v>152594</v>
      </c>
    </row>
    <row r="12" spans="1:21" x14ac:dyDescent="0.25">
      <c r="A12">
        <v>6</v>
      </c>
      <c r="B12" s="12" t="n">
        <v>5961.216861</v>
      </c>
      <c r="C12" s="12" t="n">
        <v>209.936092</v>
      </c>
      <c r="D12" s="12" t="n">
        <v>0.0</v>
      </c>
      <c r="E12" s="12" t="n">
        <v>2615.701104</v>
      </c>
      <c r="F12" s="12" t="n">
        <v>0.0</v>
      </c>
      <c r="G12" s="12" t="n">
        <v>26920.430021</v>
      </c>
      <c r="H12" s="12" t="n">
        <v>0.0</v>
      </c>
      <c r="I12" s="12"/>
      <c r="J12" s="12">
        <f si="0" t="shared"/>
        <v>19823.840585999998</v>
      </c>
      <c r="K12" s="13"/>
      <c r="L12">
        <f>$A$12</f>
        <v>6</v>
      </c>
      <c r="M12" s="343" t="n">
        <v>6153.0</v>
      </c>
      <c r="N12" s="343" t="n">
        <v>1804.0</v>
      </c>
      <c r="O12" s="343" t="n">
        <v>0.0</v>
      </c>
      <c r="P12" s="343" t="n">
        <v>1137.0</v>
      </c>
      <c r="Q12" s="343" t="n">
        <v>6.0</v>
      </c>
      <c r="R12" s="343" t="n">
        <v>43747.0</v>
      </c>
      <c r="S12" s="343" t="n">
        <v>29.0</v>
      </c>
      <c r="T12" s="291"/>
      <c r="U12" s="12">
        <f si="1" t="shared"/>
        <v>19867</v>
      </c>
    </row>
    <row r="13" spans="1:21" x14ac:dyDescent="0.25">
      <c r="A13" s="294">
        <v>7</v>
      </c>
      <c r="B13" s="12" t="n">
        <v>6896.928968</v>
      </c>
      <c r="C13" s="12" t="n">
        <v>0.0</v>
      </c>
      <c r="D13" s="12" t="n">
        <v>0.0</v>
      </c>
      <c r="E13" s="12" t="n">
        <v>1177.724596</v>
      </c>
      <c r="F13" s="12" t="n">
        <v>0.0</v>
      </c>
      <c r="G13" s="12" t="n">
        <v>194.850335</v>
      </c>
      <c r="H13" s="12" t="n">
        <v>23999.1063</v>
      </c>
      <c r="I13" s="12"/>
      <c r="J13" s="12">
        <f si="0" t="shared"/>
        <v>28691.117595</v>
      </c>
      <c r="K13" s="13"/>
      <c r="L13">
        <v>7</v>
      </c>
      <c r="M13" s="343" t="n">
        <v>6249.0</v>
      </c>
      <c r="N13" s="343" t="n">
        <v>0.0</v>
      </c>
      <c r="O13" s="343" t="n">
        <v>1.0</v>
      </c>
      <c r="P13" s="343" t="n">
        <v>1732.0</v>
      </c>
      <c r="Q13" s="343" t="n">
        <v>223.0</v>
      </c>
      <c r="R13" s="343" t="n">
        <v>112.0</v>
      </c>
      <c r="S13" s="343" t="n">
        <v>23079.0</v>
      </c>
      <c r="T13" s="291"/>
      <c r="U13" s="12">
        <f si="1" t="shared"/>
        <v>26251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34242.238653000008</v>
      </c>
      <c r="C15" s="15">
        <f si="2" t="shared"/>
        <v>58682.274179</v>
      </c>
      <c r="D15" s="15">
        <f si="2" t="shared"/>
        <v>33149.901878999997</v>
      </c>
      <c r="E15" s="15">
        <f si="2" t="shared"/>
        <v>13591.250599999999</v>
      </c>
      <c r="F15" s="15">
        <f si="2" t="shared"/>
        <v>149639.14189100001</v>
      </c>
      <c r="G15" s="15">
        <f si="2" t="shared"/>
        <v>16759.625961999998</v>
      </c>
      <c r="H15" s="15">
        <f si="2" t="shared"/>
        <v>23342.373702000001</v>
      </c>
      <c r="I15" s="15">
        <f si="2" t="shared"/>
        <v>0</v>
      </c>
      <c r="J15" s="15">
        <f si="2" t="shared"/>
        <v>329406.806866</v>
      </c>
      <c r="K15" s="12"/>
      <c r="L15" s="15" t="s">
        <v>4</v>
      </c>
      <c r="M15" s="15">
        <f ref="M15:U15" si="3" t="shared">SUM(M7:M14)</f>
        <v>39809</v>
      </c>
      <c r="N15" s="15">
        <f si="3" t="shared"/>
        <v>60008</v>
      </c>
      <c r="O15" s="15">
        <f si="3" t="shared"/>
        <v>28827</v>
      </c>
      <c r="P15" s="15">
        <f si="3" t="shared"/>
        <v>10873</v>
      </c>
      <c r="Q15" s="15">
        <f si="3" t="shared"/>
        <v>174997</v>
      </c>
      <c r="R15" s="15">
        <f si="3" t="shared"/>
        <v>19747</v>
      </c>
      <c r="S15" s="15">
        <f si="3" t="shared"/>
        <v>21759</v>
      </c>
      <c r="T15" s="15">
        <f si="3" t="shared"/>
        <v>0</v>
      </c>
      <c r="U15" s="15">
        <f si="3" t="shared"/>
        <v>356020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33345.617864858119</v>
      </c>
      <c r="C20" s="12">
        <f si="4" t="shared"/>
        <v>3378.9261127326572</v>
      </c>
      <c r="D20" s="12">
        <f si="4" t="shared"/>
        <v>0</v>
      </c>
      <c r="E20" s="12">
        <f si="4" t="shared"/>
        <v>0</v>
      </c>
      <c r="F20" s="12">
        <f si="4" t="shared"/>
        <v>6890.456022409222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43614.999999999993</v>
      </c>
      <c r="K20" s="12"/>
      <c r="L20">
        <f>$A$7</f>
        <v>1</v>
      </c>
      <c r="M20" s="12">
        <f>M7</f>
        <v>30548</v>
      </c>
      <c r="N20" s="12">
        <f ref="N20:T20" si="6" t="shared">N7</f>
        <v>2192</v>
      </c>
      <c r="O20" s="12">
        <f si="6" t="shared"/>
        <v>512</v>
      </c>
      <c r="P20" s="12">
        <f si="6" t="shared"/>
        <v>16</v>
      </c>
      <c r="Q20" s="12">
        <f si="6" t="shared"/>
        <v>7700</v>
      </c>
      <c r="R20" s="12">
        <f si="6" t="shared"/>
        <v>2213</v>
      </c>
      <c r="S20" s="12">
        <f si="6" t="shared"/>
        <v>434</v>
      </c>
      <c r="T20" s="12">
        <f si="6" t="shared"/>
        <v>0</v>
      </c>
      <c r="U20" s="12">
        <f ref="U20:U25" si="7" t="shared">U7</f>
        <v>43615</v>
      </c>
    </row>
    <row r="21" spans="1:32" x14ac:dyDescent="0.25">
      <c r="A21">
        <f>$A$8</f>
        <v>2</v>
      </c>
      <c r="B21" s="12">
        <f ref="B21:G25" si="8" t="shared">IFERROR(($U8/$J8)*B8,0)</f>
        <v>1568.45146961457</v>
      </c>
      <c r="C21" s="12">
        <f si="8" t="shared"/>
        <v>57219.702146117976</v>
      </c>
      <c r="D21" s="12">
        <f si="8" t="shared"/>
        <v>392.78731755419852</v>
      </c>
      <c r="E21" s="12">
        <f si="8" t="shared"/>
        <v>0</v>
      </c>
      <c r="F21" s="12">
        <f si="8" t="shared"/>
        <v>3169.9144363621722</v>
      </c>
      <c r="G21" s="12">
        <f si="8" t="shared"/>
        <v>0</v>
      </c>
      <c r="H21" s="12">
        <f ref="H21:H25" si="9" t="shared">IFERROR(($U8/$J8)*H8,0)</f>
        <v>1851.1446303510884</v>
      </c>
      <c r="I21" s="12">
        <f>IFERROR(($U8/$J8)*I8,0)</f>
        <v>0</v>
      </c>
      <c r="J21" s="12">
        <f si="5" t="shared"/>
        <v>64202.000000000007</v>
      </c>
      <c r="K21" s="12"/>
      <c r="L21">
        <f>$A$8</f>
        <v>2</v>
      </c>
      <c r="M21" s="12">
        <f ref="M21:T21" si="10" t="shared">M8</f>
        <v>1197</v>
      </c>
      <c r="N21" s="12">
        <f si="10" t="shared"/>
        <v>48236</v>
      </c>
      <c r="O21" s="12">
        <f si="10" t="shared"/>
        <v>248</v>
      </c>
      <c r="P21" s="12">
        <f si="10" t="shared"/>
        <v>66</v>
      </c>
      <c r="Q21" s="12">
        <f si="10" t="shared"/>
        <v>11471</v>
      </c>
      <c r="R21" s="12">
        <f si="10" t="shared"/>
        <v>303</v>
      </c>
      <c r="S21" s="12">
        <f si="10" t="shared"/>
        <v>2681</v>
      </c>
      <c r="T21" s="12">
        <f si="10" t="shared"/>
        <v>0</v>
      </c>
      <c r="U21" s="12">
        <f si="7" t="shared"/>
        <v>64202</v>
      </c>
    </row>
    <row r="22" spans="1:32" x14ac:dyDescent="0.25">
      <c r="A22">
        <f>$A$9</f>
        <v>3</v>
      </c>
      <c r="B22" s="12">
        <f si="8" t="shared"/>
        <v>0</v>
      </c>
      <c r="C22" s="12">
        <f si="8" t="shared"/>
        <v>0</v>
      </c>
      <c r="D22" s="12">
        <f si="8" t="shared"/>
        <v>30639.705002116083</v>
      </c>
      <c r="E22" s="12">
        <f si="8" t="shared"/>
        <v>929.65405515992575</v>
      </c>
      <c r="F22" s="12">
        <f si="8" t="shared"/>
        <v>4126.6409427239905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35696</v>
      </c>
      <c r="K22" s="13"/>
      <c r="L22">
        <f>$A$9</f>
        <v>3</v>
      </c>
      <c r="M22" s="12">
        <f ref="M22:T22" si="11" t="shared">M9</f>
        <v>660</v>
      </c>
      <c r="N22" s="12">
        <f si="11" t="shared"/>
        <v>382</v>
      </c>
      <c r="O22" s="12">
        <f si="11" t="shared"/>
        <v>20242</v>
      </c>
      <c r="P22" s="12">
        <f si="11" t="shared"/>
        <v>1509</v>
      </c>
      <c r="Q22" s="12">
        <f si="11" t="shared"/>
        <v>11683</v>
      </c>
      <c r="R22" s="12">
        <f si="11" t="shared"/>
        <v>12</v>
      </c>
      <c r="S22" s="12">
        <f si="11" t="shared"/>
        <v>1208</v>
      </c>
      <c r="T22" s="12">
        <f si="11" t="shared"/>
        <v>0</v>
      </c>
      <c r="U22" s="12">
        <f si="7" t="shared"/>
        <v>35696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1117.7410645863526</v>
      </c>
      <c r="E23" s="12">
        <f si="8" t="shared"/>
        <v>11906.286059145141</v>
      </c>
      <c r="F23" s="12">
        <f si="8" t="shared"/>
        <v>770.97287626850573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13795</v>
      </c>
      <c r="K23" s="13"/>
      <c r="L23">
        <f>$A$10</f>
        <v>4</v>
      </c>
      <c r="M23" s="12">
        <f ref="M23:T23" si="12" t="shared">M10</f>
        <v>115</v>
      </c>
      <c r="N23" s="12">
        <f si="12" t="shared"/>
        <v>227</v>
      </c>
      <c r="O23" s="12">
        <f si="12" t="shared"/>
        <v>2071</v>
      </c>
      <c r="P23" s="12">
        <f si="12" t="shared"/>
        <v>8865</v>
      </c>
      <c r="Q23" s="12">
        <f si="12" t="shared"/>
        <v>2400</v>
      </c>
      <c r="R23" s="12">
        <f si="12" t="shared"/>
        <v>5</v>
      </c>
      <c r="S23" s="12">
        <f si="12" t="shared"/>
        <v>112</v>
      </c>
      <c r="T23" s="12">
        <f si="12" t="shared"/>
        <v>0</v>
      </c>
      <c r="U23" s="12">
        <f si="7" t="shared"/>
        <v>13795</v>
      </c>
    </row>
    <row r="24" spans="1:32" x14ac:dyDescent="0.25">
      <c r="A24">
        <f>$A$11</f>
        <v>5</v>
      </c>
      <c r="B24" s="12">
        <f si="8" t="shared"/>
        <v>5913.7979774044943</v>
      </c>
      <c r="C24" s="12">
        <f si="8" t="shared"/>
        <v>1382.3678510417315</v>
      </c>
      <c r="D24" s="12">
        <f si="8" t="shared"/>
        <v>2675.9744321235235</v>
      </c>
      <c r="E24" s="12">
        <f si="8" t="shared"/>
        <v>765.13418467716474</v>
      </c>
      <c r="F24" s="12">
        <f si="8" t="shared"/>
        <v>140994.01572134215</v>
      </c>
      <c r="G24" s="12">
        <f si="8" t="shared"/>
        <v>0</v>
      </c>
      <c r="H24" s="12">
        <f si="9" t="shared"/>
        <v>862.70983341094279</v>
      </c>
      <c r="I24" s="12">
        <f>IFERROR(($U11/$J11)*I11,0)</f>
        <v>0</v>
      </c>
      <c r="J24" s="12">
        <f si="5" t="shared"/>
        <v>152594</v>
      </c>
      <c r="K24" s="13"/>
      <c r="L24">
        <f>$A$11</f>
        <v>5</v>
      </c>
      <c r="M24" s="12">
        <f ref="M24:T24" si="13" t="shared">M11</f>
        <v>5677</v>
      </c>
      <c r="N24" s="12">
        <f si="13" t="shared"/>
        <v>4488</v>
      </c>
      <c r="O24" s="12">
        <f si="13" t="shared"/>
        <v>4373</v>
      </c>
      <c r="P24" s="12">
        <f si="13" t="shared"/>
        <v>358</v>
      </c>
      <c r="Q24" s="12">
        <f si="13" t="shared"/>
        <v>135469</v>
      </c>
      <c r="R24" s="12">
        <f si="13" t="shared"/>
        <v>55</v>
      </c>
      <c r="S24" s="12">
        <f si="13" t="shared"/>
        <v>2174</v>
      </c>
      <c r="T24" s="12">
        <f si="13" t="shared"/>
        <v>0</v>
      </c>
      <c r="U24" s="12">
        <f si="7" t="shared"/>
        <v>152594</v>
      </c>
    </row>
    <row r="25" spans="1:32" x14ac:dyDescent="0.25">
      <c r="A25">
        <f>$A$12</f>
        <v>6</v>
      </c>
      <c r="B25" s="12">
        <f si="8" t="shared"/>
        <v>1376.9996428115448</v>
      </c>
      <c r="C25" s="12">
        <f si="8" t="shared"/>
        <v>155.78928032381629</v>
      </c>
      <c r="D25" s="12">
        <f si="8" t="shared"/>
        <v>0</v>
      </c>
      <c r="E25" s="12">
        <f si="8" t="shared"/>
        <v>0</v>
      </c>
      <c r="F25" s="12">
        <f si="8" t="shared"/>
        <v>1538.096946376746</v>
      </c>
      <c r="G25" s="12">
        <f si="8" t="shared"/>
        <v>16796.114130487895</v>
      </c>
      <c r="H25" s="12">
        <f si="9" t="shared"/>
        <v>0</v>
      </c>
      <c r="I25" s="12">
        <f>IFERROR(($U12/$J12)*I12,0)</f>
        <v>0</v>
      </c>
      <c r="J25" s="12">
        <f si="5" t="shared"/>
        <v>19867</v>
      </c>
      <c r="K25" s="13"/>
      <c r="L25">
        <f>$A$12</f>
        <v>6</v>
      </c>
      <c r="M25" s="12">
        <f ref="M25:U26" si="14" t="shared">M12</f>
        <v>1193</v>
      </c>
      <c r="N25" s="12">
        <f si="14" t="shared"/>
        <v>746</v>
      </c>
      <c r="O25" s="12">
        <f si="14" t="shared"/>
        <v>73</v>
      </c>
      <c r="P25" s="12">
        <f si="14" t="shared"/>
        <v>0</v>
      </c>
      <c r="Q25" s="12">
        <f si="14" t="shared"/>
        <v>668</v>
      </c>
      <c r="R25" s="12">
        <f si="14" t="shared"/>
        <v>17130</v>
      </c>
      <c r="S25" s="12">
        <f si="14" t="shared"/>
        <v>57</v>
      </c>
      <c r="T25" s="12">
        <f si="14" t="shared"/>
        <v>0</v>
      </c>
      <c r="U25" s="12">
        <f si="7" t="shared"/>
        <v>19867</v>
      </c>
    </row>
    <row r="26" spans="1:32" x14ac:dyDescent="0.25">
      <c r="A26">
        <v>7</v>
      </c>
      <c r="B26" s="12">
        <f>IFERROR(($U13/$J13)*B13,0)</f>
        <v>178.2787347738728</v>
      </c>
      <c r="C26" s="12">
        <f ref="C26:J26" si="15" t="shared">IFERROR(($U13/$J13)*C13,0)</f>
        <v>1077.5616623238061</v>
      </c>
      <c r="D26" s="12">
        <f si="15" t="shared"/>
        <v>0</v>
      </c>
      <c r="E26" s="12">
        <f si="15" t="shared"/>
        <v>0</v>
      </c>
      <c r="F26" s="12">
        <f si="15" t="shared"/>
        <v>5940.7636548309929</v>
      </c>
      <c r="G26" s="12">
        <f si="15" t="shared"/>
        <v>0</v>
      </c>
      <c r="H26" s="12">
        <f si="15" t="shared"/>
        <v>19054.395948071331</v>
      </c>
      <c r="I26" s="12">
        <f si="15" t="shared"/>
        <v>0</v>
      </c>
      <c r="J26" s="12">
        <f si="15" t="shared"/>
        <v>26251</v>
      </c>
      <c r="K26" s="13"/>
      <c r="L26">
        <v>7</v>
      </c>
      <c r="M26" s="12">
        <f si="14" t="shared"/>
        <v>419</v>
      </c>
      <c r="N26" s="12">
        <f si="14" t="shared"/>
        <v>3737</v>
      </c>
      <c r="O26" s="12">
        <f si="14" t="shared"/>
        <v>1308</v>
      </c>
      <c r="P26" s="12">
        <f si="14" t="shared"/>
        <v>59</v>
      </c>
      <c r="Q26" s="12">
        <f si="14" t="shared"/>
        <v>5606</v>
      </c>
      <c r="R26" s="12">
        <f si="14" t="shared"/>
        <v>29</v>
      </c>
      <c r="S26" s="12">
        <f si="14" t="shared"/>
        <v>15093</v>
      </c>
      <c r="T26" s="12">
        <f si="14" t="shared"/>
        <v>0</v>
      </c>
      <c r="U26" s="12">
        <f si="14" t="shared"/>
        <v>26251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42383.145689462603</v>
      </c>
      <c r="C28" s="15">
        <f si="19" t="shared"/>
        <v>63214.347052539983</v>
      </c>
      <c r="D28" s="15">
        <f si="19" t="shared"/>
        <v>34826.207816380156</v>
      </c>
      <c r="E28" s="15">
        <f si="19" t="shared"/>
        <v>13601.074298982232</v>
      </c>
      <c r="F28" s="15">
        <f si="19" t="shared"/>
        <v>163430.86060031378</v>
      </c>
      <c r="G28" s="15">
        <f si="19" t="shared"/>
        <v>16796.114130487895</v>
      </c>
      <c r="H28" s="15">
        <f si="19" t="shared"/>
        <v>21768.250411833364</v>
      </c>
      <c r="I28" s="15">
        <f si="19" t="shared"/>
        <v>0</v>
      </c>
      <c r="J28" s="15">
        <f si="19" t="shared"/>
        <v>356020</v>
      </c>
      <c r="K28" s="12"/>
      <c r="L28" s="15" t="s">
        <v>4</v>
      </c>
      <c r="M28" s="15">
        <f ref="M28:T28" si="20" t="shared">M15</f>
        <v>39809</v>
      </c>
      <c r="N28" s="15">
        <f si="20" t="shared"/>
        <v>60008</v>
      </c>
      <c r="O28" s="15">
        <f si="20" t="shared"/>
        <v>28827</v>
      </c>
      <c r="P28" s="15">
        <f si="20" t="shared"/>
        <v>10873</v>
      </c>
      <c r="Q28" s="15">
        <f si="20" t="shared"/>
        <v>174997</v>
      </c>
      <c r="R28" s="15">
        <f si="20" t="shared"/>
        <v>19747</v>
      </c>
      <c r="S28" s="15">
        <f si="20" t="shared"/>
        <v>21759</v>
      </c>
      <c r="T28" s="15">
        <f si="20" t="shared"/>
        <v>0</v>
      </c>
      <c r="U28" s="15">
        <f si="18" t="shared"/>
        <v>356020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9.366220399095028E-2</v>
      </c>
      <c r="C33" s="16">
        <f si="21" t="shared"/>
        <v>9.490832292378678E-3</v>
      </c>
      <c r="D33" s="16">
        <f si="21" t="shared"/>
        <v>0</v>
      </c>
      <c r="E33" s="16">
        <f si="21" t="shared"/>
        <v>0</v>
      </c>
      <c r="F33" s="16">
        <f si="21" t="shared"/>
        <v>1.9354126235630643E-2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0.12250716251895959</v>
      </c>
      <c r="K33" s="12"/>
      <c r="L33">
        <f>$A$7</f>
        <v>1</v>
      </c>
      <c r="M33" s="16">
        <f ref="M33:T33" si="23" t="shared">IFERROR(M20/$U$28,0)</f>
        <v>8.580416830515139E-2</v>
      </c>
      <c r="N33" s="16">
        <f si="23" t="shared"/>
        <v>6.1569574742991965E-3</v>
      </c>
      <c r="O33" s="16">
        <f si="23" t="shared"/>
        <v>1.4381214538509073E-3</v>
      </c>
      <c r="P33" s="16">
        <f si="23" t="shared"/>
        <v>4.4941295432840852E-5</v>
      </c>
      <c r="Q33" s="16">
        <f si="23" t="shared"/>
        <v>2.1627998427054661E-2</v>
      </c>
      <c r="R33" s="16">
        <f si="23" t="shared"/>
        <v>6.2159429245548002E-3</v>
      </c>
      <c r="S33" s="16">
        <f si="23" t="shared"/>
        <v>1.2190326386158081E-3</v>
      </c>
      <c r="T33" s="16">
        <f si="23" t="shared"/>
        <v>0</v>
      </c>
      <c r="U33" s="16">
        <f ref="U33:U38" si="24" t="shared">U20/$U$28</f>
        <v>0.12250716251895961</v>
      </c>
      <c r="W33">
        <f>$A$7</f>
        <v>1</v>
      </c>
      <c r="X33" s="16">
        <f ref="X33:AD33" si="25" t="shared">M33-B33</f>
        <v>-7.8580356857988892E-3</v>
      </c>
      <c r="Y33" s="16">
        <f si="25" t="shared"/>
        <v>-3.3338748180794815E-3</v>
      </c>
      <c r="Z33" s="16">
        <f si="25" t="shared"/>
        <v>1.4381214538509073E-3</v>
      </c>
      <c r="AA33" s="16">
        <f si="25" t="shared"/>
        <v>4.4941295432840852E-5</v>
      </c>
      <c r="AB33" s="16">
        <f si="25" t="shared"/>
        <v>2.2738721914240187E-3</v>
      </c>
      <c r="AC33" s="16">
        <f si="25" t="shared"/>
        <v>6.2159429245548002E-3</v>
      </c>
      <c r="AD33" s="16">
        <f si="25" t="shared"/>
        <v>1.2190326386158081E-3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4.4055150542513626E-3</v>
      </c>
      <c r="C34" s="16">
        <f si="28" t="shared"/>
        <v>0.16072047117049035</v>
      </c>
      <c r="D34" s="16">
        <f si="28" t="shared"/>
        <v>1.1032731800297694E-3</v>
      </c>
      <c r="E34" s="16">
        <f si="28" t="shared"/>
        <v>0</v>
      </c>
      <c r="F34" s="16">
        <f si="28" t="shared"/>
        <v>8.9037538238362236E-3</v>
      </c>
      <c r="G34" s="16">
        <f si="28" t="shared"/>
        <v>0</v>
      </c>
      <c r="H34" s="16">
        <f ref="H34:H38" si="29" t="shared">IFERROR(H21/$J$28,0)</f>
        <v>5.1995523575953271E-3</v>
      </c>
      <c r="I34" s="16">
        <f>IFERROR(I21/$J$28,0)</f>
        <v>0</v>
      </c>
      <c r="J34" s="16">
        <f si="22" t="shared"/>
        <v>0.18033256558620303</v>
      </c>
      <c r="K34" s="12"/>
      <c r="L34">
        <f>$A$8</f>
        <v>2</v>
      </c>
      <c r="M34" s="16">
        <f ref="M34:R38" si="30" t="shared">IFERROR(M21/$U$28,0)</f>
        <v>3.3621706645694063E-3</v>
      </c>
      <c r="N34" s="16">
        <f si="30" t="shared"/>
        <v>0.13548677040615695</v>
      </c>
      <c r="O34" s="16">
        <f si="30" t="shared"/>
        <v>6.9659007920903318E-4</v>
      </c>
      <c r="P34" s="16">
        <f si="30" t="shared"/>
        <v>1.8538284366046852E-4</v>
      </c>
      <c r="Q34" s="16">
        <f si="30" t="shared"/>
        <v>3.2220099994382335E-2</v>
      </c>
      <c r="R34" s="16">
        <f si="30" t="shared"/>
        <v>8.5107578225942365E-4</v>
      </c>
      <c r="S34" s="16">
        <f ref="S34:S38" si="31" t="shared">IFERROR(S21/$U$28,0)</f>
        <v>7.5304758159653951E-3</v>
      </c>
      <c r="T34" s="16">
        <f>IFERROR(T21/$U$28,0)</f>
        <v>0</v>
      </c>
      <c r="U34" s="16">
        <f si="24" t="shared"/>
        <v>0.18033256558620303</v>
      </c>
      <c r="W34">
        <f>$A$8</f>
        <v>2</v>
      </c>
      <c r="X34" s="16">
        <f ref="X34:X40" si="32" t="shared">M34-B34</f>
        <v>-1.0433443896819563E-3</v>
      </c>
      <c r="Y34" s="16">
        <f ref="Y34:Y40" si="33" t="shared">N34-C34</f>
        <v>-2.52337007643334E-2</v>
      </c>
      <c r="Z34" s="16">
        <f ref="Z34:Z40" si="34" t="shared">O34-D34</f>
        <v>-4.0668310082073622E-4</v>
      </c>
      <c r="AA34" s="16">
        <f ref="AA34:AA40" si="35" t="shared">P34-E34</f>
        <v>1.8538284366046852E-4</v>
      </c>
      <c r="AB34" s="16">
        <f ref="AB34:AB40" si="36" t="shared">Q34-F34</f>
        <v>2.3316346170546114E-2</v>
      </c>
      <c r="AC34" s="16">
        <f ref="AC34:AD40" si="37" t="shared">R34-G34</f>
        <v>8.5107578225942365E-4</v>
      </c>
      <c r="AD34" s="16">
        <f ref="AD34:AD38" si="38" t="shared">S34-H34</f>
        <v>2.330923458370068E-3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0</v>
      </c>
      <c r="C35" s="16">
        <f si="28" t="shared"/>
        <v>0</v>
      </c>
      <c r="D35" s="16">
        <f si="28" t="shared"/>
        <v>8.6061752154699411E-2</v>
      </c>
      <c r="E35" s="16">
        <f si="28" t="shared"/>
        <v>2.6112410964550469E-3</v>
      </c>
      <c r="F35" s="16">
        <f si="28" t="shared"/>
        <v>1.1591036859513484E-2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0.10026403011066794</v>
      </c>
      <c r="K35" s="13"/>
      <c r="L35">
        <f>$A$9</f>
        <v>3</v>
      </c>
      <c r="M35" s="16">
        <f si="30" t="shared"/>
        <v>1.8538284366046852E-3</v>
      </c>
      <c r="N35" s="16">
        <f si="30" t="shared"/>
        <v>1.0729734284590754E-3</v>
      </c>
      <c r="O35" s="16">
        <f si="30" t="shared"/>
        <v>5.6856356384472784E-2</v>
      </c>
      <c r="P35" s="16">
        <f si="30" t="shared"/>
        <v>4.2385259255098024E-3</v>
      </c>
      <c r="Q35" s="16">
        <f si="30" t="shared"/>
        <v>3.2815572158867476E-2</v>
      </c>
      <c r="R35" s="16">
        <f si="30" t="shared"/>
        <v>3.3705971574630641E-5</v>
      </c>
      <c r="S35" s="16">
        <f si="31" t="shared"/>
        <v>3.3930678051794843E-3</v>
      </c>
      <c r="T35" s="16">
        <f>IFERROR(T22/$U$28,0)</f>
        <v>0</v>
      </c>
      <c r="U35" s="16">
        <f si="24" t="shared"/>
        <v>0.10026403011066794</v>
      </c>
      <c r="W35">
        <f>$A$9</f>
        <v>3</v>
      </c>
      <c r="X35" s="16">
        <f si="32" t="shared"/>
        <v>1.8538284366046852E-3</v>
      </c>
      <c r="Y35" s="16">
        <f si="33" t="shared"/>
        <v>1.0729734284590754E-3</v>
      </c>
      <c r="Z35" s="16">
        <f si="34" t="shared"/>
        <v>-2.9205395770226628E-2</v>
      </c>
      <c r="AA35" s="16">
        <f si="35" t="shared"/>
        <v>1.6272848290547555E-3</v>
      </c>
      <c r="AB35" s="16">
        <f si="36" t="shared"/>
        <v>2.1224535299353992E-2</v>
      </c>
      <c r="AC35" s="16">
        <f si="37" t="shared"/>
        <v>3.3705971574630641E-5</v>
      </c>
      <c r="AD35" s="16">
        <f si="38" t="shared"/>
        <v>3.3930678051794843E-3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3.1395457125620828E-3</v>
      </c>
      <c r="E36" s="16">
        <f si="28" t="shared"/>
        <v>3.3442744955747263E-2</v>
      </c>
      <c r="F36" s="16">
        <f si="28" t="shared"/>
        <v>2.1655324876931233E-3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3.8747823156002469E-2</v>
      </c>
      <c r="K36" s="13"/>
      <c r="L36">
        <f>$A$10</f>
        <v>4</v>
      </c>
      <c r="M36" s="16">
        <f si="30" t="shared"/>
        <v>3.2301556092354363E-4</v>
      </c>
      <c r="N36" s="16">
        <f si="30" t="shared"/>
        <v>6.3760462895342954E-4</v>
      </c>
      <c r="O36" s="16">
        <f si="30" t="shared"/>
        <v>5.8170889275883375E-3</v>
      </c>
      <c r="P36" s="16">
        <f si="30" t="shared"/>
        <v>2.4900286500758383E-2</v>
      </c>
      <c r="Q36" s="16">
        <f si="30" t="shared"/>
        <v>6.7411943149261275E-3</v>
      </c>
      <c r="R36" s="16">
        <f si="30" t="shared"/>
        <v>1.4044154822762766E-5</v>
      </c>
      <c r="S36" s="16">
        <f si="31" t="shared"/>
        <v>3.1458906802988597E-4</v>
      </c>
      <c r="T36" s="16">
        <f>IFERROR(T23/$U$28,0)</f>
        <v>0</v>
      </c>
      <c r="U36" s="16">
        <f si="24" t="shared"/>
        <v>3.8747823156002469E-2</v>
      </c>
      <c r="W36">
        <f>$A$10</f>
        <v>4</v>
      </c>
      <c r="X36" s="16">
        <f si="32" t="shared"/>
        <v>3.2301556092354363E-4</v>
      </c>
      <c r="Y36" s="16">
        <f si="33" t="shared"/>
        <v>6.3760462895342954E-4</v>
      </c>
      <c r="Z36" s="16">
        <f si="34" t="shared"/>
        <v>2.6775432150262547E-3</v>
      </c>
      <c r="AA36" s="16">
        <f si="35" t="shared"/>
        <v>-8.5424584549888792E-3</v>
      </c>
      <c r="AB36" s="16">
        <f si="36" t="shared"/>
        <v>4.5756618272330043E-3</v>
      </c>
      <c r="AC36" s="16">
        <f si="37" t="shared"/>
        <v>1.4044154822762766E-5</v>
      </c>
      <c r="AD36" s="16">
        <f si="38" t="shared"/>
        <v>3.1458906802988597E-4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1.6610858877042004E-2</v>
      </c>
      <c r="C37" s="16">
        <f si="28" t="shared"/>
        <v>3.8828376244079868E-3</v>
      </c>
      <c r="D37" s="16">
        <f si="28" t="shared"/>
        <v>7.5163598452994869E-3</v>
      </c>
      <c r="E37" s="16">
        <f si="28" t="shared"/>
        <v>2.1491325899588918E-3</v>
      </c>
      <c r="F37" s="16">
        <f si="28" t="shared"/>
        <v>0.3960283571747153</v>
      </c>
      <c r="G37" s="16">
        <f si="28" t="shared"/>
        <v>0</v>
      </c>
      <c r="H37" s="16">
        <f si="29" t="shared"/>
        <v>2.4232060935086308E-3</v>
      </c>
      <c r="I37" s="16">
        <f>IFERROR(I24/$J$28,0)</f>
        <v>0</v>
      </c>
      <c r="J37" s="16">
        <f si="22" t="shared"/>
        <v>0.42861075220493233</v>
      </c>
      <c r="K37" s="13"/>
      <c r="L37">
        <f>$A$11</f>
        <v>5</v>
      </c>
      <c r="M37" s="16">
        <f si="30" t="shared"/>
        <v>1.5945733385764844E-2</v>
      </c>
      <c r="N37" s="16">
        <f si="30" t="shared"/>
        <v>1.2606033368911859E-2</v>
      </c>
      <c r="O37" s="16">
        <f si="30" t="shared"/>
        <v>1.2283017807988315E-2</v>
      </c>
      <c r="P37" s="16">
        <f si="30" t="shared"/>
        <v>1.0055614853098141E-3</v>
      </c>
      <c r="Q37" s="16">
        <f si="30" t="shared"/>
        <v>0.38050952193696985</v>
      </c>
      <c r="R37" s="16">
        <f si="30" t="shared"/>
        <v>1.5448570305039042E-4</v>
      </c>
      <c r="S37" s="16">
        <f si="31" t="shared"/>
        <v>6.1063985169372507E-3</v>
      </c>
      <c r="T37" s="16">
        <f>IFERROR(T24/$U$28,0)</f>
        <v>0</v>
      </c>
      <c r="U37" s="16">
        <f si="24" t="shared"/>
        <v>0.42861075220493233</v>
      </c>
      <c r="W37">
        <f>$A$11</f>
        <v>5</v>
      </c>
      <c r="X37" s="16">
        <f si="32" t="shared"/>
        <v>-6.6512549127716036E-4</v>
      </c>
      <c r="Y37" s="16">
        <f si="33" t="shared"/>
        <v>8.7231957445038713E-3</v>
      </c>
      <c r="Z37" s="16">
        <f si="34" t="shared"/>
        <v>4.7666579626888285E-3</v>
      </c>
      <c r="AA37" s="16">
        <f si="35" t="shared"/>
        <v>-1.1435711046490777E-3</v>
      </c>
      <c r="AB37" s="16">
        <f si="36" t="shared"/>
        <v>-1.5518835237745443E-2</v>
      </c>
      <c r="AC37" s="16">
        <f si="37" t="shared"/>
        <v>1.5448570305039042E-4</v>
      </c>
      <c r="AD37" s="16">
        <f si="38" t="shared"/>
        <v>3.6831924234286199E-3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3.8677592349068727E-3</v>
      </c>
      <c r="C38" s="16">
        <f si="28" t="shared"/>
        <v>4.3758575451889299E-4</v>
      </c>
      <c r="D38" s="16">
        <f si="28" t="shared"/>
        <v>0</v>
      </c>
      <c r="E38" s="16">
        <f si="28" t="shared"/>
        <v>0</v>
      </c>
      <c r="F38" s="16">
        <f si="28" t="shared"/>
        <v>4.3202543294667325E-3</v>
      </c>
      <c r="G38" s="16">
        <f si="28" t="shared"/>
        <v>4.7177445453873083E-2</v>
      </c>
      <c r="H38" s="16">
        <f si="29" t="shared"/>
        <v>0</v>
      </c>
      <c r="I38" s="16">
        <f>IFERROR(I25/$J$28,0)</f>
        <v>0</v>
      </c>
      <c r="J38" s="16">
        <f si="22" t="shared"/>
        <v>5.5803044772765577E-2</v>
      </c>
      <c r="K38" s="13"/>
      <c r="L38">
        <f>$A$12</f>
        <v>6</v>
      </c>
      <c r="M38" s="16">
        <f si="30" t="shared"/>
        <v>3.350935340711196E-3</v>
      </c>
      <c r="N38" s="16">
        <f si="30" t="shared"/>
        <v>2.0953878995562049E-3</v>
      </c>
      <c r="O38" s="16">
        <f si="30" t="shared"/>
        <v>2.0504466041233637E-4</v>
      </c>
      <c r="P38" s="16">
        <f si="30" t="shared"/>
        <v>0</v>
      </c>
      <c r="Q38" s="16">
        <f si="30" t="shared"/>
        <v>1.8762990843211055E-3</v>
      </c>
      <c r="R38" s="16">
        <f si="30" t="shared"/>
        <v>4.8115274422785237E-2</v>
      </c>
      <c r="S38" s="16">
        <f si="31" t="shared"/>
        <v>1.6010336497949553E-4</v>
      </c>
      <c r="T38" s="16">
        <f>IFERROR(T25/$U$28,0)</f>
        <v>0</v>
      </c>
      <c r="U38" s="16">
        <f si="24" t="shared"/>
        <v>5.5803044772765577E-2</v>
      </c>
      <c r="W38">
        <f>$A$12</f>
        <v>6</v>
      </c>
      <c r="X38" s="16">
        <f si="32" t="shared"/>
        <v>-5.1682389419567673E-4</v>
      </c>
      <c r="Y38" s="16">
        <f si="33" t="shared"/>
        <v>1.6578021450373119E-3</v>
      </c>
      <c r="Z38" s="16">
        <f si="34" t="shared"/>
        <v>2.0504466041233637E-4</v>
      </c>
      <c r="AA38" s="16">
        <f si="35" t="shared"/>
        <v>0</v>
      </c>
      <c r="AB38" s="16">
        <f si="36" t="shared"/>
        <v>-2.4439552451456271E-3</v>
      </c>
      <c r="AC38" s="16">
        <f si="37" t="shared"/>
        <v>9.3782896891215356E-4</v>
      </c>
      <c r="AD38" s="16">
        <f si="38" t="shared"/>
        <v>1.6010336497949553E-4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5.0075483055410592E-4</v>
      </c>
      <c r="C39" s="16">
        <f ref="C39:J39" si="40" t="shared">IFERROR(C26/$J$28,0)</f>
        <v>3.0266885633498291E-3</v>
      </c>
      <c r="D39" s="16">
        <f si="40" t="shared"/>
        <v>0</v>
      </c>
      <c r="E39" s="16">
        <f si="40" t="shared"/>
        <v>0</v>
      </c>
      <c r="F39" s="16">
        <f si="40" t="shared"/>
        <v>1.668660090677769E-2</v>
      </c>
      <c r="G39" s="16">
        <f si="40" t="shared"/>
        <v>0</v>
      </c>
      <c r="H39" s="16">
        <f si="40" t="shared"/>
        <v>5.3520577349787456E-2</v>
      </c>
      <c r="I39" s="16">
        <f si="40" t="shared"/>
        <v>0</v>
      </c>
      <c r="J39" s="16">
        <f si="40" t="shared"/>
        <v>7.3734621650469082E-2</v>
      </c>
      <c r="K39" s="13"/>
      <c r="L39">
        <v>7</v>
      </c>
      <c r="M39" s="16">
        <f>IFERROR(M26/$U$28,0)</f>
        <v>1.1769001741475198E-3</v>
      </c>
      <c r="N39" s="16">
        <f ref="N39:U39" si="41" t="shared">IFERROR(N26/$U$28,0)</f>
        <v>1.0496601314532891E-2</v>
      </c>
      <c r="O39" s="16">
        <f si="41" t="shared"/>
        <v>3.6739509016347396E-3</v>
      </c>
      <c r="P39" s="16">
        <f si="41" t="shared"/>
        <v>1.6572102690860064E-4</v>
      </c>
      <c r="Q39" s="16">
        <f si="41" t="shared"/>
        <v>1.5746306387281615E-2</v>
      </c>
      <c r="R39" s="16">
        <f si="41" t="shared"/>
        <v>8.1456097972024049E-5</v>
      </c>
      <c r="S39" s="16">
        <f si="41" t="shared"/>
        <v>4.2393685747991683E-2</v>
      </c>
      <c r="T39" s="16">
        <f si="41" t="shared"/>
        <v>0</v>
      </c>
      <c r="U39" s="16">
        <f si="41" t="shared"/>
        <v>7.3734621650469082E-2</v>
      </c>
      <c r="W39">
        <v>7</v>
      </c>
      <c r="X39" s="16">
        <f si="32" t="shared"/>
        <v>6.7614534359341388E-4</v>
      </c>
      <c r="Y39" s="16">
        <f si="33" t="shared"/>
        <v>7.4699127511830615E-3</v>
      </c>
      <c r="Z39" s="16">
        <f si="34" t="shared"/>
        <v>3.6739509016347396E-3</v>
      </c>
      <c r="AA39" s="16">
        <f si="35" t="shared"/>
        <v>1.6572102690860064E-4</v>
      </c>
      <c r="AB39" s="16">
        <f si="36" t="shared"/>
        <v>-9.4029451949607587E-4</v>
      </c>
      <c r="AC39" s="16">
        <f si="37" t="shared"/>
        <v>8.1456097972024049E-5</v>
      </c>
      <c r="AD39" s="16">
        <f ref="AD39" si="42" t="shared">S39-H39</f>
        <v>-1.1126891601795773E-2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3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0.11904709198770463</v>
      </c>
      <c r="C41" s="18">
        <f si="45" t="shared"/>
        <v>0.17755841540514572</v>
      </c>
      <c r="D41" s="18">
        <f si="45" t="shared"/>
        <v>9.7820930892590738E-2</v>
      </c>
      <c r="E41" s="18">
        <f si="45" t="shared"/>
        <v>3.8203118642161207E-2</v>
      </c>
      <c r="F41" s="18">
        <f si="45" t="shared"/>
        <v>0.45904966181763324</v>
      </c>
      <c r="G41" s="18">
        <f si="45" t="shared"/>
        <v>4.7177445453873083E-2</v>
      </c>
      <c r="H41" s="18">
        <f si="45" t="shared"/>
        <v>6.1143335800891423E-2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0.11181675186787259</v>
      </c>
      <c r="N41" s="18">
        <f si="46" t="shared"/>
        <v>0.16855232852086963</v>
      </c>
      <c r="O41" s="18">
        <f si="46" t="shared"/>
        <v>8.0970170215156456E-2</v>
      </c>
      <c r="P41" s="18">
        <f si="46" t="shared"/>
        <v>3.054041907757991E-2</v>
      </c>
      <c r="Q41" s="18">
        <f si="46" t="shared"/>
        <v>0.49153699230380316</v>
      </c>
      <c r="R41" s="18">
        <f si="46" t="shared"/>
        <v>5.5465985057019267E-2</v>
      </c>
      <c r="S41" s="18">
        <f si="46" t="shared"/>
        <v>6.1117352957699003E-2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-7.2303401198320488E-3</v>
      </c>
      <c r="Y41" s="18">
        <f si="47" t="shared"/>
        <v>-9.0060868842760933E-3</v>
      </c>
      <c r="Z41" s="18">
        <f si="47" t="shared"/>
        <v>-1.6850760677434282E-2</v>
      </c>
      <c r="AA41" s="18">
        <f si="47" t="shared"/>
        <v>-7.6626995645812969E-3</v>
      </c>
      <c r="AB41" s="18">
        <f si="47" t="shared"/>
        <v>3.2487330486169919E-2</v>
      </c>
      <c r="AC41" s="18">
        <f si="47" t="shared"/>
        <v>8.2885396031461833E-3</v>
      </c>
      <c r="AD41" s="18">
        <f si="47" t="shared"/>
        <v>-2.5982843192419447E-5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I32" sqref="I32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277</v>
      </c>
    </row>
    <row r="2" spans="1:4" x14ac:dyDescent="0.25">
      <c r="A2" t="s">
        <v>247</v>
      </c>
      <c r="B2" t="s">
        <v>254</v>
      </c>
      <c r="C2" t="s">
        <v>91</v>
      </c>
      <c r="D2" t="s">
        <v>270</v>
      </c>
    </row>
    <row r="3" spans="1:4" x14ac:dyDescent="0.25">
      <c r="A3">
        <v>1</v>
      </c>
      <c r="B3" t="s">
        <v>45</v>
      </c>
      <c r="C3" t="s">
        <v>271</v>
      </c>
      <c r="D3" t="s">
        <v>46</v>
      </c>
    </row>
    <row r="4" spans="1:4" x14ac:dyDescent="0.25">
      <c r="A4">
        <v>2</v>
      </c>
      <c r="B4" t="s">
        <v>48</v>
      </c>
      <c r="C4" t="s">
        <v>271</v>
      </c>
      <c r="D4" t="s">
        <v>49</v>
      </c>
    </row>
    <row r="5" spans="1:4" x14ac:dyDescent="0.25">
      <c r="A5">
        <v>3</v>
      </c>
      <c r="B5" t="s">
        <v>51</v>
      </c>
      <c r="C5" t="s">
        <v>271</v>
      </c>
      <c r="D5" t="s">
        <v>52</v>
      </c>
    </row>
    <row r="6" spans="1:4" x14ac:dyDescent="0.25">
      <c r="A6">
        <v>4</v>
      </c>
      <c r="B6" t="s">
        <v>54</v>
      </c>
      <c r="C6" t="s">
        <v>271</v>
      </c>
      <c r="D6" t="s">
        <v>55</v>
      </c>
    </row>
    <row r="7" spans="1:4" x14ac:dyDescent="0.25">
      <c r="A7">
        <v>5</v>
      </c>
      <c r="B7" t="s">
        <v>57</v>
      </c>
      <c r="C7" t="s">
        <v>271</v>
      </c>
      <c r="D7" t="s">
        <v>58</v>
      </c>
    </row>
    <row r="8" spans="1:4" x14ac:dyDescent="0.25">
      <c r="A8">
        <v>6</v>
      </c>
      <c r="B8" t="s">
        <v>59</v>
      </c>
      <c r="C8" t="s">
        <v>271</v>
      </c>
      <c r="D8" t="s">
        <v>60</v>
      </c>
    </row>
    <row r="9" spans="1:4" x14ac:dyDescent="0.25">
      <c r="A9">
        <v>7</v>
      </c>
      <c r="B9" t="s">
        <v>61</v>
      </c>
      <c r="C9" t="s">
        <v>271</v>
      </c>
      <c r="D9" t="s">
        <v>62</v>
      </c>
    </row>
    <row r="10" spans="1:4" x14ac:dyDescent="0.25">
      <c r="A10">
        <v>8</v>
      </c>
      <c r="B10" t="s">
        <v>64</v>
      </c>
      <c r="C10" t="s">
        <v>271</v>
      </c>
      <c r="D10" t="s">
        <v>65</v>
      </c>
    </row>
    <row r="11" spans="1:4" x14ac:dyDescent="0.25">
      <c r="A11">
        <v>9</v>
      </c>
      <c r="B11" t="s">
        <v>66</v>
      </c>
      <c r="C11" t="s">
        <v>271</v>
      </c>
      <c r="D11" t="s">
        <v>67</v>
      </c>
    </row>
    <row r="12" spans="1:4" x14ac:dyDescent="0.25">
      <c r="A12">
        <v>10</v>
      </c>
      <c r="B12" t="s">
        <v>68</v>
      </c>
      <c r="C12" t="s">
        <v>271</v>
      </c>
      <c r="D12" t="s">
        <v>69</v>
      </c>
    </row>
    <row r="13" spans="1:4" x14ac:dyDescent="0.25">
      <c r="A13">
        <v>11</v>
      </c>
      <c r="B13" t="s">
        <v>70</v>
      </c>
      <c r="C13" t="s">
        <v>271</v>
      </c>
      <c r="D13" t="s">
        <v>71</v>
      </c>
    </row>
    <row r="14" spans="1:4" x14ac:dyDescent="0.25">
      <c r="A14">
        <v>12</v>
      </c>
      <c r="B14" t="s">
        <v>72</v>
      </c>
      <c r="C14" t="s">
        <v>271</v>
      </c>
      <c r="D14" t="s">
        <v>73</v>
      </c>
    </row>
    <row r="15" spans="1:4" x14ac:dyDescent="0.25">
      <c r="A15">
        <v>13</v>
      </c>
      <c r="B15" t="s">
        <v>74</v>
      </c>
      <c r="C15" t="s">
        <v>271</v>
      </c>
      <c r="D15" t="s">
        <v>75</v>
      </c>
    </row>
    <row r="16" spans="1:4" x14ac:dyDescent="0.25">
      <c r="A16">
        <v>14</v>
      </c>
      <c r="B16" t="s">
        <v>76</v>
      </c>
      <c r="C16" t="s">
        <v>271</v>
      </c>
      <c r="D16" t="s">
        <v>77</v>
      </c>
    </row>
    <row r="17" spans="1:4" x14ac:dyDescent="0.25">
      <c r="A17">
        <v>15</v>
      </c>
      <c r="B17" t="s">
        <v>78</v>
      </c>
      <c r="C17" t="s">
        <v>271</v>
      </c>
      <c r="D17" t="s">
        <v>79</v>
      </c>
    </row>
    <row r="18" spans="1:4" x14ac:dyDescent="0.25">
      <c r="A18">
        <v>16</v>
      </c>
      <c r="B18" t="s">
        <v>80</v>
      </c>
      <c r="C18" t="s">
        <v>271</v>
      </c>
      <c r="D18" t="s">
        <v>81</v>
      </c>
    </row>
    <row r="19" spans="1:4" x14ac:dyDescent="0.25">
      <c r="A19">
        <v>17</v>
      </c>
      <c r="B19" t="s">
        <v>83</v>
      </c>
      <c r="C19" t="s">
        <v>271</v>
      </c>
      <c r="D19" t="s">
        <v>84</v>
      </c>
    </row>
    <row r="20" spans="1:4" x14ac:dyDescent="0.25">
      <c r="A20">
        <v>18</v>
      </c>
      <c r="B20" t="s">
        <v>86</v>
      </c>
      <c r="C20" t="s">
        <v>271</v>
      </c>
      <c r="D20" t="s">
        <v>87</v>
      </c>
    </row>
    <row r="21" spans="1:4" x14ac:dyDescent="0.25">
      <c r="A21">
        <v>19</v>
      </c>
      <c r="B21" t="s">
        <v>89</v>
      </c>
      <c r="C21" t="s">
        <v>271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272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273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232</v>
      </c>
      <c r="B8" t="s">
        <v>233</v>
      </c>
      <c r="C8" t="s">
        <v>234</v>
      </c>
      <c r="D8" t="s">
        <v>274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275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272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276</v>
      </c>
      <c r="D115" t="s">
        <v>239</v>
      </c>
      <c r="E115">
        <v>31</v>
      </c>
      <c r="F115" t="s">
        <v>275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Q104" sqref="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253</v>
      </c>
      <c r="S1" s="297"/>
      <c r="T1" s="297" t="s">
        <v>253</v>
      </c>
      <c r="U1" s="321"/>
      <c r="V1" s="321"/>
      <c r="W1" s="321"/>
      <c r="X1" s="321"/>
    </row>
    <row ht="15.75" r="2" spans="3:24" thickBot="1" x14ac:dyDescent="0.3">
      <c r="C2" s="297" t="s">
        <v>43</v>
      </c>
      <c r="M2" s="10" t="s">
        <v>91</v>
      </c>
      <c r="N2" s="10" t="s">
        <v>247</v>
      </c>
      <c r="O2" s="10" t="s">
        <v>254</v>
      </c>
      <c r="P2" s="363" t="s">
        <v>255</v>
      </c>
      <c r="Q2" s="364" t="s">
        <v>256</v>
      </c>
      <c r="T2" s="321"/>
      <c r="U2" s="297" t="s">
        <v>257</v>
      </c>
      <c r="V2"/>
      <c r="W2" s="321"/>
      <c r="X2" s="321"/>
    </row>
    <row r="3" spans="3:24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258</v>
      </c>
      <c r="V3"/>
      <c r="W3" s="321"/>
      <c r="X3" s="321"/>
    </row>
    <row r="4" spans="3:24" x14ac:dyDescent="0.25">
      <c r="C4" s="302" t="s">
        <v>47</v>
      </c>
      <c r="D4" s="303">
        <f>TLFD!B11</f>
        <v>27952.072962999999</v>
      </c>
      <c r="F4" s="302" t="s">
        <v>47</v>
      </c>
      <c r="G4" s="303">
        <f>TLFD!F11</f>
        <v>50685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259</v>
      </c>
      <c r="V4"/>
      <c r="W4" s="321"/>
      <c r="X4" s="321"/>
    </row>
    <row r="5" spans="3:24" x14ac:dyDescent="0.25">
      <c r="C5" s="305" t="s">
        <v>50</v>
      </c>
      <c r="D5" s="306">
        <f>TLFD!B12+TLFD!B13+(TLFD!B14/2)</f>
        <v>124207.43899</v>
      </c>
      <c r="F5" s="305" t="s">
        <v>50</v>
      </c>
      <c r="G5" s="306">
        <f>TLFD!F12+TLFD!F13+(TLFD!F14/2)</f>
        <v>175770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260</v>
      </c>
      <c r="V5" s="321"/>
      <c r="W5" s="321"/>
      <c r="X5" s="321"/>
    </row>
    <row r="6" spans="3:24" x14ac:dyDescent="0.25">
      <c r="C6" s="305" t="s">
        <v>53</v>
      </c>
      <c r="D6" s="306">
        <f>(TLFD!B14/2)+SUM(TLFD!B15:B20)</f>
        <v>134442.76614600001</v>
      </c>
      <c r="F6" s="305" t="s">
        <v>53</v>
      </c>
      <c r="G6" s="306">
        <f>(TLFD!F14/2)+SUM(TLFD!F15:F20)</f>
        <v>145071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261</v>
      </c>
      <c r="V6" s="321"/>
      <c r="W6" s="321"/>
      <c r="X6" s="321"/>
    </row>
    <row r="7" spans="3:24" x14ac:dyDescent="0.25">
      <c r="C7" s="308" t="s">
        <v>56</v>
      </c>
      <c r="D7" s="309">
        <f>SUM(TLFD!B21:B101)</f>
        <v>58337.413232999999</v>
      </c>
      <c r="F7" s="308" t="s">
        <v>56</v>
      </c>
      <c r="G7" s="309">
        <f>SUM(TLFD!F21:F101)</f>
        <v>4483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262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344939.69133199996</v>
      </c>
      <c r="E8" s="313"/>
      <c r="F8" s="311" t="s">
        <v>4</v>
      </c>
      <c r="G8" s="312">
        <f>SUM(G4:G7)</f>
        <v>376009</v>
      </c>
      <c r="H8" s="352"/>
      <c r="I8" s="352"/>
      <c r="J8" s="352" t="s">
        <v>252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263</v>
      </c>
      <c r="V9" s="321"/>
      <c r="W9" s="321"/>
      <c r="X9" s="321"/>
    </row>
    <row ht="15.75" r="10" spans="3:24" thickBot="1" x14ac:dyDescent="0.3">
      <c r="C10" s="314" t="s">
        <v>63</v>
      </c>
      <c r="I10" s="354" t="s">
        <v>248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258</v>
      </c>
      <c r="V10" s="321"/>
      <c r="W10" s="321"/>
      <c r="X10" s="321"/>
    </row>
    <row r="11" spans="3:24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264</v>
      </c>
      <c r="V11" s="321"/>
      <c r="W11" s="321"/>
      <c r="X11" s="321"/>
    </row>
    <row r="12" spans="3:24" x14ac:dyDescent="0.25">
      <c r="C12" s="302" t="s">
        <v>47</v>
      </c>
      <c r="D12" s="316">
        <f>D4/D$8</f>
        <v>8.1034666828458696E-2</v>
      </c>
      <c r="F12" s="302" t="s">
        <v>47</v>
      </c>
      <c r="G12" s="316">
        <f>G4/G$8</f>
        <v>0.13479730538364773</v>
      </c>
      <c r="H12" s="316"/>
      <c r="I12" s="356">
        <f>D12/G12</f>
        <v>0.60115939705044741</v>
      </c>
      <c r="J12" s="357">
        <f>LN(I12)</f>
        <v>-0.50889515989357892</v>
      </c>
      <c r="K12" s="357">
        <f>K8*J12</f>
        <v>-0.50889515989357892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265</v>
      </c>
      <c r="V12" s="321"/>
      <c r="W12" s="321"/>
      <c r="X12" s="321"/>
    </row>
    <row r="13" spans="3:24" x14ac:dyDescent="0.25">
      <c r="C13" s="305" t="s">
        <v>50</v>
      </c>
      <c r="D13" s="317">
        <f ref="D13:D16" si="1" t="shared">D5/D$8</f>
        <v>0.36008450784648022</v>
      </c>
      <c r="F13" s="305" t="s">
        <v>50</v>
      </c>
      <c r="G13" s="317">
        <f ref="G13:G16" si="2" t="shared">G5/G$8</f>
        <v>0.46746221500017288</v>
      </c>
      <c r="H13" s="317"/>
      <c r="I13" s="356">
        <f ref="I13:I15" si="3" t="shared">D13/G13</f>
        <v>0.77029649946434076</v>
      </c>
      <c r="J13" s="357">
        <f ref="J13:J15" si="4" t="shared">LN(I13)</f>
        <v>-0.26097977401321193</v>
      </c>
      <c r="K13" s="357">
        <f>K8*(J13-J12)</f>
        <v>0.24791538588036699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266</v>
      </c>
      <c r="V13" s="321"/>
      <c r="W13" s="321"/>
      <c r="X13" s="321"/>
    </row>
    <row r="14" spans="3:24" x14ac:dyDescent="0.25">
      <c r="C14" s="305" t="s">
        <v>53</v>
      </c>
      <c r="D14" s="317">
        <f si="1" t="shared"/>
        <v>0.38975730982666357</v>
      </c>
      <c r="F14" s="305" t="s">
        <v>53</v>
      </c>
      <c r="G14" s="317">
        <f si="2" t="shared"/>
        <v>0.3858178926568247</v>
      </c>
      <c r="H14" s="317"/>
      <c r="I14" s="356">
        <f si="3" t="shared"/>
        <v>1.0102105611087946</v>
      </c>
      <c r="J14" s="357">
        <f si="4" t="shared"/>
        <v>1.01587854703358E-2</v>
      </c>
      <c r="K14" s="357">
        <f>K8*(J14-J13-J12)</f>
        <v>0.78003371937712662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267</v>
      </c>
      <c r="V14" s="321"/>
      <c r="W14" s="321"/>
      <c r="X14" s="321"/>
    </row>
    <row ht="15.75" r="15" spans="3:24" thickBot="1" x14ac:dyDescent="0.3">
      <c r="C15" s="308" t="s">
        <v>56</v>
      </c>
      <c r="D15" s="317">
        <f si="1" t="shared"/>
        <v>0.16912351549839766</v>
      </c>
      <c r="F15" s="308" t="s">
        <v>56</v>
      </c>
      <c r="G15" s="317">
        <f si="2" t="shared"/>
        <v>1.1922586959354697E-2</v>
      </c>
      <c r="H15" s="317"/>
      <c r="I15" s="358">
        <f si="3" t="shared"/>
        <v>14.185135832932636</v>
      </c>
      <c r="J15" s="359">
        <f si="4" t="shared"/>
        <v>2.6521946440297457</v>
      </c>
      <c r="K15" s="359">
        <f>K8*(J15-J14-J13-J12)</f>
        <v>3.4119107924662009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268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261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269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82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85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247</v>
      </c>
      <c r="C22" s="322" t="s">
        <v>91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47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50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53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56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82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107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247</v>
      </c>
      <c r="C32" s="322" t="s">
        <v>91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47</v>
      </c>
      <c r="D33" s="378">
        <f>K12</f>
        <v>-0.50889515989357892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0.24791538588036699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53</v>
      </c>
      <c r="D35" s="379">
        <f si="7" t="shared"/>
        <v>0.78003371937712662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56</v>
      </c>
      <c r="D36" s="326">
        <f si="7" t="shared"/>
        <v>3.4119107924662009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82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-21.319123548593581</v>
      </c>
      <c r="R39" s="296" t="str">
        <f>VLOOKUP(N39,Coeff_Descr!$A$2:$E$104,4,FALSE)</f>
        <v>distanceFromOrigin4</v>
      </c>
    </row>
    <row r="40" spans="2:18" x14ac:dyDescent="0.25">
      <c r="C40" s="320" t="s">
        <v>125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-6.9357219613496337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-2.8800638196728734</v>
      </c>
      <c r="R41" s="296" t="str">
        <f>VLOOKUP(N41,Coeff_Descr!$A$2:$E$104,4,FALSE)</f>
        <v>distanceFromOrigin9</v>
      </c>
    </row>
    <row r="42" spans="2:18" x14ac:dyDescent="0.25">
      <c r="B42" s="345" t="s">
        <v>247</v>
      </c>
      <c r="C42" s="322" t="s">
        <v>91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2.051365065106201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47</v>
      </c>
      <c r="D43" s="380">
        <f>D23+D33</f>
        <v>-21.319123548593581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50</v>
      </c>
      <c r="D44" s="380">
        <f ref="D44:D46" si="9" t="shared">D24+D34</f>
        <v>-6.9357219613496337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53</v>
      </c>
      <c r="D45" s="380">
        <f si="9" t="shared"/>
        <v>-2.8800638196728734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56</v>
      </c>
      <c r="D46" s="381">
        <f si="9" t="shared"/>
        <v>2.051365065106201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H29" sqref="H29"/>
    </sheetView>
  </sheetViews>
  <sheetFormatPr defaultRowHeight="15" x14ac:dyDescent="0.25"/>
  <sheetData>
    <row r="1" spans="1:2" x14ac:dyDescent="0.25">
      <c r="A1" t="s">
        <v>278</v>
      </c>
      <c r="B1" t="s">
        <v>279</v>
      </c>
    </row>
    <row r="2" spans="1:2" x14ac:dyDescent="0.25">
      <c r="A2">
        <v>1</v>
      </c>
      <c r="B2" t="s">
        <v>280</v>
      </c>
    </row>
    <row r="3" spans="1:2" x14ac:dyDescent="0.25">
      <c r="A3">
        <v>2</v>
      </c>
      <c r="B3" t="s">
        <v>281</v>
      </c>
    </row>
    <row r="4" spans="1:2" x14ac:dyDescent="0.25">
      <c r="A4">
        <v>3</v>
      </c>
      <c r="B4" t="s">
        <v>282</v>
      </c>
    </row>
    <row r="5" spans="1:2" x14ac:dyDescent="0.25">
      <c r="A5">
        <v>4</v>
      </c>
      <c r="B5" t="s">
        <v>283</v>
      </c>
    </row>
    <row r="6" spans="1:2" x14ac:dyDescent="0.25">
      <c r="A6">
        <v>5</v>
      </c>
      <c r="B6" t="s">
        <v>284</v>
      </c>
    </row>
    <row r="7" spans="1:2" x14ac:dyDescent="0.25">
      <c r="A7">
        <v>6</v>
      </c>
      <c r="B7" t="s">
        <v>285</v>
      </c>
    </row>
    <row r="8" spans="1:2" x14ac:dyDescent="0.25">
      <c r="A8">
        <v>7</v>
      </c>
      <c r="B8" t="s">
        <v>286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2020-03-25T20:58:37Z</dcterms:modified>
</cp:coreProperties>
</file>