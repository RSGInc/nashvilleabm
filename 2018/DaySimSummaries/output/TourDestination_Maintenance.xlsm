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Calibration\daysim_summaries\output\"/>
    </mc:Choice>
  </mc:AlternateContent>
  <bookViews>
    <workbookView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" r:id="rId8" sheetId="9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S21"/>
  <c i="1" r="S22"/>
  <c i="1" r="S23"/>
  <c i="1" r="S24"/>
  <c i="1" r="S25"/>
  <c i="1" r="S20"/>
  <c i="1" r="S28"/>
  <c i="1" r="S27"/>
  <c i="1" r="N26"/>
  <c i="1" r="O26"/>
  <c i="1" r="P26"/>
  <c i="1" r="Q26"/>
  <c i="1" r="R26"/>
  <c i="1" r="S26"/>
  <c i="1" r="T26"/>
  <c i="1" r="U26"/>
  <c i="1" r="M26"/>
  <c i="1" r="C26"/>
  <c i="1" r="D26"/>
  <c i="1" r="E26"/>
  <c i="1" r="F26"/>
  <c i="1" r="G26"/>
  <c i="1" r="U13"/>
  <c i="1" r="H26" s="1"/>
  <c i="1" r="S15"/>
  <c i="1" r="J13"/>
  <c i="1" r="H15"/>
  <c i="1" l="1" r="B26"/>
  <c i="1" r="J26"/>
  <c i="1" r="I26"/>
  <c i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P84"/>
  <c i="6" r="O84"/>
  <c i="6" r="N84"/>
  <c i="6" r="M84" s="1"/>
  <c i="6" r="P83"/>
  <c i="6" r="O83"/>
  <c i="6" r="N83"/>
  <c i="6" r="P82"/>
  <c i="6" r="O82"/>
  <c i="6" r="N82"/>
  <c i="6" r="M82" s="1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P54"/>
  <c i="6" r="O54"/>
  <c i="6" r="N54"/>
  <c i="6" r="M54" s="1"/>
  <c i="6" r="P53"/>
  <c i="6" r="O53"/>
  <c i="6" r="N53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P46"/>
  <c i="6" r="O46"/>
  <c i="6" r="N46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M42" s="1"/>
  <c i="6" r="P41"/>
  <c i="6" r="O41"/>
  <c i="6" r="N41"/>
  <c i="6" r="M41" s="1"/>
  <c i="6" r="P40"/>
  <c i="6" r="O40"/>
  <c i="6" r="N40"/>
  <c i="6" r="R40" s="1"/>
  <c i="6" r="P39"/>
  <c i="6" r="O39"/>
  <c i="6" r="N39"/>
  <c i="6" r="M39" s="1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P34"/>
  <c i="6" r="O34"/>
  <c i="6" r="N34"/>
  <c i="6" r="M34" s="1"/>
  <c i="6" r="P33"/>
  <c i="6" r="O33"/>
  <c i="6" r="N33"/>
  <c i="6" r="M33" s="1"/>
  <c i="6" r="P32"/>
  <c i="6" r="O32"/>
  <c i="6" r="N32"/>
  <c i="6" r="M32" s="1"/>
  <c i="6" r="P31"/>
  <c i="6" r="O31"/>
  <c i="6" r="N31"/>
  <c i="6" r="P30"/>
  <c i="6" r="O30"/>
  <c i="6" r="N30"/>
  <c i="6" r="M30" s="1"/>
  <c i="6" r="P29"/>
  <c i="6" r="O29"/>
  <c i="6" r="N29"/>
  <c i="6" r="M29" s="1"/>
  <c i="6" r="P28"/>
  <c i="6" r="O28"/>
  <c i="6" r="N28"/>
  <c i="6" r="P27"/>
  <c i="6" r="O27"/>
  <c i="6" r="N27"/>
  <c i="6" r="M27" s="1"/>
  <c i="6" r="P26"/>
  <c i="6" r="O26"/>
  <c i="6" r="N26"/>
  <c i="6" r="M26" s="1"/>
  <c i="6" r="P25"/>
  <c i="6" r="O25"/>
  <c i="6" r="N25"/>
  <c i="6" r="M25" s="1"/>
  <c i="6" r="P24"/>
  <c i="6" r="O24"/>
  <c i="6" r="N24"/>
  <c i="6" r="M24" s="1"/>
  <c i="6" r="P23"/>
  <c i="6" r="O23"/>
  <c i="6" r="N23"/>
  <c i="6" r="P22"/>
  <c i="6" r="O22"/>
  <c i="6" r="N22"/>
  <c i="6" r="M22" s="1"/>
  <c i="6" r="P21"/>
  <c i="6" r="O21"/>
  <c i="6" r="N2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M12" s="1"/>
  <c i="6" r="P11"/>
  <c i="6" r="O11"/>
  <c i="6" r="N11"/>
  <c i="6" r="M11" s="1"/>
  <c i="6" r="P10"/>
  <c i="6" r="O10"/>
  <c i="6" r="N10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P4"/>
  <c i="6" r="O4"/>
  <c i="6" r="N4"/>
  <c i="6" r="M4" s="1"/>
  <c i="6" r="P3"/>
  <c i="6" r="O3"/>
  <c i="6" r="N3"/>
  <c i="6" r="B36"/>
  <c i="6" r="B46" s="1"/>
  <c i="6" r="B35"/>
  <c i="6" r="B45" s="1"/>
  <c i="6" r="B34"/>
  <c i="6" r="B44" s="1"/>
  <c i="6" r="B33"/>
  <c i="6" r="B43" s="1"/>
  <c i="6" l="1" r="D24"/>
  <c i="6" r="D23"/>
  <c i="6" r="Q75"/>
  <c i="6" r="Q36"/>
  <c i="6" r="D25"/>
  <c i="6" r="D26"/>
  <c i="6" r="M40"/>
  <c i="6" r="Q33"/>
  <c i="6" r="R39"/>
  <c i="6" r="R41"/>
  <c i="6" r="R42"/>
  <c i="6" r="Q25"/>
  <c i="6" r="Q5"/>
  <c i="6" r="Q78"/>
  <c i="6" r="Q79"/>
  <c i="6" r="Q77"/>
  <c i="6" r="Q83"/>
  <c i="6" r="Q99"/>
  <c i="6" r="Q21"/>
  <c i="6" r="Q80"/>
  <c i="6" r="Q35"/>
  <c i="6" r="Q37"/>
  <c i="6" r="Q20"/>
  <c i="6" r="Q89"/>
  <c i="6" r="Q27"/>
  <c i="6" r="Q88"/>
  <c i="6" r="Q85"/>
  <c i="6" r="Q70"/>
  <c i="6" r="Q93"/>
  <c i="6" r="Q82"/>
  <c i="6" r="Q95"/>
  <c i="6" r="Q29"/>
  <c i="6" r="Q96"/>
  <c i="6" r="Q23"/>
  <c i="6" r="Q28"/>
  <c i="6" r="Q50"/>
  <c i="6" r="Q16"/>
  <c i="6" r="Q15"/>
  <c i="6" r="Q102"/>
  <c i="6" r="Q51"/>
  <c i="6" r="Q58"/>
  <c i="6" r="Q26"/>
  <c i="6" r="Q49"/>
  <c i="6" r="Q60"/>
  <c i="6" r="Q67"/>
  <c i="6" r="Q103"/>
  <c i="6" r="Q87"/>
  <c i="6" r="Q44"/>
  <c i="6" r="Q101"/>
  <c i="6" r="Q9"/>
  <c i="6" r="Q68"/>
  <c i="6" r="Q104"/>
  <c i="6" r="Q31"/>
  <c i="6" r="Q97"/>
  <c i="6" r="Q11"/>
  <c i="6" r="Q3"/>
  <c i="6" r="Q10"/>
  <c i="6" r="Q38"/>
  <c i="6" r="Q59"/>
  <c i="6" r="Q6"/>
  <c i="6" r="Q69"/>
  <c i="6" r="Q12"/>
  <c i="6" r="Q71"/>
  <c i="6" r="Q45"/>
  <c i="6" r="Q61"/>
  <c i="6" r="Q86"/>
  <c i="6" r="Q94"/>
  <c i="6" r="Q7"/>
  <c i="6" r="Q13"/>
  <c i="6" r="Q72"/>
  <c i="6" r="Q46"/>
  <c i="6" r="Q34"/>
  <c i="6" r="Q43"/>
  <c i="6" r="Q62"/>
  <c i="6" r="Q66"/>
  <c i="6" r="Q17"/>
  <c i="6" r="Q73"/>
  <c i="6" r="Q81"/>
  <c i="6" r="Q22"/>
  <c i="6" r="Q18"/>
  <c i="6" r="Q4"/>
  <c i="6" r="Q84"/>
  <c i="6" r="Q90"/>
  <c i="6" r="Q8"/>
  <c i="6" r="Q63"/>
  <c i="6" r="Q74"/>
  <c i="6" r="Q19"/>
  <c i="6" r="Q47"/>
  <c i="6" r="M21"/>
  <c i="6" r="M46"/>
  <c i="6" r="M85"/>
  <c i="6" r="Q98"/>
  <c i="6" r="M3"/>
  <c i="6" r="M28"/>
  <c i="6" r="M47"/>
  <c i="6" r="M93"/>
  <c i="6" r="M10"/>
  <c i="6" r="M35"/>
  <c i="6" r="Q14"/>
  <c i="6" r="M23"/>
  <c i="6" r="M5"/>
  <c i="6" r="M31"/>
  <c i="6" r="Q91"/>
  <c i="6" r="Q30"/>
  <c i="6" r="Q64"/>
  <c i="6" r="Q92"/>
  <c i="6" r="Q32"/>
  <c i="6" r="Q65"/>
  <c i="6" r="Q57"/>
  <c i="6" r="M53"/>
  <c i="6" r="M83"/>
  <c i="6" r="M55"/>
  <c i="6" r="Q48"/>
  <c i="6" r="Q76"/>
  <c i="6" r="Q100"/>
  <c i="6" r="Q24"/>
  <c i="6" l="1" r="G7"/>
  <c i="6" r="D7"/>
  <c i="6" r="G6"/>
  <c i="6" r="D6"/>
  <c i="6" r="G5"/>
  <c i="6" r="D5"/>
  <c i="6" r="G4"/>
  <c i="6" r="D4"/>
  <c i="6" l="1" r="G8"/>
  <c i="6" r="G15" s="1"/>
  <c i="6" r="D8"/>
  <c i="6" r="D14" s="1"/>
  <c i="6" l="1" r="G12"/>
  <c i="6" r="G16"/>
  <c i="6" r="G13"/>
  <c i="6" r="D16"/>
  <c i="6" r="D12"/>
  <c i="6" r="I12" s="1"/>
  <c i="6" r="J12" s="1"/>
  <c i="6" r="K12" s="1"/>
  <c i="6" r="D33" s="1"/>
  <c i="6" r="D43" s="1"/>
  <c i="6" r="Q39" s="1"/>
  <c i="6" r="D13"/>
  <c i="6" r="I13" s="1"/>
  <c i="6" r="J13" s="1"/>
  <c i="6" r="G14"/>
  <c i="6" r="I14" s="1"/>
  <c i="6" r="J14" s="1"/>
  <c i="6" r="D15"/>
  <c i="6" r="I15" s="1"/>
  <c i="6" r="J15" s="1"/>
  <c i="6" l="1" r="K14"/>
  <c i="6" r="D35" s="1"/>
  <c i="6" r="D45" s="1"/>
  <c i="6" r="Q41" s="1"/>
  <c i="6" r="K13"/>
  <c i="6" r="D34" s="1"/>
  <c i="6" r="D44" s="1"/>
  <c i="6" r="Q40" s="1"/>
  <c i="6" r="K15"/>
  <c i="6" r="D36" s="1"/>
  <c i="6" r="D46" s="1"/>
  <c i="6" r="Q42" s="1"/>
  <c i="6" r="Q54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Q55"/>
  <c i="6" r="Q56"/>
  <c i="1" r="Q15"/>
  <c i="1" r="Q28" s="1"/>
  <c i="1" r="R15"/>
  <c i="1" r="R28" s="1"/>
  <c i="1" r="U10"/>
  <c i="1" r="U11"/>
  <c i="1" r="U12"/>
  <c i="1" r="H25" s="1"/>
  <c i="1" r="F15"/>
  <c i="1" r="G15"/>
  <c i="1" r="J10"/>
  <c i="1" r="J11"/>
  <c i="1" r="J12"/>
  <c i="1" l="1" r="H24"/>
  <c i="1" r="H23"/>
  <c i="1" r="B25"/>
  <c i="1" r="D25"/>
  <c i="1" r="G25"/>
  <c i="1" r="I25"/>
  <c i="1" r="F25"/>
  <c i="1" r="C25"/>
  <c i="1" r="E25"/>
  <c i="1" r="C24"/>
  <c i="1" r="D24"/>
  <c i="1" r="G24"/>
  <c i="1" r="I24"/>
  <c i="1" r="F24"/>
  <c i="1" r="B24"/>
  <c i="1" r="E24"/>
  <c i="1" r="I23"/>
  <c i="1" r="B23"/>
  <c i="1" r="C23"/>
  <c i="1" r="D23"/>
  <c i="1" r="E23"/>
  <c i="1" r="F23"/>
  <c i="1" r="G23"/>
  <c i="1" r="U25"/>
  <c i="1" r="U24"/>
  <c i="1" r="U23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2" s="1"/>
  <c i="3" r="B102"/>
  <c i="3" r="C13" s="1"/>
  <c i="1" l="1" r="H27"/>
  <c i="1" r="H20"/>
  <c i="1" r="H21"/>
  <c i="1" r="H22"/>
  <c i="1" r="E21"/>
  <c i="1" r="F21"/>
  <c i="1" r="B21"/>
  <c i="1" r="G21"/>
  <c i="1" r="I21"/>
  <c i="1" r="C21"/>
  <c i="1" r="D21"/>
  <c i="1" r="U27"/>
  <c i="1" r="E27"/>
  <c i="1" r="F27"/>
  <c i="1" r="I27"/>
  <c i="1" r="B27"/>
  <c i="1" r="G27"/>
  <c i="1" r="D27"/>
  <c i="1" r="C27"/>
  <c i="1" r="B22"/>
  <c i="1" r="C22"/>
  <c i="1" r="D22"/>
  <c i="1" r="E22"/>
  <c i="1" r="F22"/>
  <c i="1" r="G22"/>
  <c i="1" r="I22"/>
  <c i="1" r="D20"/>
  <c i="1" r="E20"/>
  <c i="1" r="F20"/>
  <c i="1" r="G20"/>
  <c i="1" r="I20"/>
  <c i="1" r="B20"/>
  <c i="1" r="C20"/>
  <c i="1" r="J23"/>
  <c i="1" r="J25"/>
  <c i="1" r="J24"/>
  <c i="1" r="U20"/>
  <c i="1" r="U22"/>
  <c i="1" r="U21"/>
  <c i="1" r="J15"/>
  <c i="1" r="U15"/>
  <c i="1" r="U28" s="1"/>
  <c i="4" r="C43"/>
  <c i="4" r="C13"/>
  <c i="4" r="C23"/>
  <c i="4" r="C39"/>
  <c i="4" r="C51"/>
  <c i="4" r="C81"/>
  <c i="4" r="C19"/>
  <c i="4" r="C31"/>
  <c i="4" r="C63"/>
  <c i="4" r="C11"/>
  <c i="4" r="C21"/>
  <c i="4" r="C33"/>
  <c i="4" r="C49"/>
  <c i="4" r="C71"/>
  <c i="4" r="C15"/>
  <c i="4" r="C27"/>
  <c i="4" r="C41"/>
  <c i="4" r="C59"/>
  <c i="4" r="C83"/>
  <c i="4" r="C91"/>
  <c i="4" r="C73"/>
  <c i="4" r="C95"/>
  <c i="4" r="C55"/>
  <c i="4" r="C65"/>
  <c i="4" r="C75"/>
  <c i="4" r="C87"/>
  <c i="4" r="C97"/>
  <c i="4" r="C17"/>
  <c i="4" r="C25"/>
  <c i="4" r="C35"/>
  <c i="4" r="C47"/>
  <c i="4" r="C57"/>
  <c i="4" r="C67"/>
  <c i="4" r="C79"/>
  <c i="4" r="C89"/>
  <c i="4" r="C99"/>
  <c i="4" r="G18"/>
  <c i="4" r="C29"/>
  <c i="4" r="C37"/>
  <c i="4" r="C45"/>
  <c i="4" r="C53"/>
  <c i="4" r="C61"/>
  <c i="4" r="C69"/>
  <c i="4" r="C77"/>
  <c i="4" r="C85"/>
  <c i="4" r="C93"/>
  <c i="4" r="C101"/>
  <c i="4" r="G34"/>
  <c i="4" r="G66"/>
  <c i="4" r="G12"/>
  <c i="4" r="G20"/>
  <c i="4" r="G28"/>
  <c i="4" r="G36"/>
  <c i="4" r="G44"/>
  <c i="4" r="G52"/>
  <c i="4" r="G60"/>
  <c i="4" r="G68"/>
  <c i="4" r="G82"/>
  <c i="4" r="G98"/>
  <c i="4" r="G26"/>
  <c i="4" r="G42"/>
  <c i="4" r="G50"/>
  <c i="4" r="G58"/>
  <c i="4" r="G78"/>
  <c i="4" r="G94"/>
  <c i="4" r="G16"/>
  <c i="4" r="G24"/>
  <c i="4" r="G32"/>
  <c i="4" r="G40"/>
  <c i="4" r="G48"/>
  <c i="4" r="G56"/>
  <c i="4" r="G64"/>
  <c i="4" r="G74"/>
  <c i="4" r="G90"/>
  <c i="4" r="G14"/>
  <c i="4" r="G22"/>
  <c i="4" r="G30"/>
  <c i="4" r="G38"/>
  <c i="4" r="G46"/>
  <c i="4" r="G54"/>
  <c i="4" r="G62"/>
  <c i="4" r="G70"/>
  <c i="4" r="G86"/>
  <c i="4" r="G102"/>
  <c i="4" r="G72"/>
  <c i="4" r="G76"/>
  <c i="4" r="G80"/>
  <c i="4" r="G84"/>
  <c i="4" r="G88"/>
  <c i="4" r="G92"/>
  <c i="4" r="G96"/>
  <c i="4" r="G100"/>
  <c i="3" r="G13"/>
  <c i="3" r="G17"/>
  <c i="3" r="G21"/>
  <c i="3" r="G25"/>
  <c i="3" r="G29"/>
  <c i="3" r="G33"/>
  <c i="3" r="G37"/>
  <c i="3" r="G41"/>
  <c i="3" r="G45"/>
  <c i="3" r="G49"/>
  <c i="3" r="G53"/>
  <c i="3" r="G57"/>
  <c i="3" r="G61"/>
  <c i="3" r="G65"/>
  <c i="3" r="G69"/>
  <c i="3" r="G73"/>
  <c i="3" r="G77"/>
  <c i="3" r="G81"/>
  <c i="3" r="G85"/>
  <c i="3" r="G89"/>
  <c i="3" r="G93"/>
  <c i="3" r="G97"/>
  <c i="3" r="G101"/>
  <c i="3" r="G11"/>
  <c i="3" r="G15"/>
  <c i="3" r="G19"/>
  <c i="3" r="G23"/>
  <c i="3" r="G27"/>
  <c i="3" r="G31"/>
  <c i="3" r="G35"/>
  <c i="3" r="G39"/>
  <c i="3" r="G43"/>
  <c i="3" r="G47"/>
  <c i="3" r="G51"/>
  <c i="3" r="G55"/>
  <c i="3" r="G59"/>
  <c i="3" r="G63"/>
  <c i="3" r="G67"/>
  <c i="3" r="G71"/>
  <c i="3" r="G75"/>
  <c i="3" r="G79"/>
  <c i="3" r="G83"/>
  <c i="3" r="G87"/>
  <c i="3" r="G91"/>
  <c i="3" r="G95"/>
  <c i="3" r="G99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C102"/>
  <c i="3" r="C98"/>
  <c i="3" r="C94"/>
  <c i="3" r="C92"/>
  <c i="3" r="C88"/>
  <c i="3" r="C84"/>
  <c i="3" r="C78"/>
  <c i="3" r="C74"/>
  <c i="3" r="C66"/>
  <c i="3" r="C34"/>
  <c i="3" r="C11"/>
  <c i="3" r="C100"/>
  <c i="3" r="C96"/>
  <c i="3" r="C90"/>
  <c i="3" r="C86"/>
  <c i="3" r="C82"/>
  <c i="3" r="C80"/>
  <c i="3" r="C76"/>
  <c i="3" r="C72"/>
  <c i="3" r="C70"/>
  <c i="3" r="C68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1" l="1" r="H28"/>
  <c i="1" r="O39"/>
  <c i="1" r="S37"/>
  <c i="1" r="M39"/>
  <c i="1" r="S41"/>
  <c i="1" r="Q39"/>
  <c i="1" r="P39"/>
  <c i="1" r="S34"/>
  <c i="1" r="T39"/>
  <c i="1" r="S35"/>
  <c i="1" r="N39"/>
  <c i="1" r="U39"/>
  <c i="1" r="S36"/>
  <c i="1" r="S33"/>
  <c i="1" r="R39"/>
  <c i="1" r="S40"/>
  <c i="1" r="S39"/>
  <c i="1" r="S38"/>
  <c i="1" r="O38"/>
  <c i="1" r="P38"/>
  <c i="1" r="P36"/>
  <c i="1" r="Q38"/>
  <c i="1" r="O35"/>
  <c i="1" r="M36"/>
  <c i="1" r="O36"/>
  <c i="1" r="R38"/>
  <c i="1" r="T38"/>
  <c i="1" r="N35"/>
  <c i="1" r="M40"/>
  <c i="1" r="Q36"/>
  <c i="1" r="P37"/>
  <c i="1" r="N38"/>
  <c i="1" r="N40"/>
  <c i="1" r="R33"/>
  <c i="1" r="M35"/>
  <c i="1" r="O37"/>
  <c i="1" r="O40"/>
  <c i="1" r="T37"/>
  <c i="1" r="P40"/>
  <c i="1" r="N37"/>
  <c i="1" r="Q40"/>
  <c i="1" r="M34"/>
  <c i="1" r="R40"/>
  <c i="1" r="M37"/>
  <c i="1" r="N34"/>
  <c i="1" r="T40"/>
  <c i="1" r="P35"/>
  <c i="1" r="T36"/>
  <c i="1" r="O34"/>
  <c i="1" r="N33"/>
  <c i="1" r="M33"/>
  <c i="1" r="Q35"/>
  <c i="1" r="Q37"/>
  <c i="1" r="P34"/>
  <c i="1" r="O33"/>
  <c i="1" r="T35"/>
  <c i="1" r="R36"/>
  <c i="1" r="Q34"/>
  <c i="1" r="P33"/>
  <c i="1" r="R35"/>
  <c i="1" r="N36"/>
  <c i="1" r="R34"/>
  <c i="1" r="Q33"/>
  <c i="1" r="T34"/>
  <c i="1" r="T33"/>
  <c i="1" r="R37"/>
  <c i="1" r="M38"/>
  <c i="1" r="U40"/>
  <c i="1" r="F28"/>
  <c i="1" r="G28"/>
  <c i="1" r="J27"/>
  <c i="1" r="U35"/>
  <c i="1" r="Q41"/>
  <c i="1" r="R41"/>
  <c i="1" r="I28"/>
  <c i="1" r="J21"/>
  <c i="1" r="N41"/>
  <c i="1" r="U34"/>
  <c i="1" r="J22"/>
  <c i="1" r="D28"/>
  <c i="1" r="U41"/>
  <c i="1" r="T41"/>
  <c i="1" r="U37"/>
  <c i="1" r="U38"/>
  <c i="1" r="E28"/>
  <c i="1" r="B28"/>
  <c i="1" r="J20"/>
  <c i="1" r="C28"/>
  <c i="1" r="U33"/>
  <c i="1" r="U36"/>
  <c i="1" r="P41"/>
  <c i="1" r="O41"/>
  <c i="1" r="M41"/>
  <c i="1" l="1" r="J28"/>
  <c i="1" l="1" r="F39"/>
  <c i="1" r="AB39" s="1"/>
  <c i="1" r="E39"/>
  <c i="1" r="AA39" s="1"/>
  <c i="1" r="G39"/>
  <c i="1" r="AC39" s="1"/>
  <c i="1" r="D39"/>
  <c i="1" r="Z39" s="1"/>
  <c i="1" r="C39"/>
  <c i="1" r="Y39" s="1"/>
  <c i="1" r="H39"/>
  <c i="1" r="AD39" s="1"/>
  <c i="1" r="J39"/>
  <c i="1" r="AF39" s="1"/>
  <c i="1" r="I39"/>
  <c i="1" r="AE39" s="1"/>
  <c i="1" r="B39"/>
  <c i="1" r="X39" s="1"/>
  <c i="1" r="H38"/>
  <c i="1" r="AD38" s="1"/>
  <c i="1" r="H36"/>
  <c i="1" r="AD36" s="1"/>
  <c i="1" r="H37"/>
  <c i="1" r="AD37" s="1"/>
  <c i="1" r="H35"/>
  <c i="1" r="AD35" s="1"/>
  <c i="1" r="H34"/>
  <c i="1" r="AD34" s="1"/>
  <c i="1" r="H33"/>
  <c i="1" r="AD33" s="1"/>
  <c i="1" r="H40"/>
  <c i="1" r="AD40" s="1"/>
  <c i="1" r="H41"/>
  <c i="1" r="AD41" s="1"/>
  <c i="1" r="G38"/>
  <c i="1" r="AC38" s="1"/>
  <c i="1" r="D38"/>
  <c i="1" r="Z38" s="1"/>
  <c i="1" r="C36"/>
  <c i="1" r="Y36" s="1"/>
  <c i="1" r="G36"/>
  <c i="1" r="AC36" s="1"/>
  <c i="1" r="I37"/>
  <c i="1" r="AE37" s="1"/>
  <c i="1" r="E38"/>
  <c i="1" r="AA38" s="1"/>
  <c i="1" r="F36"/>
  <c i="1" r="AB36" s="1"/>
  <c i="1" r="G37"/>
  <c i="1" r="AC37" s="1"/>
  <c i="1" r="C37"/>
  <c i="1" r="Y37" s="1"/>
  <c i="1" r="B36"/>
  <c i="1" r="X36" s="1"/>
  <c i="1" r="I36"/>
  <c i="1" r="AE36" s="1"/>
  <c i="1" r="B38"/>
  <c i="1" r="X38" s="1"/>
  <c i="1" r="E36"/>
  <c i="1" r="AA36" s="1"/>
  <c i="1" r="D37"/>
  <c i="1" r="Z37" s="1"/>
  <c i="1" r="E37"/>
  <c i="1" r="AA37" s="1"/>
  <c i="1" r="D36"/>
  <c i="1" r="Z36" s="1"/>
  <c i="1" r="C38"/>
  <c i="1" r="Y38" s="1"/>
  <c i="1" r="B37"/>
  <c i="1" r="X37" s="1"/>
  <c i="1" r="F37"/>
  <c i="1" r="AB37" s="1"/>
  <c i="1" r="F38"/>
  <c i="1" r="AB38" s="1"/>
  <c i="1" r="I38"/>
  <c i="1" r="AE38" s="1"/>
  <c i="1" r="B35"/>
  <c i="1" r="X35" s="1"/>
  <c i="1" r="C33"/>
  <c i="1" r="Y33" s="1"/>
  <c i="1" r="G40"/>
  <c i="1" r="AC40" s="1"/>
  <c i="1" r="F40"/>
  <c i="1" r="AB40" s="1"/>
  <c i="1" r="D34"/>
  <c i="1" r="Z34" s="1"/>
  <c i="1" r="G33"/>
  <c i="1" r="AC33" s="1"/>
  <c i="1" r="G35"/>
  <c i="1" r="AC35" s="1"/>
  <c i="1" r="D33"/>
  <c i="1" r="Z33" s="1"/>
  <c i="1" r="C34"/>
  <c i="1" r="Y34" s="1"/>
  <c i="1" r="D40"/>
  <c i="1" r="Z40" s="1"/>
  <c i="1" r="B33"/>
  <c i="1" r="X33" s="1"/>
  <c i="1" r="F35"/>
  <c i="1" r="AB35" s="1"/>
  <c i="1" r="B40"/>
  <c i="1" r="X40" s="1"/>
  <c i="1" r="E35"/>
  <c i="1" r="AA35" s="1"/>
  <c i="1" r="E33"/>
  <c i="1" r="AA33" s="1"/>
  <c i="1" r="E34"/>
  <c i="1" r="AA34" s="1"/>
  <c i="1" r="I40"/>
  <c i="1" r="AE40" s="1"/>
  <c i="1" r="I35"/>
  <c i="1" r="AE35" s="1"/>
  <c i="1" r="I33"/>
  <c i="1" r="AE33" s="1"/>
  <c i="1" r="F33"/>
  <c i="1" r="AB33" s="1"/>
  <c i="1" r="E40"/>
  <c i="1" r="AA40" s="1"/>
  <c i="1" r="B34"/>
  <c i="1" r="X34" s="1"/>
  <c i="1" r="C40"/>
  <c i="1" r="Y40" s="1"/>
  <c i="1" r="I34"/>
  <c i="1" r="AE34" s="1"/>
  <c i="1" r="G34"/>
  <c i="1" r="AC34" s="1"/>
  <c i="1" r="F34"/>
  <c i="1" r="AB34" s="1"/>
  <c i="1" r="C35"/>
  <c i="1" r="Y35" s="1"/>
  <c i="1" r="D35"/>
  <c i="1" r="Z35" s="1"/>
  <c i="1" r="J40"/>
  <c i="1" r="AF40" s="1"/>
  <c i="1" r="J35"/>
  <c i="1" r="AF35" s="1"/>
  <c i="1" r="G41"/>
  <c i="1" r="AC41" s="1"/>
  <c i="1" r="F41"/>
  <c i="1" r="AB41" s="1"/>
  <c i="1" r="B41"/>
  <c i="1" r="X41" s="1"/>
  <c i="1" r="C41"/>
  <c i="1" r="Y41" s="1"/>
  <c i="1" r="J41"/>
  <c i="1" r="AF41" s="1"/>
  <c i="1" r="J38"/>
  <c i="1" r="AF38" s="1"/>
  <c i="1" r="J36"/>
  <c i="1" r="AF36" s="1"/>
  <c i="1" r="I41"/>
  <c i="1" r="AE41" s="1"/>
  <c i="1" r="J37"/>
  <c i="1" r="AF37" s="1"/>
  <c i="1" r="J34"/>
  <c i="1" r="AF34" s="1"/>
  <c i="1" r="J33"/>
  <c i="1" r="AF33" s="1"/>
  <c i="1" r="E41"/>
  <c i="1" r="AA41" s="1"/>
  <c i="1" r="D41"/>
  <c i="1" r="Z41" s="1"/>
  <c i="6" l="1" r="Q52"/>
  <c i="6" r="Q53"/>
</calcChain>
</file>

<file path=xl/sharedStrings.xml><?xml version="1.0" encoding="utf-8"?>
<sst xmlns="http://schemas.openxmlformats.org/spreadsheetml/2006/main" count="718" uniqueCount="287">
  <si>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</si>
  <si>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</si>
  <si>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</si>
  <si>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</si>
  <si>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</si>
  <si>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</si>
  <si>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</si>
  <si>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</si>
  <si>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</si>
  <si>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</si>
  <si>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</si>
  <si>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</si>
  <si>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</si>
  <si>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</si>
  <si>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</si>
  <si>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</si>
  <si>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</si>
  <si>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</si>
  <si>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</si>
  <si>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</si>
  <si>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</si>
  <si>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</si>
  <si>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</si>
  <si>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</si>
  <si>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</si>
  <si>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</si>
  <si>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</si>
  <si>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</si>
  <si>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</si>
  <si>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</si>
  <si>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</si>
  <si>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</si>
  <si>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</si>
  <si>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</si>
  <si>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</si>
  <si>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</si>
  <si>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</si>
  <si>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</si>
  <si>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</si>
  <si>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</si>
  <si>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</si>
  <si>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</si>
  <si>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</si>
  <si>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</si>
  <si>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</si>
  <si>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</si>
  <si>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</si>
  <si>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</si>
  <si>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</si>
  <si>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</si>
  <si>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</si>
  <si>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</si>
  <si>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</si>
  <si>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</si>
  <si>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</si>
  <si>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</si>
  <si>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</si>
  <si>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</si>
  <si>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</si>
  <si>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</si>
  <si>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</si>
  <si>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</si>
  <si>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</si>
  <si>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</si>
  <si>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</si>
  <si>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</si>
  <si>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</si>
  <si>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</si>
  <si>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</si>
  <si>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</si>
  <si>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</si>
  <si>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</si>
  <si>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</si>
  <si>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</si>
  <si>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</si>
  <si>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</si>
  <si>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</si>
  <si>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</si>
  <si>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</si>
  <si>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</si>
  <si>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</si>
  <si>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</si>
  <si>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</si>
  <si>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</si>
  <si>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</si>
  <si>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</si>
  <si>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</si>
  <si>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</si>
  <si>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</si>
  <si>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</si>
  <si>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</si>
  <si>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</si>
  <si>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</si>
  <si>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</si>
  <si>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</si>
  <si>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</si>
  <si>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</si>
  <si>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</si>
  <si>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</si>
  <si>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</si>
  <si>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</si>
  <si>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</si>
  <si>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</si>
  <si>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</si>
  <si>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</si>
  <si>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</si>
  <si>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</si>
  <si>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</si>
  <si>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</si>
  <si>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</si>
  <si>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</si>
  <si>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</si>
  <si>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</si>
  <si>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</si>
  <si>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</si>
  <si>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</si>
  <si>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</si>
  <si>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</si>
  <si>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</si>
  <si>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</si>
  <si>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</si>
  <si>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</si>
  <si>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</si>
  <si>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</si>
  <si>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</si>
  <si>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</si>
  <si>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</si>
  <si>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</si>
  <si>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</si>
  <si>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</si>
  <si>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</si>
  <si>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</si>
  <si>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</si>
  <si>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</si>
  <si>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</si>
  <si>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</si>
  <si>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</si>
  <si>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</si>
  <si>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</si>
  <si>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</si>
  <si>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</si>
  <si>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</si>
  <si>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</si>
  <si>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</si>
  <si>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</si>
  <si>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</si>
  <si>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</si>
  <si>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</si>
  <si>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</si>
  <si>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</si>
  <si>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</si>
  <si>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</si>
  <si>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</si>
  <si>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</si>
  <si>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</si>
  <si>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</si>
  <si>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</si>
  <si>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</si>
  <si>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</si>
  <si>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</si>
  <si>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</si>
  <si>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</si>
  <si>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</si>
  <si>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</si>
  <si>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</si>
  <si>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</si>
  <si>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</si>
  <si>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</si>
  <si>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</si>
  <si>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</si>
  <si>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</si>
  <si>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</si>
  <si>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</si>
  <si>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</si>
  <si>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</si>
  <si>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</si>
  <si>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</si>
  <si>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</si>
  <si>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</si>
  <si>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</si>
  <si>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</si>
  <si>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</si>
  <si>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</si>
  <si>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</si>
  <si>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</si>
  <si>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</si>
  <si>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</si>
  <si>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</si>
  <si>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</si>
  <si>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</si>
  <si>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</si>
  <si>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</si>
  <si>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</si>
  <si>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</si>
  <si>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</si>
  <si>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</si>
  <si>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</si>
  <si>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</si>
  <si>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</si>
  <si>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</si>
  <si>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</si>
  <si>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</si>
  <si>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</si>
  <si>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</si>
  <si>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</si>
  <si>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</si>
  <si>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</si>
  <si>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</si>
  <si>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</si>
  <si>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</si>
  <si>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</si>
  <si>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</si>
  <si>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</si>
  <si>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</si>
  <si>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</si>
  <si>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</si>
  <si>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</si>
  <si>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</si>
  <si>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</si>
  <si>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</si>
  <si>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</si>
  <si>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</si>
  <si>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</si>
  <si>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</si>
  <si>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</si>
  <si>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</si>
  <si>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</si>
  <si>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</si>
  <si>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</si>
  <si>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</si>
  <si>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</si>
  <si>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</si>
  <si>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</si>
  <si>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</si>
  <si>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</si>
  <si>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</si>
  <si>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</si>
  <si>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</si>
  <si>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</si>
  <si>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</si>
  <si>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</si>
  <si>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</si>
  <si>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</si>
  <si>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</si>
  <si>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</si>
  <si>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</si>
  <si>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</si>
  <si>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</si>
  <si>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</si>
  <si>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</si>
  <si>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</si>
  <si>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</si>
  <si>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</si>
  <si>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</si>
  <si>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</si>
  <si>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</si>
  <si>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</si>
  <si>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</si>
  <si>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</si>
  <si>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</si>
  <si>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</si>
  <si>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</si>
  <si>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</si>
  <si>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</si>
  <si>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</si>
  <si>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</si>
  <si>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</si>
  <si>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</si>
  <si>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</si>
  <si>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</si>
  <si>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</si>
  <si>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</si>
  <si>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</si>
  <si>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</si>
  <si>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</si>
  <si>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</si>
  <si>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</si>
  <si>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OtherTourDestinationCoefficients_model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</si>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</sst>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82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ill="1" applyFont="1" applyNumberFormat="1" borderId="0" fillId="5" fontId="0" numFmtId="171" xfId="0">
      <alignment horizontal="right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tyles.xml" Type="http://schemas.openxmlformats.org/officeDocument/2006/relationships/styles"/>
    <Relationship Id="rId11" Target="sharedStrings.xml" Type="http://schemas.openxmlformats.org/officeDocument/2006/relationships/sharedStrings"/>
    <Relationship Id="rId12" Target="calcChain.xml" Type="http://schemas.openxmlformats.org/officeDocument/2006/relationships/calcChain"/>
    <Relationship Id="rId13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Maintenance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8.1034666828458696E-2</c:v>
                </c:pt>
                <c:pt idx="1">
                  <c:v>0.16185825440790769</c:v>
                </c:pt>
                <c:pt idx="2">
                  <c:v>0.13755204476116009</c:v>
                </c:pt>
                <c:pt idx="3">
                  <c:v>0.12134841735482489</c:v>
                </c:pt>
                <c:pt idx="4">
                  <c:v>0.10741893507505031</c:v>
                </c:pt>
                <c:pt idx="5">
                  <c:v>7.3225249560188249E-2</c:v>
                </c:pt>
                <c:pt idx="6">
                  <c:v>5.6084339776311803E-2</c:v>
                </c:pt>
                <c:pt idx="7">
                  <c:v>3.1307016537583873E-2</c:v>
                </c:pt>
                <c:pt idx="8">
                  <c:v>4.097902031632239E-2</c:v>
                </c:pt>
                <c:pt idx="9">
                  <c:v>2.0068539883794485E-2</c:v>
                </c:pt>
                <c:pt idx="10">
                  <c:v>2.0943892258680746E-2</c:v>
                </c:pt>
                <c:pt idx="11">
                  <c:v>1.8311847516325593E-2</c:v>
                </c:pt>
                <c:pt idx="12">
                  <c:v>1.6833625871170727E-2</c:v>
                </c:pt>
                <c:pt idx="13">
                  <c:v>1.4059811711642495E-2</c:v>
                </c:pt>
                <c:pt idx="14">
                  <c:v>8.5947691422572099E-3</c:v>
                </c:pt>
                <c:pt idx="15">
                  <c:v>1.3158618480444279E-2</c:v>
                </c:pt>
                <c:pt idx="16">
                  <c:v>1.3491292643156254E-2</c:v>
                </c:pt>
                <c:pt idx="17">
                  <c:v>4.447668292609952E-3</c:v>
                </c:pt>
                <c:pt idx="18">
                  <c:v>6.6197218829254778E-3</c:v>
                </c:pt>
                <c:pt idx="19">
                  <c:v>6.104389642342849E-3</c:v>
                </c:pt>
                <c:pt idx="20">
                  <c:v>4.2687615574595371E-3</c:v>
                </c:pt>
                <c:pt idx="21">
                  <c:v>6.5146500430915515E-3</c:v>
                </c:pt>
                <c:pt idx="22">
                  <c:v>8.5946366698246414E-4</c:v>
                </c:pt>
                <c:pt idx="23">
                  <c:v>2.1114302073721209E-3</c:v>
                </c:pt>
                <c:pt idx="24">
                  <c:v>1.792176428328155E-3</c:v>
                </c:pt>
                <c:pt idx="25">
                  <c:v>1.6598870451499232E-3</c:v>
                </c:pt>
                <c:pt idx="26">
                  <c:v>3.1266950835238537E-3</c:v>
                </c:pt>
                <c:pt idx="27">
                  <c:v>6.0401529350087736E-3</c:v>
                </c:pt>
                <c:pt idx="28">
                  <c:v>5.6472173221872697E-4</c:v>
                </c:pt>
                <c:pt idx="29">
                  <c:v>1.3406897049574125E-3</c:v>
                </c:pt>
                <c:pt idx="30">
                  <c:v>1.3448400217692348E-3</c:v>
                </c:pt>
                <c:pt idx="31">
                  <c:v>4.8152190041862927E-3</c:v>
                </c:pt>
                <c:pt idx="32">
                  <c:v>0</c:v>
                </c:pt>
                <c:pt idx="33">
                  <c:v>2.0057641738134633E-3</c:v>
                </c:pt>
                <c:pt idx="34">
                  <c:v>3.9206039257986105E-3</c:v>
                </c:pt>
                <c:pt idx="35">
                  <c:v>4.5237804729699989E-4</c:v>
                </c:pt>
                <c:pt idx="36">
                  <c:v>7.7030607574892992E-4</c:v>
                </c:pt>
                <c:pt idx="37">
                  <c:v>1.4486287677432149E-4</c:v>
                </c:pt>
                <c:pt idx="38">
                  <c:v>2.2136272490169183E-4</c:v>
                </c:pt>
                <c:pt idx="39">
                  <c:v>0</c:v>
                </c:pt>
                <c:pt idx="40">
                  <c:v>1.0840447022957911E-3</c:v>
                </c:pt>
                <c:pt idx="41">
                  <c:v>0</c:v>
                </c:pt>
                <c:pt idx="42">
                  <c:v>2.3928757424600505E-4</c:v>
                </c:pt>
                <c:pt idx="43">
                  <c:v>1.2023532183219204E-3</c:v>
                </c:pt>
                <c:pt idx="44">
                  <c:v>8.1956184545867614E-5</c:v>
                </c:pt>
                <c:pt idx="45">
                  <c:v>1.3178376377755783E-3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4.5066092684121003E-4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2.2777255843364086E-4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0.13479730538364773</c:v>
                </c:pt>
                <c:pt idx="1">
                  <c:v>0.17689470198851623</c:v>
                </c:pt>
                <c:pt idx="2">
                  <c:v>0.16420883542681158</c:v>
                </c:pt>
                <c:pt idx="3">
                  <c:v>0.25271735516969007</c:v>
                </c:pt>
                <c:pt idx="4">
                  <c:v>0.14372794268222303</c:v>
                </c:pt>
                <c:pt idx="5">
                  <c:v>5.9761867402110057E-2</c:v>
                </c:pt>
                <c:pt idx="6">
                  <c:v>2.9682800145741192E-2</c:v>
                </c:pt>
                <c:pt idx="7">
                  <c:v>1.5518245573909135E-2</c:v>
                </c:pt>
                <c:pt idx="8">
                  <c:v>7.3429093452550337E-3</c:v>
                </c:pt>
                <c:pt idx="9">
                  <c:v>3.4254499227412108E-3</c:v>
                </c:pt>
                <c:pt idx="10">
                  <c:v>1.9361238693754671E-3</c:v>
                </c:pt>
                <c:pt idx="11">
                  <c:v>1.4600714344603454E-3</c:v>
                </c:pt>
                <c:pt idx="12">
                  <c:v>9.0157416444819143E-4</c:v>
                </c:pt>
                <c:pt idx="13">
                  <c:v>7.1540840777747341E-4</c:v>
                </c:pt>
                <c:pt idx="14">
                  <c:v>5.3456167272591883E-4</c:v>
                </c:pt>
                <c:pt idx="15">
                  <c:v>4.2286221872348798E-4</c:v>
                </c:pt>
                <c:pt idx="16">
                  <c:v>2.952056998635671E-4</c:v>
                </c:pt>
                <c:pt idx="17">
                  <c:v>2.3669646205277001E-4</c:v>
                </c:pt>
                <c:pt idx="18">
                  <c:v>1.5957064857490113E-4</c:v>
                </c:pt>
                <c:pt idx="19">
                  <c:v>1.8084673505155461E-4</c:v>
                </c:pt>
                <c:pt idx="20">
                  <c:v>1.3563505128866597E-4</c:v>
                </c:pt>
                <c:pt idx="21">
                  <c:v>1.4893260533657438E-4</c:v>
                </c:pt>
                <c:pt idx="22">
                  <c:v>1.3031602966950259E-4</c:v>
                </c:pt>
                <c:pt idx="23">
                  <c:v>1.5425162695573776E-4</c:v>
                </c:pt>
                <c:pt idx="24">
                  <c:v>9.3082878335358995E-5</c:v>
                </c:pt>
                <c:pt idx="25">
                  <c:v>1.5957064857490113E-4</c:v>
                </c:pt>
                <c:pt idx="26">
                  <c:v>9.3082878335358995E-5</c:v>
                </c:pt>
                <c:pt idx="27">
                  <c:v>2.0744184314737147E-4</c:v>
                </c:pt>
                <c:pt idx="28">
                  <c:v>1.5425162695573776E-4</c:v>
                </c:pt>
                <c:pt idx="29">
                  <c:v>1.3829456209824765E-4</c:v>
                </c:pt>
                <c:pt idx="30">
                  <c:v>3.3243885119771068E-4</c:v>
                </c:pt>
                <c:pt idx="31">
                  <c:v>1.5691113776531945E-4</c:v>
                </c:pt>
                <c:pt idx="32">
                  <c:v>1.276565188599209E-4</c:v>
                </c:pt>
                <c:pt idx="33">
                  <c:v>9.5742389144940683E-5</c:v>
                </c:pt>
                <c:pt idx="34">
                  <c:v>5.58497270012154E-5</c:v>
                </c:pt>
                <c:pt idx="35">
                  <c:v>1.6488967019406451E-4</c:v>
                </c:pt>
                <c:pt idx="36">
                  <c:v>1.4095407290782934E-4</c:v>
                </c:pt>
                <c:pt idx="37">
                  <c:v>1.116994540024308E-4</c:v>
                </c:pt>
                <c:pt idx="38">
                  <c:v>2.4999401610067843E-4</c:v>
                </c:pt>
                <c:pt idx="39">
                  <c:v>1.1435896481201247E-4</c:v>
                </c:pt>
                <c:pt idx="40">
                  <c:v>9.5742389144940683E-5</c:v>
                </c:pt>
                <c:pt idx="41">
                  <c:v>1.3563505128866597E-4</c:v>
                </c:pt>
                <c:pt idx="42">
                  <c:v>8.5104345906613944E-5</c:v>
                </c:pt>
                <c:pt idx="43">
                  <c:v>1.5159211614615607E-4</c:v>
                </c:pt>
                <c:pt idx="44">
                  <c:v>1.0372092157368573E-4</c:v>
                </c:pt>
                <c:pt idx="45">
                  <c:v>6.1168748620378763E-5</c:v>
                </c:pt>
                <c:pt idx="46">
                  <c:v>2.9786521067314876E-4</c:v>
                </c:pt>
                <c:pt idx="47">
                  <c:v>2.1010135395695316E-4</c:v>
                </c:pt>
                <c:pt idx="48">
                  <c:v>1.2499700805033921E-4</c:v>
                </c:pt>
                <c:pt idx="49">
                  <c:v>4.2552172953306972E-5</c:v>
                </c:pt>
                <c:pt idx="50">
                  <c:v>9.0423367525777307E-5</c:v>
                </c:pt>
                <c:pt idx="51">
                  <c:v>4.2552172953306972E-5</c:v>
                </c:pt>
                <c:pt idx="52">
                  <c:v>1.116994540024308E-4</c:v>
                </c:pt>
                <c:pt idx="53">
                  <c:v>1.6223015938448282E-4</c:v>
                </c:pt>
                <c:pt idx="54">
                  <c:v>6.1168748620378763E-5</c:v>
                </c:pt>
                <c:pt idx="55">
                  <c:v>5.8509237810797081E-5</c:v>
                </c:pt>
                <c:pt idx="56">
                  <c:v>7.1806791858705516E-5</c:v>
                </c:pt>
                <c:pt idx="57">
                  <c:v>6.1168748620378763E-5</c:v>
                </c:pt>
                <c:pt idx="58">
                  <c:v>4.2552172953306972E-5</c:v>
                </c:pt>
                <c:pt idx="59">
                  <c:v>1.0372092157368573E-4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09504"/>
        <c:axId val="163233792"/>
      </c:lineChart>
      <c:catAx>
        <c:axId val="20910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163233792"/>
        <c:crosses val="autoZero"/>
        <c:auto val="1"/>
        <c:lblAlgn val="ctr"/>
        <c:lblOffset val="100"/>
        <c:tickLblSkip val="10"/>
        <c:noMultiLvlLbl val="0"/>
      </c:catAx>
      <c:valAx>
        <c:axId val="1632337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209109504"/>
        <c:crosses val="autoZero"/>
        <c:crossBetween val="between"/>
        <c:majorUnit val="0.05"/>
        <c:minorUnit val="0.05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Maintenance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2.1173089161753006E-3</c:v>
                </c:pt>
                <c:pt idx="3">
                  <c:v>5.1076496836203744E-2</c:v>
                </c:pt>
                <c:pt idx="4">
                  <c:v>6.3513855101451314E-2</c:v>
                </c:pt>
                <c:pt idx="5">
                  <c:v>9.3742980061628567E-2</c:v>
                </c:pt>
                <c:pt idx="6">
                  <c:v>9.8112027161370644E-2</c:v>
                </c:pt>
                <c:pt idx="7">
                  <c:v>8.2034169302843851E-2</c:v>
                </c:pt>
                <c:pt idx="8">
                  <c:v>7.860990623691809E-2</c:v>
                </c:pt>
                <c:pt idx="9">
                  <c:v>4.6920358725613967E-2</c:v>
                </c:pt>
                <c:pt idx="10">
                  <c:v>7.1225528784836512E-2</c:v>
                </c:pt>
                <c:pt idx="11">
                  <c:v>5.4959021021311227E-2</c:v>
                </c:pt>
                <c:pt idx="12">
                  <c:v>5.4086687945236231E-2</c:v>
                </c:pt>
                <c:pt idx="13">
                  <c:v>2.6622719283300025E-2</c:v>
                </c:pt>
                <c:pt idx="14">
                  <c:v>3.5704814886455022E-2</c:v>
                </c:pt>
                <c:pt idx="15">
                  <c:v>2.4457057201573984E-2</c:v>
                </c:pt>
                <c:pt idx="16">
                  <c:v>2.0117758632539916E-2</c:v>
                </c:pt>
                <c:pt idx="17">
                  <c:v>2.0445227859301879E-2</c:v>
                </c:pt>
                <c:pt idx="18">
                  <c:v>2.1674074929243801E-2</c:v>
                </c:pt>
                <c:pt idx="19">
                  <c:v>9.6128258281780055E-3</c:v>
                </c:pt>
                <c:pt idx="20">
                  <c:v>7.8470206880158298E-3</c:v>
                </c:pt>
                <c:pt idx="21">
                  <c:v>6.9154023411706639E-3</c:v>
                </c:pt>
                <c:pt idx="22">
                  <c:v>1.3347050814076302E-2</c:v>
                </c:pt>
                <c:pt idx="23">
                  <c:v>1.0628699961557251E-2</c:v>
                </c:pt>
                <c:pt idx="24">
                  <c:v>1.4257785878478139E-2</c:v>
                </c:pt>
                <c:pt idx="25">
                  <c:v>3.3983932016444377E-3</c:v>
                </c:pt>
                <c:pt idx="26">
                  <c:v>2.2288845016099064E-3</c:v>
                </c:pt>
                <c:pt idx="27">
                  <c:v>7.4867779205913089E-3</c:v>
                </c:pt>
                <c:pt idx="28">
                  <c:v>1.4006529933807561E-2</c:v>
                </c:pt>
                <c:pt idx="29">
                  <c:v>5.9850080517784669E-3</c:v>
                </c:pt>
                <c:pt idx="30">
                  <c:v>4.1023970263775866E-3</c:v>
                </c:pt>
                <c:pt idx="31">
                  <c:v>3.2423252501943812E-3</c:v>
                </c:pt>
                <c:pt idx="32">
                  <c:v>1.9296184281656541E-3</c:v>
                </c:pt>
                <c:pt idx="33">
                  <c:v>1.3215498751091687E-3</c:v>
                </c:pt>
                <c:pt idx="34">
                  <c:v>5.8627614386468577E-3</c:v>
                </c:pt>
                <c:pt idx="35">
                  <c:v>3.2886669249905546E-3</c:v>
                </c:pt>
                <c:pt idx="36">
                  <c:v>4.8436553142036237E-3</c:v>
                </c:pt>
                <c:pt idx="37">
                  <c:v>3.3787717281808759E-3</c:v>
                </c:pt>
                <c:pt idx="38">
                  <c:v>3.6532600094058678E-3</c:v>
                </c:pt>
                <c:pt idx="39">
                  <c:v>1.3746380190954018E-3</c:v>
                </c:pt>
                <c:pt idx="40">
                  <c:v>8.003523744511122E-4</c:v>
                </c:pt>
                <c:pt idx="41">
                  <c:v>1.9121446344809525E-3</c:v>
                </c:pt>
                <c:pt idx="42">
                  <c:v>7.2844225907930406E-4</c:v>
                </c:pt>
                <c:pt idx="43">
                  <c:v>1.5747684382229493E-3</c:v>
                </c:pt>
                <c:pt idx="44">
                  <c:v>2.3554360382899366E-3</c:v>
                </c:pt>
                <c:pt idx="45">
                  <c:v>1.6154594962621081E-3</c:v>
                </c:pt>
                <c:pt idx="46">
                  <c:v>5.1985425715305204E-4</c:v>
                </c:pt>
                <c:pt idx="47">
                  <c:v>1.3450600747289469E-3</c:v>
                </c:pt>
                <c:pt idx="48">
                  <c:v>9.675527009119178E-4</c:v>
                </c:pt>
                <c:pt idx="49">
                  <c:v>8.6874649838883291E-4</c:v>
                </c:pt>
                <c:pt idx="50">
                  <c:v>9.0148688832885357E-4</c:v>
                </c:pt>
                <c:pt idx="51">
                  <c:v>1.6764832187531802E-3</c:v>
                </c:pt>
                <c:pt idx="52">
                  <c:v>0</c:v>
                </c:pt>
                <c:pt idx="53">
                  <c:v>1.1052184210168709E-3</c:v>
                </c:pt>
                <c:pt idx="54">
                  <c:v>8.8635546352863715E-5</c:v>
                </c:pt>
                <c:pt idx="55">
                  <c:v>4.45927971947861E-4</c:v>
                </c:pt>
                <c:pt idx="56">
                  <c:v>3.5737056997987779E-3</c:v>
                </c:pt>
                <c:pt idx="57">
                  <c:v>0</c:v>
                </c:pt>
                <c:pt idx="58">
                  <c:v>1.6297993942915266E-4</c:v>
                </c:pt>
                <c:pt idx="59">
                  <c:v>4.5753264981065659E-4</c:v>
                </c:pt>
                <c:pt idx="60">
                  <c:v>3.9508573070772392E-4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2.8302514035568299E-2</c:v>
                </c:pt>
                <c:pt idx="1">
                  <c:v>5.0900377384583882E-2</c:v>
                </c:pt>
                <c:pt idx="2">
                  <c:v>5.5772601187737525E-2</c:v>
                </c:pt>
                <c:pt idx="3">
                  <c:v>5.4144980572273536E-2</c:v>
                </c:pt>
                <c:pt idx="4">
                  <c:v>5.1881736873319519E-2</c:v>
                </c:pt>
                <c:pt idx="5">
                  <c:v>5.0086567076851884E-2</c:v>
                </c:pt>
                <c:pt idx="6">
                  <c:v>4.6174426675957225E-2</c:v>
                </c:pt>
                <c:pt idx="7">
                  <c:v>4.3081415604413725E-2</c:v>
                </c:pt>
                <c:pt idx="8">
                  <c:v>3.8770348582081809E-2</c:v>
                </c:pt>
                <c:pt idx="9">
                  <c:v>3.4895441332521294E-2</c:v>
                </c:pt>
                <c:pt idx="10">
                  <c:v>3.0906175118148766E-2</c:v>
                </c:pt>
                <c:pt idx="11">
                  <c:v>2.7884970838463974E-2</c:v>
                </c:pt>
                <c:pt idx="12">
                  <c:v>2.4472818469770671E-2</c:v>
                </c:pt>
                <c:pt idx="13">
                  <c:v>2.2105853849242969E-2</c:v>
                </c:pt>
                <c:pt idx="14">
                  <c:v>2.0167070469057923E-2</c:v>
                </c:pt>
                <c:pt idx="15">
                  <c:v>1.8225627578063289E-2</c:v>
                </c:pt>
                <c:pt idx="16">
                  <c:v>1.6746939567935874E-2</c:v>
                </c:pt>
                <c:pt idx="17">
                  <c:v>1.5199104276759332E-2</c:v>
                </c:pt>
                <c:pt idx="18">
                  <c:v>1.5135276017329372E-2</c:v>
                </c:pt>
                <c:pt idx="19">
                  <c:v>1.375764941796606E-2</c:v>
                </c:pt>
                <c:pt idx="20">
                  <c:v>1.3502336380246217E-2</c:v>
                </c:pt>
                <c:pt idx="21">
                  <c:v>1.2786927972468744E-2</c:v>
                </c:pt>
                <c:pt idx="22">
                  <c:v>1.2239068745694916E-2</c:v>
                </c:pt>
                <c:pt idx="23">
                  <c:v>1.2249706788933244E-2</c:v>
                </c:pt>
                <c:pt idx="24">
                  <c:v>1.1491746208202463E-2</c:v>
                </c:pt>
                <c:pt idx="25">
                  <c:v>1.1026331816525669E-2</c:v>
                </c:pt>
                <c:pt idx="26">
                  <c:v>1.0709850030185448E-2</c:v>
                </c:pt>
                <c:pt idx="27">
                  <c:v>1.0154012270982875E-2</c:v>
                </c:pt>
                <c:pt idx="28">
                  <c:v>9.6859383684964988E-3</c:v>
                </c:pt>
                <c:pt idx="29">
                  <c:v>9.8082758657372562E-3</c:v>
                </c:pt>
                <c:pt idx="30">
                  <c:v>9.2125454443909589E-3</c:v>
                </c:pt>
                <c:pt idx="31">
                  <c:v>8.7684071391908175E-3</c:v>
                </c:pt>
                <c:pt idx="32">
                  <c:v>9.0556343066256397E-3</c:v>
                </c:pt>
                <c:pt idx="33">
                  <c:v>8.5822413825200998E-3</c:v>
                </c:pt>
                <c:pt idx="34">
                  <c:v>8.2524620421319701E-3</c:v>
                </c:pt>
                <c:pt idx="35">
                  <c:v>7.7125813477868883E-3</c:v>
                </c:pt>
                <c:pt idx="36">
                  <c:v>7.4998204830203528E-3</c:v>
                </c:pt>
                <c:pt idx="37">
                  <c:v>7.6141794478323654E-3</c:v>
                </c:pt>
                <c:pt idx="38">
                  <c:v>7.2125933155855314E-3</c:v>
                </c:pt>
                <c:pt idx="39">
                  <c:v>6.8508998454824216E-3</c:v>
                </c:pt>
                <c:pt idx="40">
                  <c:v>6.7338813698608274E-3</c:v>
                </c:pt>
                <c:pt idx="41">
                  <c:v>6.7072862617650105E-3</c:v>
                </c:pt>
                <c:pt idx="42">
                  <c:v>6.4998444186176391E-3</c:v>
                </c:pt>
                <c:pt idx="43">
                  <c:v>6.3562308349002289E-3</c:v>
                </c:pt>
                <c:pt idx="44">
                  <c:v>6.3296357268044119E-3</c:v>
                </c:pt>
                <c:pt idx="45">
                  <c:v>6.0769821998941514E-3</c:v>
                </c:pt>
                <c:pt idx="46">
                  <c:v>6.0557061134174977E-3</c:v>
                </c:pt>
                <c:pt idx="47">
                  <c:v>5.7605004135539307E-3</c:v>
                </c:pt>
                <c:pt idx="48">
                  <c:v>5.4812517785478541E-3</c:v>
                </c:pt>
                <c:pt idx="49">
                  <c:v>4.957328149060262E-3</c:v>
                </c:pt>
                <c:pt idx="50">
                  <c:v>5.0450920057764576E-3</c:v>
                </c:pt>
                <c:pt idx="51">
                  <c:v>4.7950979896757787E-3</c:v>
                </c:pt>
                <c:pt idx="52">
                  <c:v>4.6780795140541846E-3</c:v>
                </c:pt>
                <c:pt idx="53">
                  <c:v>4.4201069655247617E-3</c:v>
                </c:pt>
                <c:pt idx="54">
                  <c:v>4.0663920278503976E-3</c:v>
                </c:pt>
                <c:pt idx="55">
                  <c:v>3.9015023576563328E-3</c:v>
                </c:pt>
                <c:pt idx="56">
                  <c:v>3.4547045416466094E-3</c:v>
                </c:pt>
                <c:pt idx="57">
                  <c:v>3.2100295471650946E-3</c:v>
                </c:pt>
                <c:pt idx="58">
                  <c:v>2.8696121635386389E-3</c:v>
                </c:pt>
                <c:pt idx="59">
                  <c:v>2.8376980338236583E-3</c:v>
                </c:pt>
                <c:pt idx="60">
                  <c:v>2.6222776582475421E-3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586432"/>
        <c:axId val="163235520"/>
      </c:lineChart>
      <c:catAx>
        <c:axId val="189586432"/>
        <c:scaling>
          <c:orientation val="minMax"/>
        </c:scaling>
        <c:delete val="0"/>
        <c:axPos val="b"/>
        <c:majorTickMark val="none"/>
        <c:minorTickMark val="none"/>
        <c:tickLblPos val="nextTo"/>
        <c:crossAx val="163235520"/>
        <c:crosses val="autoZero"/>
        <c:auto val="1"/>
        <c:lblAlgn val="ctr"/>
        <c:lblOffset val="100"/>
        <c:tickLblSkip val="10"/>
        <c:noMultiLvlLbl val="0"/>
      </c:catAx>
      <c:valAx>
        <c:axId val="163235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958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tabSelected="1" workbookViewId="0">
      <selection activeCell="U29" sqref="U29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  <col min="12" max="12" bestFit="true" customWidth="true" width="15.710937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341" t="n">
        <v>27998.501555</v>
      </c>
      <c r="C11" s="11">
        <f>B11/B$102</f>
        <v>8.1034666828458696E-2</v>
      </c>
      <c r="E11" s="19">
        <v>0</v>
      </c>
      <c r="F11" s="343" t="n">
        <v>43536.0</v>
      </c>
      <c r="G11" s="11">
        <f>F11/F$102</f>
        <v>0.13479730538364773</v>
      </c>
      <c r="K11" s="8" t="n">
        <v>6.098208660986478</v>
      </c>
      <c r="L11" s="8" t="n">
        <v>7.252328206696597</v>
      </c>
    </row>
    <row r="12" spans="1:12" x14ac:dyDescent="0.25">
      <c r="A12">
        <v>1</v>
      </c>
      <c r="B12" s="341" t="n">
        <v>56093.261045</v>
      </c>
      <c r="C12" s="11">
        <f>B12/B$102</f>
        <v>0.16185825440790769</v>
      </c>
      <c r="E12" s="20">
        <v>1</v>
      </c>
      <c r="F12" s="343" t="n">
        <v>56090.0</v>
      </c>
      <c r="G12" s="11">
        <f>F12/F$102</f>
        <v>0.17689470198851623</v>
      </c>
      <c r="K12" s="8"/>
      <c r="L12" s="289"/>
    </row>
    <row r="13" spans="1:12" x14ac:dyDescent="0.25">
      <c r="A13">
        <v>2</v>
      </c>
      <c r="B13" s="341" t="n">
        <v>48500.368942</v>
      </c>
      <c r="C13" s="11">
        <f ref="C13:C76" si="0" t="shared">B13/B$102</f>
        <v>0.13755204476116009</v>
      </c>
      <c r="E13" s="21">
        <v>2</v>
      </c>
      <c r="F13" s="343" t="n">
        <v>54850.0</v>
      </c>
      <c r="G13" s="11">
        <f ref="G13:G76" si="1" t="shared">F13/F$102</f>
        <v>0.16420883542681158</v>
      </c>
    </row>
    <row r="14" spans="1:12" x14ac:dyDescent="0.25">
      <c r="A14">
        <v>3</v>
      </c>
      <c r="B14" s="341" t="n">
        <v>41969.004578</v>
      </c>
      <c r="C14" s="11">
        <f si="0" t="shared"/>
        <v>0.12134841735482489</v>
      </c>
      <c r="E14" s="22">
        <v>3</v>
      </c>
      <c r="F14" s="343" t="n">
        <v>47552.0</v>
      </c>
      <c r="G14" s="11">
        <f si="1" t="shared"/>
        <v>0.25271735516969007</v>
      </c>
    </row>
    <row r="15" spans="1:12" x14ac:dyDescent="0.25">
      <c r="A15">
        <v>4</v>
      </c>
      <c r="B15" s="341" t="n">
        <v>36163.311909</v>
      </c>
      <c r="C15" s="11">
        <f si="0" t="shared"/>
        <v>0.10741893507505031</v>
      </c>
      <c r="E15" s="23">
        <v>4</v>
      </c>
      <c r="F15" s="343" t="n">
        <v>37804.0</v>
      </c>
      <c r="G15" s="11">
        <f si="1" t="shared"/>
        <v>0.14372794268222303</v>
      </c>
    </row>
    <row r="16" spans="1:12" x14ac:dyDescent="0.25">
      <c r="A16">
        <v>5</v>
      </c>
      <c r="B16" s="341" t="n">
        <v>23442.198417</v>
      </c>
      <c r="C16" s="11">
        <f si="0" t="shared"/>
        <v>7.3225249560188249E-2</v>
      </c>
      <c r="E16" s="24">
        <v>5</v>
      </c>
      <c r="F16" s="343" t="n">
        <v>29474.0</v>
      </c>
      <c r="G16" s="11">
        <f si="1" t="shared"/>
        <v>5.9761867402110057E-2</v>
      </c>
    </row>
    <row r="17" spans="1:7" x14ac:dyDescent="0.25">
      <c r="A17">
        <v>6</v>
      </c>
      <c r="B17" s="341" t="n">
        <v>20630.455186</v>
      </c>
      <c r="C17" s="11">
        <f si="0" t="shared"/>
        <v>5.6084339776311803E-2</v>
      </c>
      <c r="E17" s="25">
        <v>6</v>
      </c>
      <c r="F17" s="343" t="n">
        <v>21431.0</v>
      </c>
      <c r="G17" s="11">
        <f si="1" t="shared"/>
        <v>2.9682800145741192E-2</v>
      </c>
    </row>
    <row r="18" spans="1:7" x14ac:dyDescent="0.25">
      <c r="A18">
        <v>7</v>
      </c>
      <c r="B18" s="341" t="n">
        <v>12135.352562</v>
      </c>
      <c r="C18" s="11">
        <f si="0" t="shared"/>
        <v>3.1307016537583873E-2</v>
      </c>
      <c r="E18" s="26">
        <v>7</v>
      </c>
      <c r="F18" s="343" t="n">
        <v>14847.0</v>
      </c>
      <c r="G18" s="11">
        <f si="1" t="shared"/>
        <v>1.5518245573909135E-2</v>
      </c>
    </row>
    <row r="19" spans="1:7" x14ac:dyDescent="0.25">
      <c r="A19">
        <v>8</v>
      </c>
      <c r="B19" s="341" t="n">
        <v>13423.084095</v>
      </c>
      <c r="C19" s="11">
        <f si="0" t="shared"/>
        <v>4.097902031632239E-2</v>
      </c>
      <c r="E19" s="27">
        <v>8</v>
      </c>
      <c r="F19" s="343" t="n">
        <v>10841.0</v>
      </c>
      <c r="G19" s="11">
        <f si="1" t="shared"/>
        <v>7.3429093452550337E-3</v>
      </c>
    </row>
    <row r="20" spans="1:7" x14ac:dyDescent="0.25">
      <c r="A20">
        <v>9</v>
      </c>
      <c r="B20" s="341" t="n">
        <v>6907.804882</v>
      </c>
      <c r="C20" s="11">
        <f si="0" t="shared"/>
        <v>2.0068539883794485E-2</v>
      </c>
      <c r="E20" s="28">
        <v>9</v>
      </c>
      <c r="F20" s="343" t="n">
        <v>7798.0</v>
      </c>
      <c r="G20" s="11">
        <f si="1" t="shared"/>
        <v>3.4254499227412108E-3</v>
      </c>
    </row>
    <row r="21" spans="1:7" x14ac:dyDescent="0.25">
      <c r="A21">
        <v>10</v>
      </c>
      <c r="B21" s="341" t="n">
        <v>6671.590032</v>
      </c>
      <c r="C21" s="11">
        <f si="0" t="shared"/>
        <v>2.0943892258680746E-2</v>
      </c>
      <c r="E21" s="29">
        <v>10</v>
      </c>
      <c r="F21" s="343" t="n">
        <v>6470.0</v>
      </c>
      <c r="G21" s="11">
        <f si="1" t="shared"/>
        <v>1.9361238693754671E-3</v>
      </c>
    </row>
    <row r="22" spans="1:7" x14ac:dyDescent="0.25">
      <c r="A22">
        <v>11</v>
      </c>
      <c r="B22" s="341" t="n">
        <v>6208.207657</v>
      </c>
      <c r="C22" s="11">
        <f si="0" t="shared"/>
        <v>1.8311847516325593E-2</v>
      </c>
      <c r="E22" s="30">
        <v>11</v>
      </c>
      <c r="F22" s="343" t="n">
        <v>6182.0</v>
      </c>
      <c r="G22" s="11">
        <f si="1" t="shared"/>
        <v>1.4600714344603454E-3</v>
      </c>
    </row>
    <row r="23" spans="1:7" x14ac:dyDescent="0.25">
      <c r="A23">
        <v>12</v>
      </c>
      <c r="B23" s="341" t="n">
        <v>6258.922504</v>
      </c>
      <c r="C23" s="11">
        <f si="0" t="shared"/>
        <v>1.6833625871170727E-2</v>
      </c>
      <c r="E23" s="31">
        <v>12</v>
      </c>
      <c r="F23" s="343" t="n">
        <v>5641.0</v>
      </c>
      <c r="G23" s="11">
        <f si="1" t="shared"/>
        <v>9.0157416444819143E-4</v>
      </c>
    </row>
    <row r="24" spans="1:7" x14ac:dyDescent="0.25">
      <c r="A24">
        <v>13</v>
      </c>
      <c r="B24" s="341" t="n">
        <v>4397.45032</v>
      </c>
      <c r="C24" s="11">
        <f si="0" t="shared"/>
        <v>1.4059811711642495E-2</v>
      </c>
      <c r="E24" s="32">
        <v>13</v>
      </c>
      <c r="F24" s="343" t="n">
        <v>5092.0</v>
      </c>
      <c r="G24" s="11">
        <f si="1" t="shared"/>
        <v>7.1540840777747341E-4</v>
      </c>
    </row>
    <row r="25" spans="1:7" x14ac:dyDescent="0.25">
      <c r="A25">
        <v>14</v>
      </c>
      <c r="B25" s="341" t="n">
        <v>2964.6770149999998</v>
      </c>
      <c r="C25" s="11">
        <f si="0" t="shared"/>
        <v>8.5947691422572099E-3</v>
      </c>
      <c r="E25" s="33">
        <v>14</v>
      </c>
      <c r="F25" s="343" t="n">
        <v>4490.0</v>
      </c>
      <c r="G25" s="11">
        <f si="1" t="shared"/>
        <v>5.3456167272591883E-4</v>
      </c>
    </row>
    <row r="26" spans="1:7" x14ac:dyDescent="0.25">
      <c r="A26">
        <v>15</v>
      </c>
      <c r="B26" s="341" t="n">
        <v>5041.566159</v>
      </c>
      <c r="C26" s="11">
        <f si="0" t="shared"/>
        <v>1.3158618480444279E-2</v>
      </c>
      <c r="E26" s="34">
        <v>15</v>
      </c>
      <c r="F26" s="343" t="n">
        <v>4135.0</v>
      </c>
      <c r="G26" s="11">
        <f si="1" t="shared"/>
        <v>4.2286221872348798E-4</v>
      </c>
    </row>
    <row r="27" spans="1:7" x14ac:dyDescent="0.25">
      <c r="A27">
        <v>16</v>
      </c>
      <c r="B27" s="341" t="n">
        <v>4170.834902</v>
      </c>
      <c r="C27" s="11">
        <f si="0" t="shared"/>
        <v>1.3491292643156254E-2</v>
      </c>
      <c r="E27" s="35">
        <v>16</v>
      </c>
      <c r="F27" s="343" t="n">
        <v>3655.0</v>
      </c>
      <c r="G27" s="11">
        <f si="1" t="shared"/>
        <v>2.952056998635671E-4</v>
      </c>
    </row>
    <row r="28" spans="1:7" x14ac:dyDescent="0.25">
      <c r="A28">
        <v>17</v>
      </c>
      <c r="B28" s="341" t="n">
        <v>1514.388384</v>
      </c>
      <c r="C28" s="11">
        <f si="0" t="shared"/>
        <v>4.447668292609952E-3</v>
      </c>
      <c r="E28" s="36">
        <v>17</v>
      </c>
      <c r="F28" s="343" t="n">
        <v>3343.0</v>
      </c>
      <c r="G28" s="11">
        <f si="1" t="shared"/>
        <v>2.3669646205277001E-4</v>
      </c>
    </row>
    <row r="29" spans="1:7" x14ac:dyDescent="0.25">
      <c r="A29">
        <v>18</v>
      </c>
      <c r="B29" s="341" t="n">
        <v>2283.404823</v>
      </c>
      <c r="C29" s="11">
        <f si="0" t="shared"/>
        <v>6.6197218829254778E-3</v>
      </c>
      <c r="E29" s="37">
        <v>18</v>
      </c>
      <c r="F29" s="343" t="n">
        <v>2948.0</v>
      </c>
      <c r="G29" s="11">
        <f si="1" t="shared"/>
        <v>1.5957064857490113E-4</v>
      </c>
    </row>
    <row r="30" spans="1:7" x14ac:dyDescent="0.25">
      <c r="A30">
        <v>19</v>
      </c>
      <c r="B30" s="341" t="n">
        <v>2105.646279</v>
      </c>
      <c r="C30" s="11">
        <f si="0" t="shared"/>
        <v>6.104389642342849E-3</v>
      </c>
      <c r="E30" s="38">
        <v>19</v>
      </c>
      <c r="F30" s="343" t="n">
        <v>2695.0</v>
      </c>
      <c r="G30" s="11">
        <f si="1" t="shared"/>
        <v>1.8084673505155461E-4</v>
      </c>
    </row>
    <row r="31" spans="1:7" x14ac:dyDescent="0.25">
      <c r="A31">
        <v>20</v>
      </c>
      <c r="B31" s="341" t="n">
        <v>1472.465294</v>
      </c>
      <c r="C31" s="11">
        <f si="0" t="shared"/>
        <v>4.2687615574595371E-3</v>
      </c>
      <c r="E31" s="39">
        <v>20</v>
      </c>
      <c r="F31" s="343" t="n">
        <v>2444.0</v>
      </c>
      <c r="G31" s="11">
        <f si="1" t="shared"/>
        <v>1.3563505128866597E-4</v>
      </c>
    </row>
    <row r="32" spans="1:7" x14ac:dyDescent="0.25">
      <c r="A32">
        <v>21</v>
      </c>
      <c r="B32" s="341" t="n">
        <v>2247.161375</v>
      </c>
      <c r="C32" s="11">
        <f si="0" t="shared"/>
        <v>6.5146500430915515E-3</v>
      </c>
      <c r="E32" s="40">
        <v>21</v>
      </c>
      <c r="F32" s="343" t="n">
        <v>2543.0</v>
      </c>
      <c r="G32" s="11">
        <f si="1" t="shared"/>
        <v>1.4893260533657438E-4</v>
      </c>
    </row>
    <row r="33" spans="1:7" x14ac:dyDescent="0.25">
      <c r="A33">
        <v>22</v>
      </c>
      <c r="B33" s="341" t="n">
        <v>296.463132</v>
      </c>
      <c r="C33" s="11">
        <f si="0" t="shared"/>
        <v>8.5946366698246414E-4</v>
      </c>
      <c r="E33" s="41">
        <v>22</v>
      </c>
      <c r="F33" s="343" t="n">
        <v>2220.0</v>
      </c>
      <c r="G33" s="11">
        <f si="1" t="shared"/>
        <v>1.3031602966950259E-4</v>
      </c>
    </row>
    <row r="34" spans="1:7" x14ac:dyDescent="0.25">
      <c r="A34">
        <v>23</v>
      </c>
      <c r="B34" s="341" t="n">
        <v>938.252176</v>
      </c>
      <c r="C34" s="11">
        <f si="0" t="shared"/>
        <v>2.1114302073721209E-3</v>
      </c>
      <c r="E34" s="42">
        <v>23</v>
      </c>
      <c r="F34" s="343" t="n">
        <v>2179.0</v>
      </c>
      <c r="G34" s="11">
        <f si="1" t="shared"/>
        <v>1.5425162695573776E-4</v>
      </c>
    </row>
    <row r="35" spans="1:7" x14ac:dyDescent="0.25">
      <c r="A35">
        <v>24</v>
      </c>
      <c r="B35" s="341" t="n">
        <v>618.192784</v>
      </c>
      <c r="C35" s="11">
        <f si="0" t="shared"/>
        <v>1.792176428328155E-3</v>
      </c>
      <c r="E35" s="43">
        <v>24</v>
      </c>
      <c r="F35" s="343" t="n">
        <v>2046.0</v>
      </c>
      <c r="G35" s="11">
        <f si="1" t="shared"/>
        <v>9.3082878335358995E-5</v>
      </c>
    </row>
    <row r="36" spans="1:7" x14ac:dyDescent="0.25">
      <c r="A36">
        <v>25</v>
      </c>
      <c r="B36" s="341" t="n">
        <v>362.62483299999997</v>
      </c>
      <c r="C36" s="11">
        <f si="0" t="shared"/>
        <v>1.6598870451499232E-3</v>
      </c>
      <c r="E36" s="44">
        <v>25</v>
      </c>
      <c r="F36" s="343" t="n">
        <v>1833.0</v>
      </c>
      <c r="G36" s="11">
        <f si="1" t="shared"/>
        <v>1.5957064857490113E-4</v>
      </c>
    </row>
    <row r="37" spans="1:7" x14ac:dyDescent="0.25">
      <c r="A37">
        <v>26</v>
      </c>
      <c r="B37" s="341" t="n">
        <v>1166.239023</v>
      </c>
      <c r="C37" s="11">
        <f si="0" t="shared"/>
        <v>3.1266950835238537E-3</v>
      </c>
      <c r="E37" s="45">
        <v>26</v>
      </c>
      <c r="F37" s="343" t="n">
        <v>1783.0</v>
      </c>
      <c r="G37" s="11">
        <f si="1" t="shared"/>
        <v>9.3082878335358995E-5</v>
      </c>
    </row>
    <row r="38" spans="1:7" x14ac:dyDescent="0.25">
      <c r="A38">
        <v>27</v>
      </c>
      <c r="B38" s="341" t="n">
        <v>1874.547495</v>
      </c>
      <c r="C38" s="11">
        <f si="0" t="shared"/>
        <v>6.0401529350087736E-3</v>
      </c>
      <c r="E38" s="46">
        <v>27</v>
      </c>
      <c r="F38" s="343" t="n">
        <v>1701.0</v>
      </c>
      <c r="G38" s="11">
        <f si="1" t="shared"/>
        <v>2.0744184314737147E-4</v>
      </c>
    </row>
    <row r="39" spans="1:7" x14ac:dyDescent="0.25">
      <c r="A39">
        <v>28</v>
      </c>
      <c r="B39" s="341" t="n">
        <v>335.807092</v>
      </c>
      <c r="C39" s="11">
        <f si="0" t="shared"/>
        <v>5.6472173221872697E-4</v>
      </c>
      <c r="E39" s="47">
        <v>28</v>
      </c>
      <c r="F39" s="343" t="n">
        <v>1461.0</v>
      </c>
      <c r="G39" s="11">
        <f si="1" t="shared"/>
        <v>1.5425162695573776E-4</v>
      </c>
    </row>
    <row r="40" spans="1:7" x14ac:dyDescent="0.25">
      <c r="A40">
        <v>29</v>
      </c>
      <c r="B40" s="341" t="n">
        <v>442.66814899999997</v>
      </c>
      <c r="C40" s="11">
        <f si="0" t="shared"/>
        <v>1.3406897049574125E-3</v>
      </c>
      <c r="E40" s="48">
        <v>29</v>
      </c>
      <c r="F40" s="343" t="n">
        <v>1351.0</v>
      </c>
      <c r="G40" s="11">
        <f si="1" t="shared"/>
        <v>1.3829456209824765E-4</v>
      </c>
    </row>
    <row r="41" spans="1:7" x14ac:dyDescent="0.25">
      <c r="A41">
        <v>30</v>
      </c>
      <c r="B41" s="341" t="n">
        <v>926.255014</v>
      </c>
      <c r="C41" s="11">
        <f si="0" t="shared"/>
        <v>1.3448400217692348E-3</v>
      </c>
      <c r="E41" s="49">
        <v>30</v>
      </c>
      <c r="F41" s="343" t="n">
        <v>1328.0</v>
      </c>
      <c r="G41" s="11">
        <f si="1" t="shared"/>
        <v>3.3243885119771068E-4</v>
      </c>
    </row>
    <row r="42" spans="1:7" x14ac:dyDescent="0.25">
      <c r="A42">
        <v>31</v>
      </c>
      <c r="B42" s="341" t="n">
        <v>1198.5938449999999</v>
      </c>
      <c r="C42" s="11">
        <f si="0" t="shared"/>
        <v>4.8152190041862927E-3</v>
      </c>
      <c r="E42" s="50">
        <v>31</v>
      </c>
      <c r="F42" s="343" t="n">
        <v>1174.0</v>
      </c>
      <c r="G42" s="11">
        <f si="1" t="shared"/>
        <v>1.5691113776531945E-4</v>
      </c>
    </row>
    <row r="43" spans="1:7" x14ac:dyDescent="0.25">
      <c r="A43">
        <v>32</v>
      </c>
      <c r="B43" s="341" t="n">
        <v>614.231389</v>
      </c>
      <c r="C43" s="11">
        <f si="0" t="shared"/>
        <v>0</v>
      </c>
      <c r="E43" s="51">
        <v>32</v>
      </c>
      <c r="F43" s="343" t="n">
        <v>1071.0</v>
      </c>
      <c r="G43" s="11">
        <f si="1" t="shared"/>
        <v>1.276565188599209E-4</v>
      </c>
    </row>
    <row r="44" spans="1:7" x14ac:dyDescent="0.25">
      <c r="A44">
        <v>33</v>
      </c>
      <c r="B44" s="341" t="n">
        <v>1277.366978</v>
      </c>
      <c r="C44" s="11">
        <f si="0" t="shared"/>
        <v>2.0057641738134633E-3</v>
      </c>
      <c r="E44" s="52">
        <v>33</v>
      </c>
      <c r="F44" s="343" t="n">
        <v>981.0</v>
      </c>
      <c r="G44" s="11">
        <f si="1" t="shared"/>
        <v>9.5742389144940683E-5</v>
      </c>
    </row>
    <row r="45" spans="1:7" x14ac:dyDescent="0.25">
      <c r="A45">
        <v>34</v>
      </c>
      <c r="B45" s="341" t="n">
        <v>152.641216</v>
      </c>
      <c r="C45" s="11">
        <f si="0" t="shared"/>
        <v>3.9206039257986105E-3</v>
      </c>
      <c r="E45" s="53">
        <v>34</v>
      </c>
      <c r="F45" s="343" t="n">
        <v>805.0</v>
      </c>
      <c r="G45" s="11">
        <f si="1" t="shared"/>
        <v>5.58497270012154E-5</v>
      </c>
    </row>
    <row r="46" spans="1:7" x14ac:dyDescent="0.25">
      <c r="A46">
        <v>35</v>
      </c>
      <c r="B46" s="341" t="n">
        <v>156.043144</v>
      </c>
      <c r="C46" s="11">
        <f si="0" t="shared"/>
        <v>4.5237804729699989E-4</v>
      </c>
      <c r="E46" s="54">
        <v>35</v>
      </c>
      <c r="F46" s="343" t="n">
        <v>757.0</v>
      </c>
      <c r="G46" s="11">
        <f si="1" t="shared"/>
        <v>1.6488967019406451E-4</v>
      </c>
    </row>
    <row r="47" spans="1:7" x14ac:dyDescent="0.25">
      <c r="A47">
        <v>36</v>
      </c>
      <c r="B47" s="341" t="n">
        <v>265.70914000000005</v>
      </c>
      <c r="C47" s="11">
        <f si="0" t="shared"/>
        <v>7.7030607574892992E-4</v>
      </c>
      <c r="E47" s="55">
        <v>36</v>
      </c>
      <c r="F47" s="343" t="n">
        <v>734.0</v>
      </c>
      <c r="G47" s="11">
        <f si="1" t="shared"/>
        <v>1.4095407290782934E-4</v>
      </c>
    </row>
    <row r="48" spans="1:7" x14ac:dyDescent="0.25">
      <c r="A48">
        <v>37</v>
      </c>
      <c r="B48" s="341" t="n">
        <v>49.968956</v>
      </c>
      <c r="C48" s="11">
        <f si="0" t="shared"/>
        <v>1.4486287677432149E-4</v>
      </c>
      <c r="E48" s="56">
        <v>37</v>
      </c>
      <c r="F48" s="343" t="n">
        <v>590.0</v>
      </c>
      <c r="G48" s="11">
        <f si="1" t="shared"/>
        <v>1.116994540024308E-4</v>
      </c>
    </row>
    <row r="49" spans="1:7" x14ac:dyDescent="0.25">
      <c r="A49">
        <v>38</v>
      </c>
      <c r="B49" s="341" t="n">
        <v>76.35679</v>
      </c>
      <c r="C49" s="11">
        <f si="0" t="shared"/>
        <v>2.2136272490169183E-4</v>
      </c>
      <c r="E49" s="57">
        <v>38</v>
      </c>
      <c r="F49" s="343" t="n">
        <v>592.0</v>
      </c>
      <c r="G49" s="11">
        <f si="1" t="shared"/>
        <v>2.4999401610067843E-4</v>
      </c>
    </row>
    <row r="50" spans="1:7" x14ac:dyDescent="0.25">
      <c r="A50">
        <v>39</v>
      </c>
      <c r="B50" s="341" t="n">
        <v>0.0</v>
      </c>
      <c r="C50" s="11">
        <f si="0" t="shared"/>
        <v>0</v>
      </c>
      <c r="E50" s="58">
        <v>39</v>
      </c>
      <c r="F50" s="343" t="n">
        <v>505.0</v>
      </c>
      <c r="G50" s="11">
        <f si="1" t="shared"/>
        <v>1.1435896481201247E-4</v>
      </c>
    </row>
    <row r="51" spans="1:7" x14ac:dyDescent="0.25">
      <c r="A51">
        <v>40</v>
      </c>
      <c r="B51" s="341" t="n">
        <v>373.930045</v>
      </c>
      <c r="C51" s="11">
        <f si="0" t="shared"/>
        <v>1.0840447022957911E-3</v>
      </c>
      <c r="E51" s="59">
        <v>40</v>
      </c>
      <c r="F51" s="343" t="n">
        <v>507.0</v>
      </c>
      <c r="G51" s="11">
        <f si="1" t="shared"/>
        <v>9.5742389144940683E-5</v>
      </c>
    </row>
    <row r="52" spans="1:7" x14ac:dyDescent="0.25">
      <c r="A52">
        <v>41</v>
      </c>
      <c r="B52" s="341" t="n">
        <v>0.0</v>
      </c>
      <c r="C52" s="11">
        <f si="0" t="shared"/>
        <v>0</v>
      </c>
      <c r="E52" s="60">
        <v>41</v>
      </c>
      <c r="F52" s="343" t="n">
        <v>470.0</v>
      </c>
      <c r="G52" s="11">
        <f si="1" t="shared"/>
        <v>1.3563505128866597E-4</v>
      </c>
    </row>
    <row r="53" spans="1:7" x14ac:dyDescent="0.25">
      <c r="A53">
        <v>42</v>
      </c>
      <c r="B53" s="341" t="n">
        <v>82.539782</v>
      </c>
      <c r="C53" s="11">
        <f si="0" t="shared"/>
        <v>2.3928757424600505E-4</v>
      </c>
      <c r="E53" s="61">
        <v>42</v>
      </c>
      <c r="F53" s="343" t="n">
        <v>479.0</v>
      </c>
      <c r="G53" s="11">
        <f si="1" t="shared"/>
        <v>8.5104345906613944E-5</v>
      </c>
    </row>
    <row r="54" spans="1:7" x14ac:dyDescent="0.25">
      <c r="A54">
        <v>43</v>
      </c>
      <c r="B54" s="341" t="n">
        <v>414.739348</v>
      </c>
      <c r="C54" s="11">
        <f si="0" t="shared"/>
        <v>1.2023532183219204E-3</v>
      </c>
      <c r="E54" s="62">
        <v>43</v>
      </c>
      <c r="F54" s="343" t="n">
        <v>474.0</v>
      </c>
      <c r="G54" s="11">
        <f si="1" t="shared"/>
        <v>1.5159211614615607E-4</v>
      </c>
    </row>
    <row r="55" spans="1:7" x14ac:dyDescent="0.25">
      <c r="A55">
        <v>44</v>
      </c>
      <c r="B55" s="341" t="n">
        <v>28.269941</v>
      </c>
      <c r="C55" s="11">
        <f si="0" t="shared"/>
        <v>8.1956184545867614E-5</v>
      </c>
      <c r="E55" s="63">
        <v>44</v>
      </c>
      <c r="F55" s="343" t="n">
        <v>285.0</v>
      </c>
      <c r="G55" s="11">
        <f si="1" t="shared"/>
        <v>1.0372092157368573E-4</v>
      </c>
    </row>
    <row r="56" spans="1:7" x14ac:dyDescent="0.25">
      <c r="A56">
        <v>45</v>
      </c>
      <c r="B56" s="341" t="n">
        <v>454.574508</v>
      </c>
      <c r="C56" s="11">
        <f si="0" t="shared"/>
        <v>1.3178376377755783E-3</v>
      </c>
      <c r="E56" s="64">
        <v>45</v>
      </c>
      <c r="F56" s="343" t="n">
        <v>259.0</v>
      </c>
      <c r="G56" s="11">
        <f si="1" t="shared"/>
        <v>6.1168748620378763E-5</v>
      </c>
    </row>
    <row r="57" spans="1:7" x14ac:dyDescent="0.25">
      <c r="A57">
        <v>46</v>
      </c>
      <c r="B57" s="341" t="n">
        <v>0.0</v>
      </c>
      <c r="C57" s="11">
        <f si="0" t="shared"/>
        <v>0</v>
      </c>
      <c r="E57" s="65">
        <v>46</v>
      </c>
      <c r="F57" s="343" t="n">
        <v>274.0</v>
      </c>
      <c r="G57" s="11">
        <f si="1" t="shared"/>
        <v>2.9786521067314876E-4</v>
      </c>
    </row>
    <row r="58" spans="1:7" x14ac:dyDescent="0.25">
      <c r="A58">
        <v>47</v>
      </c>
      <c r="B58" s="341" t="n">
        <v>0.0</v>
      </c>
      <c r="C58" s="11">
        <f si="0" t="shared"/>
        <v>0</v>
      </c>
      <c r="E58" s="66">
        <v>47</v>
      </c>
      <c r="F58" s="343" t="n">
        <v>311.0</v>
      </c>
      <c r="G58" s="11">
        <f si="1" t="shared"/>
        <v>2.1010135395695316E-4</v>
      </c>
    </row>
    <row r="59" spans="1:7" x14ac:dyDescent="0.25">
      <c r="A59">
        <v>48</v>
      </c>
      <c r="B59" s="341" t="n">
        <v>0.0</v>
      </c>
      <c r="C59" s="11">
        <f si="0" t="shared"/>
        <v>0</v>
      </c>
      <c r="E59" s="67">
        <v>48</v>
      </c>
      <c r="F59" s="343" t="n">
        <v>222.0</v>
      </c>
      <c r="G59" s="11">
        <f si="1" t="shared"/>
        <v>1.2499700805033921E-4</v>
      </c>
    </row>
    <row r="60" spans="1:7" x14ac:dyDescent="0.25">
      <c r="A60">
        <v>49</v>
      </c>
      <c r="B60" s="341" t="n">
        <v>0.0</v>
      </c>
      <c r="C60" s="11">
        <f si="0" t="shared"/>
        <v>0</v>
      </c>
      <c r="E60" s="68">
        <v>49</v>
      </c>
      <c r="F60" s="343" t="n">
        <v>166.0</v>
      </c>
      <c r="G60" s="11">
        <f si="1" t="shared"/>
        <v>4.2552172953306972E-5</v>
      </c>
    </row>
    <row r="61" spans="1:7" x14ac:dyDescent="0.25">
      <c r="A61">
        <v>50</v>
      </c>
      <c r="B61" s="341" t="n">
        <v>34.524483</v>
      </c>
      <c r="C61" s="11">
        <f si="0" t="shared"/>
        <v>0</v>
      </c>
      <c r="E61" s="69">
        <v>50</v>
      </c>
      <c r="F61" s="343" t="n">
        <v>205.0</v>
      </c>
      <c r="G61" s="11">
        <f si="1" t="shared"/>
        <v>9.0423367525777307E-5</v>
      </c>
    </row>
    <row r="62" spans="1:7" x14ac:dyDescent="0.25">
      <c r="A62">
        <v>51</v>
      </c>
      <c r="B62" s="341" t="n">
        <v>120.926358</v>
      </c>
      <c r="C62" s="11">
        <f si="0" t="shared"/>
        <v>4.5066092684121003E-4</v>
      </c>
      <c r="E62" s="70">
        <v>51</v>
      </c>
      <c r="F62" s="343" t="n">
        <v>171.0</v>
      </c>
      <c r="G62" s="11">
        <f si="1" t="shared"/>
        <v>4.2552172953306972E-5</v>
      </c>
    </row>
    <row r="63" spans="1:7" x14ac:dyDescent="0.25">
      <c r="A63">
        <v>52</v>
      </c>
      <c r="B63" s="341" t="n">
        <v>0.0</v>
      </c>
      <c r="C63" s="11">
        <f si="0" t="shared"/>
        <v>0</v>
      </c>
      <c r="E63" s="71">
        <v>52</v>
      </c>
      <c r="F63" s="343" t="n">
        <v>150.0</v>
      </c>
      <c r="G63" s="11">
        <f si="1" t="shared"/>
        <v>1.116994540024308E-4</v>
      </c>
    </row>
    <row r="64" spans="1:7" x14ac:dyDescent="0.25">
      <c r="A64">
        <v>53</v>
      </c>
      <c r="B64" s="341" t="n">
        <v>0.0</v>
      </c>
      <c r="C64" s="11">
        <f si="0" t="shared"/>
        <v>0</v>
      </c>
      <c r="E64" s="72">
        <v>53</v>
      </c>
      <c r="F64" s="343" t="n">
        <v>203.0</v>
      </c>
      <c r="G64" s="11">
        <f si="1" t="shared"/>
        <v>1.6223015938448282E-4</v>
      </c>
    </row>
    <row r="65" spans="1:7" x14ac:dyDescent="0.25">
      <c r="A65">
        <v>54</v>
      </c>
      <c r="B65" s="341" t="n">
        <v>0.0</v>
      </c>
      <c r="C65" s="11">
        <f si="0" t="shared"/>
        <v>0</v>
      </c>
      <c r="E65" s="73">
        <v>54</v>
      </c>
      <c r="F65" s="343" t="n">
        <v>137.0</v>
      </c>
      <c r="G65" s="11">
        <f si="1" t="shared"/>
        <v>6.1168748620378763E-5</v>
      </c>
    </row>
    <row r="66" spans="1:7" x14ac:dyDescent="0.25">
      <c r="A66">
        <v>55</v>
      </c>
      <c r="B66" s="341" t="n">
        <v>0.0</v>
      </c>
      <c r="C66" s="11">
        <f si="0" t="shared"/>
        <v>0</v>
      </c>
      <c r="E66" s="74">
        <v>55</v>
      </c>
      <c r="F66" s="343" t="n">
        <v>126.0</v>
      </c>
      <c r="G66" s="11">
        <f si="1" t="shared"/>
        <v>5.8509237810797081E-5</v>
      </c>
    </row>
    <row r="67" spans="1:7" x14ac:dyDescent="0.25">
      <c r="A67">
        <v>56</v>
      </c>
      <c r="B67" s="341" t="n">
        <v>78.567796</v>
      </c>
      <c r="C67" s="11">
        <f si="0" t="shared"/>
        <v>2.2777255843364086E-4</v>
      </c>
      <c r="E67" s="75">
        <v>56</v>
      </c>
      <c r="F67" s="343" t="n">
        <v>144.0</v>
      </c>
      <c r="G67" s="11">
        <f si="1" t="shared"/>
        <v>7.1806791858705516E-5</v>
      </c>
    </row>
    <row r="68" spans="1:7" x14ac:dyDescent="0.25">
      <c r="A68">
        <v>57</v>
      </c>
      <c r="B68" s="341" t="n">
        <v>0.0</v>
      </c>
      <c r="C68" s="11">
        <f si="0" t="shared"/>
        <v>0</v>
      </c>
      <c r="E68" s="76">
        <v>57</v>
      </c>
      <c r="F68" s="343" t="n">
        <v>70.0</v>
      </c>
      <c r="G68" s="11">
        <f si="1" t="shared"/>
        <v>6.1168748620378763E-5</v>
      </c>
    </row>
    <row r="69" spans="1:7" x14ac:dyDescent="0.25">
      <c r="A69">
        <v>58</v>
      </c>
      <c r="B69" s="341" t="n">
        <v>0.0</v>
      </c>
      <c r="C69" s="11">
        <f si="0" t="shared"/>
        <v>0</v>
      </c>
      <c r="E69" s="77">
        <v>58</v>
      </c>
      <c r="F69" s="343" t="n">
        <v>72.0</v>
      </c>
      <c r="G69" s="11">
        <f si="1" t="shared"/>
        <v>4.2552172953306972E-5</v>
      </c>
    </row>
    <row r="70" spans="1:7" x14ac:dyDescent="0.25">
      <c r="A70">
        <v>59</v>
      </c>
      <c r="B70" s="341" t="n">
        <v>0.0</v>
      </c>
      <c r="C70" s="11">
        <f si="0" t="shared"/>
        <v>0</v>
      </c>
      <c r="E70" s="78">
        <v>59</v>
      </c>
      <c r="F70" s="343" t="n">
        <v>196.0</v>
      </c>
      <c r="G70" s="11">
        <f si="1" t="shared"/>
        <v>1.0372092157368573E-4</v>
      </c>
    </row>
    <row r="71" spans="1:7" x14ac:dyDescent="0.25">
      <c r="A71">
        <v>60</v>
      </c>
      <c r="B71" s="341" t="n">
        <v>0.0</v>
      </c>
      <c r="C71" s="11">
        <f si="0" t="shared"/>
        <v>0</v>
      </c>
      <c r="E71" s="79">
        <v>60</v>
      </c>
      <c r="F71" s="343" t="n">
        <v>75.0</v>
      </c>
      <c r="G71" s="11">
        <f si="1" t="shared"/>
        <v>0</v>
      </c>
    </row>
    <row r="72" spans="1:7" x14ac:dyDescent="0.25">
      <c r="A72">
        <v>61</v>
      </c>
      <c r="B72" s="341" t="n">
        <v>0.0</v>
      </c>
      <c r="C72" s="11">
        <f si="0" t="shared"/>
        <v>0</v>
      </c>
      <c r="E72" s="80">
        <v>61</v>
      </c>
      <c r="F72" s="343" t="n">
        <v>74.0</v>
      </c>
      <c r="G72" s="11">
        <f si="1" t="shared"/>
        <v>0</v>
      </c>
    </row>
    <row r="73" spans="1:7" x14ac:dyDescent="0.25">
      <c r="A73">
        <v>62</v>
      </c>
      <c r="B73" s="341" t="n">
        <v>0.0</v>
      </c>
      <c r="C73" s="11">
        <f si="0" t="shared"/>
        <v>0</v>
      </c>
      <c r="E73" s="81">
        <v>62</v>
      </c>
      <c r="F73" s="343" t="n">
        <v>45.0</v>
      </c>
      <c r="G73" s="11">
        <f si="1" t="shared"/>
        <v>0</v>
      </c>
    </row>
    <row r="74" spans="1:7" x14ac:dyDescent="0.25">
      <c r="A74">
        <v>63</v>
      </c>
      <c r="B74" s="341" t="n">
        <v>0.0</v>
      </c>
      <c r="C74" s="11">
        <f si="0" t="shared"/>
        <v>0</v>
      </c>
      <c r="E74" s="82">
        <v>63</v>
      </c>
      <c r="F74" s="343" t="n">
        <v>41.0</v>
      </c>
      <c r="G74" s="11">
        <f si="1" t="shared"/>
        <v>0</v>
      </c>
    </row>
    <row r="75" spans="1:7" x14ac:dyDescent="0.25">
      <c r="A75">
        <v>64</v>
      </c>
      <c r="B75" s="341" t="n">
        <v>0.0</v>
      </c>
      <c r="C75" s="11">
        <f si="0" t="shared"/>
        <v>0</v>
      </c>
      <c r="E75" s="83">
        <v>64</v>
      </c>
      <c r="F75" s="343" t="n">
        <v>164.0</v>
      </c>
      <c r="G75" s="11">
        <f si="1" t="shared"/>
        <v>0</v>
      </c>
    </row>
    <row r="76" spans="1:7" x14ac:dyDescent="0.25">
      <c r="A76">
        <v>65</v>
      </c>
      <c r="B76" s="341" t="n">
        <v>0.0</v>
      </c>
      <c r="C76" s="11">
        <f si="0" t="shared"/>
        <v>0</v>
      </c>
      <c r="E76" s="84">
        <v>65</v>
      </c>
      <c r="F76" s="343" t="n">
        <v>67.0</v>
      </c>
      <c r="G76" s="11">
        <f si="1" t="shared"/>
        <v>0</v>
      </c>
    </row>
    <row r="77" spans="1:7" x14ac:dyDescent="0.25">
      <c r="A77">
        <v>66</v>
      </c>
      <c r="B77" s="341" t="n">
        <v>0.0</v>
      </c>
      <c r="C77" s="11">
        <f ref="C77:C102" si="2" t="shared">B77/B$102</f>
        <v>0</v>
      </c>
      <c r="E77" s="85">
        <v>66</v>
      </c>
      <c r="F77" s="343" t="n">
        <v>85.0</v>
      </c>
      <c r="G77" s="11">
        <f ref="G77:G102" si="3" t="shared">F77/F$102</f>
        <v>0</v>
      </c>
    </row>
    <row r="78" spans="1:7" x14ac:dyDescent="0.25">
      <c r="A78">
        <v>67</v>
      </c>
      <c r="B78" s="341" t="n">
        <v>0.0</v>
      </c>
      <c r="C78" s="11">
        <f si="2" t="shared"/>
        <v>0</v>
      </c>
      <c r="E78" s="86">
        <v>67</v>
      </c>
      <c r="F78" s="343" t="n">
        <v>206.0</v>
      </c>
      <c r="G78" s="11">
        <f si="3" t="shared"/>
        <v>0</v>
      </c>
    </row>
    <row r="79" spans="1:7" x14ac:dyDescent="0.25">
      <c r="A79">
        <v>68</v>
      </c>
      <c r="B79" s="341" t="n">
        <v>0.0</v>
      </c>
      <c r="C79" s="11">
        <f si="2" t="shared"/>
        <v>0</v>
      </c>
      <c r="E79" s="87">
        <v>68</v>
      </c>
      <c r="F79" s="343" t="n">
        <v>33.0</v>
      </c>
      <c r="G79" s="11">
        <f si="3" t="shared"/>
        <v>0</v>
      </c>
    </row>
    <row r="80" spans="1:7" x14ac:dyDescent="0.25">
      <c r="A80">
        <v>69</v>
      </c>
      <c r="B80" s="341" t="n">
        <v>0.0</v>
      </c>
      <c r="C80" s="11">
        <f si="2" t="shared"/>
        <v>0</v>
      </c>
      <c r="E80" s="88">
        <v>69</v>
      </c>
      <c r="F80" s="343" t="n">
        <v>13.0</v>
      </c>
      <c r="G80" s="11">
        <f si="3" t="shared"/>
        <v>0</v>
      </c>
    </row>
    <row r="81" spans="1:7" x14ac:dyDescent="0.25">
      <c r="A81">
        <v>70</v>
      </c>
      <c r="B81" s="341" t="n">
        <v>0.0</v>
      </c>
      <c r="C81" s="11">
        <f si="2" t="shared"/>
        <v>0</v>
      </c>
      <c r="E81" s="89">
        <v>70</v>
      </c>
      <c r="F81" s="343" t="n">
        <v>99.0</v>
      </c>
      <c r="G81" s="11">
        <f si="3" t="shared"/>
        <v>0</v>
      </c>
    </row>
    <row r="82" spans="1:7" x14ac:dyDescent="0.25">
      <c r="A82">
        <v>71</v>
      </c>
      <c r="B82" s="341" t="n">
        <v>0.0</v>
      </c>
      <c r="C82" s="11">
        <f si="2" t="shared"/>
        <v>0</v>
      </c>
      <c r="E82" s="90">
        <v>71</v>
      </c>
      <c r="F82" s="343" t="n">
        <v>6.0</v>
      </c>
      <c r="G82" s="11">
        <f si="3" t="shared"/>
        <v>0</v>
      </c>
    </row>
    <row r="83" spans="1:7" x14ac:dyDescent="0.25">
      <c r="A83">
        <v>72</v>
      </c>
      <c r="B83" s="341" t="n">
        <v>0.0</v>
      </c>
      <c r="C83" s="11">
        <f si="2" t="shared"/>
        <v>0</v>
      </c>
      <c r="E83" s="91">
        <v>72</v>
      </c>
      <c r="F83" s="343" t="n">
        <v>24.0</v>
      </c>
      <c r="G83" s="11">
        <f si="3" t="shared"/>
        <v>0</v>
      </c>
    </row>
    <row r="84" spans="1:7" x14ac:dyDescent="0.25">
      <c r="A84">
        <v>73</v>
      </c>
      <c r="B84" s="341" t="n">
        <v>0.0</v>
      </c>
      <c r="C84" s="11">
        <f si="2" t="shared"/>
        <v>0</v>
      </c>
      <c r="E84" s="92">
        <v>73</v>
      </c>
      <c r="F84" s="343" t="n">
        <v>9.0</v>
      </c>
      <c r="G84" s="11">
        <f si="3" t="shared"/>
        <v>0</v>
      </c>
    </row>
    <row r="85" spans="1:7" x14ac:dyDescent="0.25">
      <c r="A85">
        <v>74</v>
      </c>
      <c r="B85" s="341" t="n">
        <v>0.0</v>
      </c>
      <c r="C85" s="11">
        <f si="2" t="shared"/>
        <v>0</v>
      </c>
      <c r="E85" s="93">
        <v>74</v>
      </c>
      <c r="F85" s="343" t="n">
        <v>45.0</v>
      </c>
      <c r="G85" s="11">
        <f si="3" t="shared"/>
        <v>0</v>
      </c>
    </row>
    <row r="86" spans="1:7" x14ac:dyDescent="0.25">
      <c r="A86">
        <v>75</v>
      </c>
      <c r="B86" s="341" t="n">
        <v>0.0</v>
      </c>
      <c r="C86" s="11">
        <f si="2" t="shared"/>
        <v>0</v>
      </c>
      <c r="E86" s="94">
        <v>75</v>
      </c>
      <c r="F86" s="343" t="n">
        <v>19.0</v>
      </c>
      <c r="G86" s="11">
        <f si="3" t="shared"/>
        <v>0</v>
      </c>
    </row>
    <row r="87" spans="1:7" x14ac:dyDescent="0.25">
      <c r="A87">
        <v>76</v>
      </c>
      <c r="B87" s="341" t="n">
        <v>0.0</v>
      </c>
      <c r="C87" s="11">
        <f si="2" t="shared"/>
        <v>0</v>
      </c>
      <c r="E87" s="95">
        <v>76</v>
      </c>
      <c r="F87" s="343" t="n">
        <v>31.0</v>
      </c>
      <c r="G87" s="11">
        <f si="3" t="shared"/>
        <v>0</v>
      </c>
    </row>
    <row r="88" spans="1:7" x14ac:dyDescent="0.25">
      <c r="A88">
        <v>77</v>
      </c>
      <c r="B88" s="341" t="n">
        <v>0.0</v>
      </c>
      <c r="C88" s="11">
        <f si="2" t="shared"/>
        <v>0</v>
      </c>
      <c r="E88" s="96">
        <v>77</v>
      </c>
      <c r="F88" s="343" t="n">
        <v>6.0</v>
      </c>
      <c r="G88" s="11">
        <f si="3" t="shared"/>
        <v>0</v>
      </c>
    </row>
    <row r="89" spans="1:7" x14ac:dyDescent="0.25">
      <c r="A89">
        <v>78</v>
      </c>
      <c r="B89" s="341" t="n">
        <v>0.0</v>
      </c>
      <c r="C89" s="11">
        <f si="2" t="shared"/>
        <v>0</v>
      </c>
      <c r="E89" s="97">
        <v>78</v>
      </c>
      <c r="F89" s="343" t="n">
        <v>62.0</v>
      </c>
      <c r="G89" s="11">
        <f si="3" t="shared"/>
        <v>0</v>
      </c>
    </row>
    <row r="90" spans="1:7" x14ac:dyDescent="0.25">
      <c r="A90">
        <v>79</v>
      </c>
      <c r="B90" s="341" t="n">
        <v>0.0</v>
      </c>
      <c r="C90" s="11">
        <f si="2" t="shared"/>
        <v>0</v>
      </c>
      <c r="E90" s="98">
        <v>79</v>
      </c>
      <c r="F90" s="343" t="n">
        <v>2.0</v>
      </c>
      <c r="G90" s="11">
        <f si="3" t="shared"/>
        <v>0</v>
      </c>
    </row>
    <row r="91" spans="1:7" x14ac:dyDescent="0.25">
      <c r="A91">
        <v>80</v>
      </c>
      <c r="B91" s="341" t="n">
        <v>0.0</v>
      </c>
      <c r="C91" s="11">
        <f si="2" t="shared"/>
        <v>0</v>
      </c>
      <c r="E91" s="99">
        <v>80</v>
      </c>
      <c r="F91" s="343" t="n">
        <v>19.0</v>
      </c>
      <c r="G91" s="11">
        <f si="3" t="shared"/>
        <v>0</v>
      </c>
    </row>
    <row r="92" spans="1:7" x14ac:dyDescent="0.25">
      <c r="A92">
        <v>81</v>
      </c>
      <c r="B92" s="341" t="n">
        <v>0.0</v>
      </c>
      <c r="C92" s="11">
        <f si="2" t="shared"/>
        <v>0</v>
      </c>
      <c r="E92" s="100">
        <v>81</v>
      </c>
      <c r="F92" s="343" t="n">
        <v>29.0</v>
      </c>
      <c r="G92" s="11">
        <f si="3" t="shared"/>
        <v>0</v>
      </c>
    </row>
    <row r="93" spans="1:7" x14ac:dyDescent="0.25">
      <c r="A93">
        <v>82</v>
      </c>
      <c r="B93" s="341" t="n">
        <v>0.0</v>
      </c>
      <c r="C93" s="11">
        <f si="2" t="shared"/>
        <v>0</v>
      </c>
      <c r="E93" s="101">
        <v>82</v>
      </c>
      <c r="F93" s="343" t="n">
        <v>32.0</v>
      </c>
      <c r="G93" s="11">
        <f si="3" t="shared"/>
        <v>0</v>
      </c>
    </row>
    <row r="94" spans="1:7" x14ac:dyDescent="0.25">
      <c r="A94">
        <v>83</v>
      </c>
      <c r="B94" s="341" t="n">
        <v>0.0</v>
      </c>
      <c r="C94" s="11">
        <f si="2" t="shared"/>
        <v>0</v>
      </c>
      <c r="E94" s="102">
        <v>83</v>
      </c>
      <c r="F94" s="343" t="n">
        <v>42.0</v>
      </c>
      <c r="G94" s="11">
        <f si="3" t="shared"/>
        <v>0</v>
      </c>
    </row>
    <row r="95" spans="1:7" x14ac:dyDescent="0.25">
      <c r="A95">
        <v>84</v>
      </c>
      <c r="B95" s="341" t="n">
        <v>0.0</v>
      </c>
      <c r="C95" s="11">
        <f si="2" t="shared"/>
        <v>0</v>
      </c>
      <c r="E95" s="103">
        <v>84</v>
      </c>
      <c r="F95" s="343" t="n">
        <v>6.0</v>
      </c>
      <c r="G95" s="11">
        <f si="3" t="shared"/>
        <v>0</v>
      </c>
    </row>
    <row r="96" spans="1:7" x14ac:dyDescent="0.25">
      <c r="A96">
        <v>85</v>
      </c>
      <c r="B96" s="341" t="n">
        <v>0.0</v>
      </c>
      <c r="C96" s="11">
        <f si="2" t="shared"/>
        <v>0</v>
      </c>
      <c r="E96" s="104">
        <v>85</v>
      </c>
      <c r="F96" s="343" t="n">
        <v>11.0</v>
      </c>
      <c r="G96" s="11">
        <f si="3" t="shared"/>
        <v>0</v>
      </c>
    </row>
    <row r="97" spans="1:7" x14ac:dyDescent="0.25">
      <c r="A97">
        <v>86</v>
      </c>
      <c r="B97" s="341" t="n">
        <v>0.0</v>
      </c>
      <c r="C97" s="11">
        <f si="2" t="shared"/>
        <v>0</v>
      </c>
      <c r="E97" s="105">
        <v>86</v>
      </c>
      <c r="F97" s="343" t="n">
        <v>25.0</v>
      </c>
      <c r="G97" s="11">
        <f si="3" t="shared"/>
        <v>0</v>
      </c>
    </row>
    <row r="98" spans="1:7" x14ac:dyDescent="0.25">
      <c r="A98">
        <v>87</v>
      </c>
      <c r="B98" s="341" t="n">
        <v>0.0</v>
      </c>
      <c r="C98" s="11">
        <f si="2" t="shared"/>
        <v>0</v>
      </c>
      <c r="E98" s="106">
        <v>87</v>
      </c>
      <c r="F98" s="343" t="n">
        <v>10.0</v>
      </c>
      <c r="G98" s="11">
        <f si="3" t="shared"/>
        <v>0</v>
      </c>
    </row>
    <row r="99" spans="1:7" x14ac:dyDescent="0.25">
      <c r="A99">
        <v>88</v>
      </c>
      <c r="B99" s="341" t="n">
        <v>0.0</v>
      </c>
      <c r="C99" s="11">
        <f si="2" t="shared"/>
        <v>0</v>
      </c>
      <c r="E99" s="107">
        <v>88</v>
      </c>
      <c r="F99" s="343" t="n">
        <v>42.0</v>
      </c>
      <c r="G99" s="11">
        <f si="3" t="shared"/>
        <v>0</v>
      </c>
    </row>
    <row r="100" spans="1:7" x14ac:dyDescent="0.25">
      <c r="A100">
        <v>89</v>
      </c>
      <c r="B100" s="341" t="n">
        <v>0.0</v>
      </c>
      <c r="C100" s="11">
        <f si="2" t="shared"/>
        <v>0</v>
      </c>
      <c r="E100" s="108">
        <v>89</v>
      </c>
      <c r="F100" s="343" t="n">
        <v>11.0</v>
      </c>
      <c r="G100" s="11">
        <f si="3" t="shared"/>
        <v>0</v>
      </c>
    </row>
    <row ht="15.75" r="101" spans="1:7" thickBot="1" x14ac:dyDescent="0.3">
      <c r="A101" s="1">
        <v>90</v>
      </c>
      <c r="B101" s="342" t="n">
        <v>0.0</v>
      </c>
      <c r="C101" s="11">
        <f si="2" t="shared"/>
        <v>0</v>
      </c>
      <c r="E101" s="292">
        <v>90</v>
      </c>
      <c r="F101" s="344" t="n">
        <v>398.0</v>
      </c>
      <c r="G101" s="11">
        <f si="3" t="shared"/>
        <v>0</v>
      </c>
    </row>
    <row r="102" spans="1:7" x14ac:dyDescent="0.25">
      <c r="B102" s="341">
        <f>SUM(B11:B101)</f>
        <v>344939.69133199996</v>
      </c>
      <c r="C102" s="11">
        <f si="2" t="shared"/>
        <v>1</v>
      </c>
      <c r="F102" s="341">
        <f>SUM(F11:F101)</f>
        <v>376009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T16" sqref="T1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09">
        <v>0</v>
      </c>
      <c r="F11" s="199" t="n">
        <v>12071.0</v>
      </c>
      <c r="G11" s="11">
        <f>F11/F$102</f>
        <v>2.8302514035568299E-2</v>
      </c>
      <c r="K11" s="8" t="n">
        <v>13.845737311664235</v>
      </c>
      <c r="L11" s="8" t="n">
        <v>14.839055593129789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110">
        <v>1</v>
      </c>
      <c r="F12" s="200" t="n">
        <v>5267.0</v>
      </c>
      <c r="G12" s="11">
        <f>F12/F$102</f>
        <v>5.0900377384583882E-2</v>
      </c>
      <c r="K12" s="8"/>
      <c r="L12" s="290"/>
    </row>
    <row r="13" spans="1:12" x14ac:dyDescent="0.25">
      <c r="A13">
        <v>2</v>
      </c>
      <c r="B13" s="8" t="n">
        <v>946.393617</v>
      </c>
      <c r="C13" s="11">
        <f ref="C13:C76" si="0" t="shared">B13/B$102</f>
        <v>2.1173089161753006E-3</v>
      </c>
      <c r="E13" s="111">
        <v>2</v>
      </c>
      <c r="F13" s="201" t="n">
        <v>5833.0</v>
      </c>
      <c r="G13" s="11">
        <f ref="G13:G76" si="1" t="shared">F13/F$102</f>
        <v>5.5772601187737525E-2</v>
      </c>
    </row>
    <row r="14" spans="1:12" x14ac:dyDescent="0.25">
      <c r="A14">
        <v>3</v>
      </c>
      <c r="B14" s="8" t="n">
        <v>17044.589247</v>
      </c>
      <c r="C14" s="11">
        <f si="0" t="shared"/>
        <v>5.1076496836203744E-2</v>
      </c>
      <c r="E14" s="112">
        <v>3</v>
      </c>
      <c r="F14" s="202" t="n">
        <v>10387.0</v>
      </c>
      <c r="G14" s="11">
        <f si="1" t="shared"/>
        <v>5.4144980572273536E-2</v>
      </c>
    </row>
    <row r="15" spans="1:12" x14ac:dyDescent="0.25">
      <c r="A15">
        <v>4</v>
      </c>
      <c r="B15" s="8" t="n">
        <v>19184.802018</v>
      </c>
      <c r="C15" s="11">
        <f si="0" t="shared"/>
        <v>6.3513855101451314E-2</v>
      </c>
      <c r="E15" s="113">
        <v>4</v>
      </c>
      <c r="F15" s="203" t="n">
        <v>16482.0</v>
      </c>
      <c r="G15" s="11">
        <f si="1" t="shared"/>
        <v>5.1881736873319519E-2</v>
      </c>
    </row>
    <row r="16" spans="1:12" x14ac:dyDescent="0.25">
      <c r="A16">
        <v>5</v>
      </c>
      <c r="B16" s="8" t="n">
        <v>28416.135047</v>
      </c>
      <c r="C16" s="11">
        <f si="0" t="shared"/>
        <v>9.3742980061628567E-2</v>
      </c>
      <c r="E16" s="114">
        <v>5</v>
      </c>
      <c r="F16" s="204" t="n">
        <v>23567.0</v>
      </c>
      <c r="G16" s="11">
        <f si="1" t="shared"/>
        <v>5.0086567076851884E-2</v>
      </c>
    </row>
    <row r="17" spans="1:7" x14ac:dyDescent="0.25">
      <c r="A17">
        <v>6</v>
      </c>
      <c r="B17" s="8" t="n">
        <v>29957.534808</v>
      </c>
      <c r="C17" s="11">
        <f si="0" t="shared"/>
        <v>9.8112027161370644E-2</v>
      </c>
      <c r="E17" s="115">
        <v>6</v>
      </c>
      <c r="F17" s="205" t="n">
        <v>27593.0</v>
      </c>
      <c r="G17" s="11">
        <f si="1" t="shared"/>
        <v>4.6174426675957225E-2</v>
      </c>
    </row>
    <row r="18" spans="1:7" x14ac:dyDescent="0.25">
      <c r="A18">
        <v>7</v>
      </c>
      <c r="B18" s="8" t="n">
        <v>28012.526856</v>
      </c>
      <c r="C18" s="11">
        <f si="0" t="shared"/>
        <v>8.2034169302843851E-2</v>
      </c>
      <c r="E18" s="116">
        <v>7</v>
      </c>
      <c r="F18" s="206" t="n">
        <v>29858.0</v>
      </c>
      <c r="G18" s="11">
        <f si="1" t="shared"/>
        <v>4.3081415604413725E-2</v>
      </c>
    </row>
    <row r="19" spans="1:7" x14ac:dyDescent="0.25">
      <c r="A19">
        <v>8</v>
      </c>
      <c r="B19" s="8" t="n">
        <v>25853.684401</v>
      </c>
      <c r="C19" s="11">
        <f si="0" t="shared"/>
        <v>7.860990623691809E-2</v>
      </c>
      <c r="E19" s="117">
        <v>8</v>
      </c>
      <c r="F19" s="207" t="n">
        <v>30825.0</v>
      </c>
      <c r="G19" s="11">
        <f si="1" t="shared"/>
        <v>3.8770348582081809E-2</v>
      </c>
    </row>
    <row r="20" spans="1:7" x14ac:dyDescent="0.25">
      <c r="A20">
        <v>9</v>
      </c>
      <c r="B20" s="8" t="n">
        <v>16150.539078</v>
      </c>
      <c r="C20" s="11">
        <f si="0" t="shared"/>
        <v>4.6920358725613967E-2</v>
      </c>
      <c r="E20" s="118">
        <v>9</v>
      </c>
      <c r="F20" s="208" t="n">
        <v>29951.0</v>
      </c>
      <c r="G20" s="11">
        <f si="1" t="shared"/>
        <v>3.4895441332521294E-2</v>
      </c>
    </row>
    <row r="21" spans="1:7" x14ac:dyDescent="0.25">
      <c r="A21">
        <v>10</v>
      </c>
      <c r="B21" s="8" t="n">
        <v>15885.581081</v>
      </c>
      <c r="C21" s="11">
        <f si="0" t="shared"/>
        <v>7.1225528784836512E-2</v>
      </c>
      <c r="E21" s="119">
        <v>10</v>
      </c>
      <c r="F21" s="209" t="n">
        <v>27766.0</v>
      </c>
      <c r="G21" s="11">
        <f si="1" t="shared"/>
        <v>3.0906175118148766E-2</v>
      </c>
    </row>
    <row r="22" spans="1:7" x14ac:dyDescent="0.25">
      <c r="A22">
        <v>11</v>
      </c>
      <c r="B22" s="8" t="n">
        <v>21351.482667</v>
      </c>
      <c r="C22" s="11">
        <f si="0" t="shared"/>
        <v>5.4959021021311227E-2</v>
      </c>
      <c r="E22" s="120">
        <v>11</v>
      </c>
      <c r="F22" s="210" t="n">
        <v>23234.0</v>
      </c>
      <c r="G22" s="11">
        <f si="1" t="shared"/>
        <v>2.7884970838463974E-2</v>
      </c>
    </row>
    <row r="23" spans="1:7" x14ac:dyDescent="0.25">
      <c r="A23">
        <v>12</v>
      </c>
      <c r="B23" s="8" t="n">
        <v>18172.385929</v>
      </c>
      <c r="C23" s="11">
        <f si="0" t="shared"/>
        <v>5.4086687945236231E-2</v>
      </c>
      <c r="E23" s="121">
        <v>12</v>
      </c>
      <c r="F23" s="211" t="n">
        <v>20459.0</v>
      </c>
      <c r="G23" s="11">
        <f si="1" t="shared"/>
        <v>2.4472818469770671E-2</v>
      </c>
    </row>
    <row r="24" spans="1:7" x14ac:dyDescent="0.25">
      <c r="A24">
        <v>13</v>
      </c>
      <c r="B24" s="8" t="n">
        <v>11139.004169</v>
      </c>
      <c r="C24" s="11">
        <f si="0" t="shared"/>
        <v>2.6622719283300025E-2</v>
      </c>
      <c r="E24" s="122">
        <v>13</v>
      </c>
      <c r="F24" s="212" t="n">
        <v>17213.0</v>
      </c>
      <c r="G24" s="11">
        <f si="1" t="shared"/>
        <v>2.2105853849242969E-2</v>
      </c>
    </row>
    <row r="25" spans="1:7" x14ac:dyDescent="0.25">
      <c r="A25">
        <v>14</v>
      </c>
      <c r="B25" s="8" t="n">
        <v>12530.841465</v>
      </c>
      <c r="C25" s="11">
        <f si="0" t="shared"/>
        <v>3.5704814886455022E-2</v>
      </c>
      <c r="E25" s="123">
        <v>14</v>
      </c>
      <c r="F25" s="213" t="n">
        <v>13988.0</v>
      </c>
      <c r="G25" s="11">
        <f si="1" t="shared"/>
        <v>2.0167070469057923E-2</v>
      </c>
    </row>
    <row r="26" spans="1:7" x14ac:dyDescent="0.25">
      <c r="A26">
        <v>15</v>
      </c>
      <c r="B26" s="8" t="n">
        <v>11914.218703</v>
      </c>
      <c r="C26" s="11">
        <f si="0" t="shared"/>
        <v>2.4457057201573984E-2</v>
      </c>
      <c r="E26" s="124">
        <v>15</v>
      </c>
      <c r="F26" s="214" t="n">
        <v>11307.0</v>
      </c>
      <c r="G26" s="11">
        <f si="1" t="shared"/>
        <v>1.8225627578063289E-2</v>
      </c>
    </row>
    <row r="27" spans="1:7" x14ac:dyDescent="0.25">
      <c r="A27">
        <v>16</v>
      </c>
      <c r="B27" s="8" t="n">
        <v>6366.245163</v>
      </c>
      <c r="C27" s="11">
        <f si="0" t="shared"/>
        <v>2.0117758632539916E-2</v>
      </c>
      <c r="E27" s="125">
        <v>16</v>
      </c>
      <c r="F27" s="215" t="n">
        <v>9035.0</v>
      </c>
      <c r="G27" s="11">
        <f si="1" t="shared"/>
        <v>1.6746939567935874E-2</v>
      </c>
    </row>
    <row r="28" spans="1:7" x14ac:dyDescent="0.25">
      <c r="A28">
        <v>17</v>
      </c>
      <c r="B28" s="8" t="n">
        <v>11569.064312</v>
      </c>
      <c r="C28" s="11">
        <f si="0" t="shared"/>
        <v>2.0445227859301879E-2</v>
      </c>
      <c r="E28" s="126">
        <v>17</v>
      </c>
      <c r="F28" s="216" t="n">
        <v>7752.0</v>
      </c>
      <c r="G28" s="11">
        <f si="1" t="shared"/>
        <v>1.5199104276759332E-2</v>
      </c>
    </row>
    <row r="29" spans="1:7" x14ac:dyDescent="0.25">
      <c r="A29">
        <v>18</v>
      </c>
      <c r="B29" s="8" t="n">
        <v>5427.568418</v>
      </c>
      <c r="C29" s="11">
        <f si="0" t="shared"/>
        <v>2.1674074929243801E-2</v>
      </c>
      <c r="E29" s="127">
        <v>18</v>
      </c>
      <c r="F29" s="217" t="n">
        <v>6310.0</v>
      </c>
      <c r="G29" s="11">
        <f si="1" t="shared"/>
        <v>1.5135276017329372E-2</v>
      </c>
    </row>
    <row r="30" spans="1:7" x14ac:dyDescent="0.25">
      <c r="A30">
        <v>19</v>
      </c>
      <c r="B30" s="8" t="n">
        <v>5111.306311</v>
      </c>
      <c r="C30" s="11">
        <f si="0" t="shared"/>
        <v>9.6128258281780055E-3</v>
      </c>
      <c r="E30" s="128">
        <v>19</v>
      </c>
      <c r="F30" s="218" t="n">
        <v>5690.0</v>
      </c>
      <c r="G30" s="11">
        <f si="1" t="shared"/>
        <v>1.375764941796606E-2</v>
      </c>
    </row>
    <row r="31" spans="1:7" x14ac:dyDescent="0.25">
      <c r="A31">
        <v>20</v>
      </c>
      <c r="B31" s="8" t="n">
        <v>3744.321407</v>
      </c>
      <c r="C31" s="11">
        <f si="0" t="shared"/>
        <v>7.8470206880158298E-3</v>
      </c>
      <c r="E31" s="129">
        <v>20</v>
      </c>
      <c r="F31" s="219" t="n">
        <v>4913.0</v>
      </c>
      <c r="G31" s="11">
        <f si="1" t="shared"/>
        <v>1.3502336380246217E-2</v>
      </c>
    </row>
    <row r="32" spans="1:7" x14ac:dyDescent="0.25">
      <c r="A32">
        <v>21</v>
      </c>
      <c r="B32" s="8" t="n">
        <v>3225.504343</v>
      </c>
      <c r="C32" s="11">
        <f si="0" t="shared"/>
        <v>6.9154023411706639E-3</v>
      </c>
      <c r="E32" s="130">
        <v>21</v>
      </c>
      <c r="F32" s="220" t="n">
        <v>4524.0</v>
      </c>
      <c r="G32" s="11">
        <f si="1" t="shared"/>
        <v>1.2786927972468744E-2</v>
      </c>
    </row>
    <row r="33" spans="1:7" x14ac:dyDescent="0.25">
      <c r="A33">
        <v>22</v>
      </c>
      <c r="B33" s="8" t="n">
        <v>3187.49245</v>
      </c>
      <c r="C33" s="11">
        <f si="0" t="shared"/>
        <v>1.3347050814076302E-2</v>
      </c>
      <c r="E33" s="131">
        <v>22</v>
      </c>
      <c r="F33" s="221" t="n">
        <v>4319.0</v>
      </c>
      <c r="G33" s="11">
        <f si="1" t="shared"/>
        <v>1.2239068745694916E-2</v>
      </c>
    </row>
    <row r="34" spans="1:7" x14ac:dyDescent="0.25">
      <c r="A34">
        <v>23</v>
      </c>
      <c r="B34" s="8" t="n">
        <v>3430.251592</v>
      </c>
      <c r="C34" s="11">
        <f si="0" t="shared"/>
        <v>1.0628699961557251E-2</v>
      </c>
      <c r="E34" s="132">
        <v>23</v>
      </c>
      <c r="F34" s="222" t="n">
        <v>3731.0</v>
      </c>
      <c r="G34" s="11">
        <f si="1" t="shared"/>
        <v>1.2249706788933244E-2</v>
      </c>
    </row>
    <row r="35" spans="1:7" x14ac:dyDescent="0.25">
      <c r="A35">
        <v>24</v>
      </c>
      <c r="B35" s="8" t="n">
        <v>3939.4118909999997</v>
      </c>
      <c r="C35" s="11">
        <f si="0" t="shared"/>
        <v>1.4257785878478139E-2</v>
      </c>
      <c r="E35" s="133">
        <v>24</v>
      </c>
      <c r="F35" s="223" t="n">
        <v>3567.0</v>
      </c>
      <c r="G35" s="11">
        <f si="1" t="shared"/>
        <v>1.1491746208202463E-2</v>
      </c>
    </row>
    <row r="36" spans="1:7" x14ac:dyDescent="0.25">
      <c r="A36">
        <v>25</v>
      </c>
      <c r="B36" s="8" t="n">
        <v>3115.010081</v>
      </c>
      <c r="C36" s="11">
        <f si="0" t="shared"/>
        <v>3.3983932016444377E-3</v>
      </c>
      <c r="E36" s="134">
        <v>25</v>
      </c>
      <c r="F36" s="224" t="n">
        <v>3377.0</v>
      </c>
      <c r="G36" s="11">
        <f si="1" t="shared"/>
        <v>1.1026331816525669E-2</v>
      </c>
    </row>
    <row r="37" spans="1:7" x14ac:dyDescent="0.25">
      <c r="A37">
        <v>26</v>
      </c>
      <c r="B37" s="8" t="n">
        <v>3105.647645</v>
      </c>
      <c r="C37" s="11">
        <f si="0" t="shared"/>
        <v>2.2288845016099064E-3</v>
      </c>
      <c r="E37" s="135">
        <v>26</v>
      </c>
      <c r="F37" s="225" t="n">
        <v>2994.0</v>
      </c>
      <c r="G37" s="11">
        <f si="1" t="shared"/>
        <v>1.0709850030185448E-2</v>
      </c>
    </row>
    <row r="38" spans="1:7" x14ac:dyDescent="0.25">
      <c r="A38">
        <v>27</v>
      </c>
      <c r="B38" s="8" t="n">
        <v>2490.885529</v>
      </c>
      <c r="C38" s="11">
        <f si="0" t="shared"/>
        <v>7.4867779205913089E-3</v>
      </c>
      <c r="E38" s="136">
        <v>27</v>
      </c>
      <c r="F38" s="226" t="n">
        <v>2774.0</v>
      </c>
      <c r="G38" s="11">
        <f si="1" t="shared"/>
        <v>1.0154012270982875E-2</v>
      </c>
    </row>
    <row r="39" spans="1:7" x14ac:dyDescent="0.25">
      <c r="A39">
        <v>28</v>
      </c>
      <c r="B39" s="8" t="n">
        <v>925.746639</v>
      </c>
      <c r="C39" s="11">
        <f si="0" t="shared"/>
        <v>1.4006529933807561E-2</v>
      </c>
      <c r="E39" s="137">
        <v>28</v>
      </c>
      <c r="F39" s="227" t="n">
        <v>2559.0</v>
      </c>
      <c r="G39" s="11">
        <f si="1" t="shared"/>
        <v>9.6859383684964988E-3</v>
      </c>
    </row>
    <row r="40" spans="1:7" x14ac:dyDescent="0.25">
      <c r="A40">
        <v>29</v>
      </c>
      <c r="B40" s="8" t="n">
        <v>3153.763517</v>
      </c>
      <c r="C40" s="11">
        <f si="0" t="shared"/>
        <v>5.9850080517784669E-3</v>
      </c>
      <c r="E40" s="138">
        <v>29</v>
      </c>
      <c r="F40" s="228" t="n">
        <v>2479.0</v>
      </c>
      <c r="G40" s="11">
        <f si="1" t="shared"/>
        <v>9.8082758657372562E-3</v>
      </c>
    </row>
    <row r="41" spans="1:7" x14ac:dyDescent="0.25">
      <c r="A41">
        <v>30</v>
      </c>
      <c r="B41" s="8" t="n">
        <v>2489.205348</v>
      </c>
      <c r="C41" s="11">
        <f si="0" t="shared"/>
        <v>4.1023970263775866E-3</v>
      </c>
      <c r="E41" s="139">
        <v>30</v>
      </c>
      <c r="F41" s="229" t="n">
        <v>2284.0</v>
      </c>
      <c r="G41" s="11">
        <f si="1" t="shared"/>
        <v>9.2125454443909589E-3</v>
      </c>
    </row>
    <row r="42" spans="1:7" x14ac:dyDescent="0.25">
      <c r="A42">
        <v>31</v>
      </c>
      <c r="B42" s="8" t="n">
        <v>2501.692751</v>
      </c>
      <c r="C42" s="11">
        <f si="0" t="shared"/>
        <v>3.2423252501943812E-3</v>
      </c>
      <c r="E42" s="140">
        <v>31</v>
      </c>
      <c r="F42" s="230" t="n">
        <v>2168.0</v>
      </c>
      <c r="G42" s="11">
        <f si="1" t="shared"/>
        <v>8.7684071391908175E-3</v>
      </c>
    </row>
    <row r="43" spans="1:7" x14ac:dyDescent="0.25">
      <c r="A43">
        <v>32</v>
      </c>
      <c r="B43" s="8" t="n">
        <v>2535.547136</v>
      </c>
      <c r="C43" s="11">
        <f si="0" t="shared"/>
        <v>1.9296184281656541E-3</v>
      </c>
      <c r="E43" s="141">
        <v>32</v>
      </c>
      <c r="F43" s="231" t="n">
        <v>1932.0</v>
      </c>
      <c r="G43" s="11">
        <f si="1" t="shared"/>
        <v>9.0556343066256397E-3</v>
      </c>
    </row>
    <row r="44" spans="1:7" x14ac:dyDescent="0.25">
      <c r="A44">
        <v>33</v>
      </c>
      <c r="B44" s="8" t="n">
        <v>1074.332272</v>
      </c>
      <c r="C44" s="11">
        <f si="0" t="shared"/>
        <v>1.3215498751091687E-3</v>
      </c>
      <c r="E44" s="142">
        <v>33</v>
      </c>
      <c r="F44" s="232" t="n">
        <v>1775.0</v>
      </c>
      <c r="G44" s="11">
        <f si="1" t="shared"/>
        <v>8.5822413825200998E-3</v>
      </c>
    </row>
    <row r="45" spans="1:7" x14ac:dyDescent="0.25">
      <c r="A45">
        <v>34</v>
      </c>
      <c r="B45" s="8" t="n">
        <v>811.657917</v>
      </c>
      <c r="C45" s="11">
        <f si="0" t="shared"/>
        <v>5.8627614386468577E-3</v>
      </c>
      <c r="E45" s="143">
        <v>34</v>
      </c>
      <c r="F45" s="233" t="n">
        <v>1659.0</v>
      </c>
      <c r="G45" s="11">
        <f si="1" t="shared"/>
        <v>8.2524620421319701E-3</v>
      </c>
    </row>
    <row r="46" spans="1:7" x14ac:dyDescent="0.25">
      <c r="A46">
        <v>35</v>
      </c>
      <c r="B46" s="8" t="n">
        <v>1150.846127</v>
      </c>
      <c r="C46" s="11">
        <f si="0" t="shared"/>
        <v>3.2886669249905546E-3</v>
      </c>
      <c r="E46" s="144">
        <v>35</v>
      </c>
      <c r="F46" s="234" t="n">
        <v>1533.0</v>
      </c>
      <c r="G46" s="11">
        <f si="1" t="shared"/>
        <v>7.7125813477868883E-3</v>
      </c>
    </row>
    <row r="47" spans="1:7" x14ac:dyDescent="0.25">
      <c r="A47">
        <v>36</v>
      </c>
      <c r="B47" s="8" t="n">
        <v>777.406865</v>
      </c>
      <c r="C47" s="11">
        <f si="0" t="shared"/>
        <v>4.8436553142036237E-3</v>
      </c>
      <c r="E47" s="145">
        <v>36</v>
      </c>
      <c r="F47" s="235" t="n">
        <v>1442.0</v>
      </c>
      <c r="G47" s="11">
        <f si="1" t="shared"/>
        <v>7.4998204830203528E-3</v>
      </c>
    </row>
    <row r="48" spans="1:7" x14ac:dyDescent="0.25">
      <c r="A48">
        <v>37</v>
      </c>
      <c r="B48" s="8" t="n">
        <v>1101.74298</v>
      </c>
      <c r="C48" s="11">
        <f si="0" t="shared"/>
        <v>3.3787717281808759E-3</v>
      </c>
      <c r="E48" s="146">
        <v>37</v>
      </c>
      <c r="F48" s="236" t="n">
        <v>1276.0</v>
      </c>
      <c r="G48" s="11">
        <f si="1" t="shared"/>
        <v>7.6141794478323654E-3</v>
      </c>
    </row>
    <row r="49" spans="1:7" x14ac:dyDescent="0.25">
      <c r="A49">
        <v>38</v>
      </c>
      <c r="B49" s="8" t="n">
        <v>2839.18682</v>
      </c>
      <c r="C49" s="11">
        <f si="0" t="shared"/>
        <v>3.6532600094058678E-3</v>
      </c>
      <c r="E49" s="147">
        <v>38</v>
      </c>
      <c r="F49" s="237" t="n">
        <v>1227.0</v>
      </c>
      <c r="G49" s="11">
        <f si="1" t="shared"/>
        <v>7.2125933155855314E-3</v>
      </c>
    </row>
    <row r="50" spans="1:7" x14ac:dyDescent="0.25">
      <c r="A50">
        <v>39</v>
      </c>
      <c r="B50" s="8" t="n">
        <v>1743.095227</v>
      </c>
      <c r="C50" s="11">
        <f si="0" t="shared"/>
        <v>1.3746380190954018E-3</v>
      </c>
      <c r="E50" s="148">
        <v>39</v>
      </c>
      <c r="F50" s="238" t="n">
        <v>1134.0</v>
      </c>
      <c r="G50" s="11">
        <f si="1" t="shared"/>
        <v>6.8508998454824216E-3</v>
      </c>
    </row>
    <row r="51" spans="1:7" x14ac:dyDescent="0.25">
      <c r="A51">
        <v>40</v>
      </c>
      <c r="B51" s="8" t="n">
        <v>1522.7119969999999</v>
      </c>
      <c r="C51" s="11">
        <f si="0" t="shared"/>
        <v>8.003523744511122E-4</v>
      </c>
      <c r="E51" s="149">
        <v>40</v>
      </c>
      <c r="F51" s="239" t="n">
        <v>979.0</v>
      </c>
      <c r="G51" s="11">
        <f si="1" t="shared"/>
        <v>6.7338813698608274E-3</v>
      </c>
    </row>
    <row r="52" spans="1:7" x14ac:dyDescent="0.25">
      <c r="A52">
        <v>41</v>
      </c>
      <c r="B52" s="8" t="n">
        <v>381.125067</v>
      </c>
      <c r="C52" s="11">
        <f si="0" t="shared"/>
        <v>1.9121446344809525E-3</v>
      </c>
      <c r="E52" s="150">
        <v>41</v>
      </c>
      <c r="F52" s="240" t="n">
        <v>909.0</v>
      </c>
      <c r="G52" s="11">
        <f si="1" t="shared"/>
        <v>6.7072862617650105E-3</v>
      </c>
    </row>
    <row r="53" spans="1:7" x14ac:dyDescent="0.25">
      <c r="A53">
        <v>42</v>
      </c>
      <c r="B53" s="8" t="n">
        <v>1086.692855</v>
      </c>
      <c r="C53" s="11">
        <f si="0" t="shared"/>
        <v>7.2844225907930406E-4</v>
      </c>
      <c r="E53" s="151">
        <v>42</v>
      </c>
      <c r="F53" s="241" t="n">
        <v>801.0</v>
      </c>
      <c r="G53" s="11">
        <f si="1" t="shared"/>
        <v>6.4998444186176391E-3</v>
      </c>
    </row>
    <row r="54" spans="1:7" x14ac:dyDescent="0.25">
      <c r="A54">
        <v>43</v>
      </c>
      <c r="B54" s="8" t="n">
        <v>162.70512399999998</v>
      </c>
      <c r="C54" s="11">
        <f si="0" t="shared"/>
        <v>1.5747684382229493E-3</v>
      </c>
      <c r="E54" s="152">
        <v>43</v>
      </c>
      <c r="F54" s="242" t="n">
        <v>704.0</v>
      </c>
      <c r="G54" s="11">
        <f si="1" t="shared"/>
        <v>6.3562308349002289E-3</v>
      </c>
    </row>
    <row r="55" spans="1:7" x14ac:dyDescent="0.25">
      <c r="A55">
        <v>44</v>
      </c>
      <c r="B55" s="8" t="n">
        <v>69.795838</v>
      </c>
      <c r="C55" s="11">
        <f si="0" t="shared"/>
        <v>2.3554360382899366E-3</v>
      </c>
      <c r="E55" s="153">
        <v>44</v>
      </c>
      <c r="F55" s="243" t="n">
        <v>645.0</v>
      </c>
      <c r="G55" s="11">
        <f si="1" t="shared"/>
        <v>6.3296357268044119E-3</v>
      </c>
    </row>
    <row r="56" spans="1:7" x14ac:dyDescent="0.25">
      <c r="A56">
        <v>45</v>
      </c>
      <c r="B56" s="8" t="n">
        <v>222.93762099999998</v>
      </c>
      <c r="C56" s="11">
        <f si="0" t="shared"/>
        <v>1.6154594962621081E-3</v>
      </c>
      <c r="E56" s="154">
        <v>45</v>
      </c>
      <c r="F56" s="244" t="n">
        <v>623.0</v>
      </c>
      <c r="G56" s="11">
        <f si="1" t="shared"/>
        <v>6.0769821998941514E-3</v>
      </c>
    </row>
    <row r="57" spans="1:7" x14ac:dyDescent="0.25">
      <c r="A57">
        <v>46</v>
      </c>
      <c r="B57" s="8" t="n">
        <v>1010.9302729999999</v>
      </c>
      <c r="C57" s="11">
        <f si="0" t="shared"/>
        <v>5.1985425715305204E-4</v>
      </c>
      <c r="E57" s="155">
        <v>46</v>
      </c>
      <c r="F57" s="245" t="n">
        <v>530.0</v>
      </c>
      <c r="G57" s="11">
        <f si="1" t="shared"/>
        <v>6.0557061134174977E-3</v>
      </c>
    </row>
    <row r="58" spans="1:7" x14ac:dyDescent="0.25">
      <c r="A58">
        <v>47</v>
      </c>
      <c r="B58" s="8" t="n">
        <v>34.050388</v>
      </c>
      <c r="C58" s="11">
        <f si="0" t="shared"/>
        <v>1.3450600747289469E-3</v>
      </c>
      <c r="E58" s="156">
        <v>47</v>
      </c>
      <c r="F58" s="246" t="n">
        <v>494.0</v>
      </c>
      <c r="G58" s="11">
        <f si="1" t="shared"/>
        <v>5.7605004135539307E-3</v>
      </c>
    </row>
    <row r="59" spans="1:7" x14ac:dyDescent="0.25">
      <c r="A59">
        <v>48</v>
      </c>
      <c r="B59" s="8" t="n">
        <v>531.287106</v>
      </c>
      <c r="C59" s="11">
        <f si="0" t="shared"/>
        <v>9.675527009119178E-4</v>
      </c>
      <c r="E59" s="157">
        <v>48</v>
      </c>
      <c r="F59" s="247" t="n">
        <v>474.0</v>
      </c>
      <c r="G59" s="11">
        <f si="1" t="shared"/>
        <v>5.4812517785478541E-3</v>
      </c>
    </row>
    <row r="60" spans="1:7" x14ac:dyDescent="0.25">
      <c r="A60">
        <v>49</v>
      </c>
      <c r="B60" s="8" t="n">
        <v>717.997614</v>
      </c>
      <c r="C60" s="11">
        <f si="0" t="shared"/>
        <v>8.6874649838883291E-4</v>
      </c>
      <c r="E60" s="158">
        <v>49</v>
      </c>
      <c r="F60" s="248" t="n">
        <v>433.0</v>
      </c>
      <c r="G60" s="11">
        <f si="1" t="shared"/>
        <v>4.957328149060262E-3</v>
      </c>
    </row>
    <row r="61" spans="1:7" x14ac:dyDescent="0.25">
      <c r="A61">
        <v>50</v>
      </c>
      <c r="B61" s="8" t="n">
        <v>429.052119</v>
      </c>
      <c r="C61" s="11">
        <f si="0" t="shared"/>
        <v>9.0148688832885357E-4</v>
      </c>
      <c r="E61" s="159">
        <v>50</v>
      </c>
      <c r="F61" s="249" t="n">
        <v>408.0</v>
      </c>
      <c r="G61" s="11">
        <f si="1" t="shared"/>
        <v>5.0450920057764576E-3</v>
      </c>
    </row>
    <row r="62" spans="1:7" x14ac:dyDescent="0.25">
      <c r="A62">
        <v>51</v>
      </c>
      <c r="B62" s="8" t="n">
        <v>198.753378</v>
      </c>
      <c r="C62" s="11">
        <f si="0" t="shared"/>
        <v>1.6764832187531802E-3</v>
      </c>
      <c r="E62" s="160">
        <v>51</v>
      </c>
      <c r="F62" s="250" t="n">
        <v>363.0</v>
      </c>
      <c r="G62" s="11">
        <f si="1" t="shared"/>
        <v>4.7950979896757787E-3</v>
      </c>
    </row>
    <row r="63" spans="1:7" x14ac:dyDescent="0.25">
      <c r="A63">
        <v>52</v>
      </c>
      <c r="B63" s="8" t="n">
        <v>458.885721</v>
      </c>
      <c r="C63" s="11">
        <f si="0" t="shared"/>
        <v>0</v>
      </c>
      <c r="E63" s="161">
        <v>52</v>
      </c>
      <c r="F63" s="251" t="n">
        <v>330.0</v>
      </c>
      <c r="G63" s="11">
        <f si="1" t="shared"/>
        <v>4.6780795140541846E-3</v>
      </c>
    </row>
    <row r="64" spans="1:7" x14ac:dyDescent="0.25">
      <c r="A64">
        <v>53</v>
      </c>
      <c r="B64" s="8" t="n">
        <v>85.4146</v>
      </c>
      <c r="C64" s="11">
        <f si="0" t="shared"/>
        <v>1.1052184210168709E-3</v>
      </c>
      <c r="E64" s="162">
        <v>53</v>
      </c>
      <c r="F64" s="252" t="n">
        <v>284.0</v>
      </c>
      <c r="G64" s="11">
        <f si="1" t="shared"/>
        <v>4.4201069655247617E-3</v>
      </c>
    </row>
    <row r="65" spans="1:7" x14ac:dyDescent="0.25">
      <c r="A65">
        <v>54</v>
      </c>
      <c r="B65" s="8" t="n">
        <v>485.631151</v>
      </c>
      <c r="C65" s="11">
        <f si="0" t="shared"/>
        <v>8.8635546352863715E-5</v>
      </c>
      <c r="E65" s="163">
        <v>54</v>
      </c>
      <c r="F65" s="253" t="n">
        <v>229.0</v>
      </c>
      <c r="G65" s="11">
        <f si="1" t="shared"/>
        <v>4.0663920278503976E-3</v>
      </c>
    </row>
    <row r="66" spans="1:7" x14ac:dyDescent="0.25">
      <c r="A66">
        <v>55</v>
      </c>
      <c r="B66" s="8" t="n">
        <v>422.666653</v>
      </c>
      <c r="C66" s="11">
        <f si="0" t="shared"/>
        <v>4.45927971947861E-4</v>
      </c>
      <c r="E66" s="164">
        <v>55</v>
      </c>
      <c r="F66" s="254" t="n">
        <v>223.0</v>
      </c>
      <c r="G66" s="11">
        <f si="1" t="shared"/>
        <v>3.9015023576563328E-3</v>
      </c>
    </row>
    <row r="67" spans="1:7" x14ac:dyDescent="0.25">
      <c r="A67">
        <v>56</v>
      </c>
      <c r="B67" s="8" t="n">
        <v>108.083727</v>
      </c>
      <c r="C67" s="11">
        <f si="0" t="shared"/>
        <v>3.5737056997987779E-3</v>
      </c>
      <c r="E67" s="165">
        <v>56</v>
      </c>
      <c r="F67" s="255" t="n">
        <v>193.0</v>
      </c>
      <c r="G67" s="11">
        <f si="1" t="shared"/>
        <v>3.4547045416466094E-3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198.0</v>
      </c>
      <c r="G68" s="11">
        <f si="1" t="shared"/>
        <v>3.2100295471650946E-3</v>
      </c>
    </row>
    <row r="69" spans="1:7" x14ac:dyDescent="0.25">
      <c r="A69">
        <v>58</v>
      </c>
      <c r="B69" s="8" t="n">
        <v>180.622095</v>
      </c>
      <c r="C69" s="11">
        <f si="0" t="shared"/>
        <v>1.6297993942915266E-4</v>
      </c>
      <c r="E69" s="167">
        <v>58</v>
      </c>
      <c r="F69" s="257" t="n">
        <v>182.0</v>
      </c>
      <c r="G69" s="11">
        <f si="1" t="shared"/>
        <v>2.8696121635386389E-3</v>
      </c>
    </row>
    <row r="70" spans="1:7" x14ac:dyDescent="0.25">
      <c r="A70">
        <v>59</v>
      </c>
      <c r="B70" s="8" t="n">
        <v>0.0</v>
      </c>
      <c r="C70" s="11">
        <f si="0" t="shared"/>
        <v>4.5753264981065659E-4</v>
      </c>
      <c r="E70" s="168">
        <v>59</v>
      </c>
      <c r="F70" s="258" t="n">
        <v>179.0</v>
      </c>
      <c r="G70" s="11">
        <f si="1" t="shared"/>
        <v>2.8376980338236583E-3</v>
      </c>
    </row>
    <row r="71" spans="1:7" x14ac:dyDescent="0.25">
      <c r="A71">
        <v>60</v>
      </c>
      <c r="B71" s="8" t="n">
        <v>21.137344</v>
      </c>
      <c r="C71" s="11">
        <f si="0" t="shared"/>
        <v>3.9508573070772392E-4</v>
      </c>
      <c r="E71" s="169">
        <v>60</v>
      </c>
      <c r="F71" s="259" t="n">
        <v>144.0</v>
      </c>
      <c r="G71" s="11">
        <f si="1" t="shared"/>
        <v>2.6222776582475421E-3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125.0</v>
      </c>
      <c r="G72" s="11">
        <f si="1" t="shared"/>
        <v>2.4254738583384971E-3</v>
      </c>
    </row>
    <row r="73" spans="1:7" x14ac:dyDescent="0.25">
      <c r="A73">
        <v>62</v>
      </c>
      <c r="B73" s="8" t="n">
        <v>153.818257</v>
      </c>
      <c r="C73" s="11">
        <f si="0" t="shared"/>
        <v>5.8734711339728277E-4</v>
      </c>
      <c r="E73" s="171">
        <v>62</v>
      </c>
      <c r="F73" s="261" t="n">
        <v>121.0</v>
      </c>
      <c r="G73" s="11">
        <f si="1" t="shared"/>
        <v>2.1169706044270216E-3</v>
      </c>
    </row>
    <row r="74" spans="1:7" x14ac:dyDescent="0.25">
      <c r="A74">
        <v>63</v>
      </c>
      <c r="B74" s="8" t="n">
        <v>580.584333</v>
      </c>
      <c r="C74" s="11">
        <f si="0" t="shared"/>
        <v>0</v>
      </c>
      <c r="E74" s="172">
        <v>63</v>
      </c>
      <c r="F74" s="262" t="n">
        <v>96.0</v>
      </c>
      <c r="G74" s="11">
        <f si="1" t="shared"/>
        <v>2.1089920719982768E-3</v>
      </c>
    </row>
    <row r="75" spans="1:7" x14ac:dyDescent="0.25">
      <c r="A75">
        <v>64</v>
      </c>
      <c r="B75" s="8" t="n">
        <v>1234.255175</v>
      </c>
      <c r="C75" s="11">
        <f si="0" t="shared"/>
        <v>0</v>
      </c>
      <c r="E75" s="173">
        <v>64</v>
      </c>
      <c r="F75" s="263" t="n">
        <v>111.0</v>
      </c>
      <c r="G75" s="11">
        <f si="1" t="shared"/>
        <v>1.8882526748029967E-3</v>
      </c>
    </row>
    <row r="76" spans="1:7" x14ac:dyDescent="0.25">
      <c r="A76">
        <v>65</v>
      </c>
      <c r="B76" s="8" t="n">
        <v>221.05623500000002</v>
      </c>
      <c r="C76" s="11">
        <f si="0" t="shared"/>
        <v>0</v>
      </c>
      <c r="E76" s="174">
        <v>65</v>
      </c>
      <c r="F76" s="264" t="n">
        <v>157.0</v>
      </c>
      <c r="G76" s="11">
        <f si="1" t="shared"/>
        <v>1.8403814802305264E-3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1.0008846145447093E-4</v>
      </c>
      <c r="E77" s="175">
        <v>66</v>
      </c>
      <c r="F77" s="265" t="n">
        <v>95.0</v>
      </c>
      <c r="G77" s="11">
        <f ref="G77:G102" si="3" t="shared">F77/F$102</f>
        <v>1.6409181695119001E-3</v>
      </c>
    </row>
    <row r="78" spans="1:7" x14ac:dyDescent="0.25">
      <c r="A78">
        <v>67</v>
      </c>
      <c r="B78" s="8" t="n">
        <v>222.426854</v>
      </c>
      <c r="C78" s="11">
        <f si="2" t="shared"/>
        <v>5.7172776272414031E-4</v>
      </c>
      <c r="E78" s="176">
        <v>67</v>
      </c>
      <c r="F78" s="266" t="n">
        <v>71.0</v>
      </c>
      <c r="G78" s="11">
        <f si="3" t="shared"/>
        <v>1.582408931701103E-3</v>
      </c>
    </row>
    <row r="79" spans="1:7" x14ac:dyDescent="0.25">
      <c r="A79">
        <v>68</v>
      </c>
      <c r="B79" s="8" t="n">
        <v>0.0</v>
      </c>
      <c r="C79" s="11">
        <f si="2" t="shared"/>
        <v>8.3636882982632873E-4</v>
      </c>
      <c r="E79" s="177">
        <v>68</v>
      </c>
      <c r="F79" s="267" t="n">
        <v>76.0</v>
      </c>
      <c r="G79" s="11">
        <f si="3" t="shared"/>
        <v>1.5504948019861226E-3</v>
      </c>
    </row>
    <row r="80" spans="1:7" x14ac:dyDescent="0.25">
      <c r="A80">
        <v>69</v>
      </c>
      <c r="B80" s="8" t="n">
        <v>0.0</v>
      </c>
      <c r="C80" s="11">
        <f si="2" t="shared"/>
        <v>2.0498064147667599E-3</v>
      </c>
      <c r="E80" s="178">
        <v>69</v>
      </c>
      <c r="F80" s="268" t="n">
        <v>76.0</v>
      </c>
      <c r="G80" s="11">
        <f si="3" t="shared"/>
        <v>1.2765651885992091E-3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59.0</v>
      </c>
      <c r="G81" s="11">
        <f si="3" t="shared"/>
        <v>1.2792246994087907E-3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56.0</v>
      </c>
      <c r="G82" s="11">
        <f si="3" t="shared"/>
        <v>1.1781632886446868E-3</v>
      </c>
    </row>
    <row r="83" spans="1:7" x14ac:dyDescent="0.25">
      <c r="A83">
        <v>72</v>
      </c>
      <c r="B83" s="8" t="n">
        <v>684.8399049999999</v>
      </c>
      <c r="C83" s="11">
        <f si="2" t="shared"/>
        <v>0</v>
      </c>
      <c r="E83" s="181">
        <v>72</v>
      </c>
      <c r="F83" s="271" t="n">
        <v>61.0</v>
      </c>
      <c r="G83" s="11">
        <f si="3" t="shared"/>
        <v>1.0398687265464391E-3</v>
      </c>
    </row>
    <row r="84" spans="1:7" x14ac:dyDescent="0.25">
      <c r="A84">
        <v>73</v>
      </c>
      <c r="B84" s="8" t="n">
        <v>336.909338</v>
      </c>
      <c r="C84" s="11">
        <f si="2" t="shared"/>
        <v>0</v>
      </c>
      <c r="E84" s="182">
        <v>73</v>
      </c>
      <c r="F84" s="272" t="n">
        <v>76.0</v>
      </c>
      <c r="G84" s="11">
        <f si="3" t="shared"/>
        <v>1.0531662805943476E-3</v>
      </c>
    </row>
    <row r="85" spans="1:7" x14ac:dyDescent="0.25">
      <c r="A85">
        <v>74</v>
      </c>
      <c r="B85" s="8" t="n">
        <v>34.524483</v>
      </c>
      <c r="C85" s="11">
        <f si="2" t="shared"/>
        <v>0</v>
      </c>
      <c r="E85" s="183">
        <v>74</v>
      </c>
      <c r="F85" s="273" t="n">
        <v>123.0</v>
      </c>
      <c r="G85" s="11">
        <f si="3" t="shared"/>
        <v>9.973165535931321E-4</v>
      </c>
    </row>
    <row r="86" spans="1:7" x14ac:dyDescent="0.25">
      <c r="A86">
        <v>75</v>
      </c>
      <c r="B86" s="8" t="n">
        <v>265.70914000000005</v>
      </c>
      <c r="C86" s="11">
        <f si="2" t="shared"/>
        <v>0</v>
      </c>
      <c r="E86" s="184">
        <v>75</v>
      </c>
      <c r="F86" s="274" t="n">
        <v>93.0</v>
      </c>
      <c r="G86" s="11">
        <f si="3" t="shared"/>
        <v>8.6434101311404785E-4</v>
      </c>
    </row>
    <row r="87" spans="1:7" x14ac:dyDescent="0.25">
      <c r="A87">
        <v>76</v>
      </c>
      <c r="B87" s="8" t="n">
        <v>181.65561</v>
      </c>
      <c r="C87" s="11">
        <f si="2" t="shared"/>
        <v>0</v>
      </c>
      <c r="E87" s="185">
        <v>76</v>
      </c>
      <c r="F87" s="275" t="n">
        <v>61.0</v>
      </c>
      <c r="G87" s="11">
        <f si="3" t="shared"/>
        <v>9.2019074011526322E-4</v>
      </c>
    </row>
    <row r="88" spans="1:7" x14ac:dyDescent="0.25">
      <c r="A88">
        <v>77</v>
      </c>
      <c r="B88" s="8" t="n">
        <v>121.444961</v>
      </c>
      <c r="C88" s="11">
        <f si="2" t="shared"/>
        <v>0</v>
      </c>
      <c r="E88" s="186">
        <v>77</v>
      </c>
      <c r="F88" s="276" t="n">
        <v>51.0</v>
      </c>
      <c r="G88" s="11">
        <f si="3" t="shared"/>
        <v>7.9785324287450562E-4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43.0</v>
      </c>
      <c r="G89" s="11">
        <f si="3" t="shared"/>
        <v>6.1700650782295103E-4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30.0</v>
      </c>
      <c r="G90" s="11">
        <f si="3" t="shared"/>
        <v>7.2604645101580017E-4</v>
      </c>
    </row>
    <row r="91" spans="1:7" x14ac:dyDescent="0.25">
      <c r="A91">
        <v>80</v>
      </c>
      <c r="B91" s="8" t="n">
        <v>0.0</v>
      </c>
      <c r="C91" s="11">
        <f si="2" t="shared"/>
        <v>2.2777255843364075E-4</v>
      </c>
      <c r="E91" s="189">
        <v>80</v>
      </c>
      <c r="F91" s="279" t="n">
        <v>73.0</v>
      </c>
      <c r="G91" s="11">
        <f si="3" t="shared"/>
        <v>6.5955868077625804E-4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34.0</v>
      </c>
      <c r="G92" s="11">
        <f si="3" t="shared"/>
        <v>5.7711384567922573E-4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37.0</v>
      </c>
      <c r="G93" s="11">
        <f si="3" t="shared"/>
        <v>4.8403096734386678E-4</v>
      </c>
    </row>
    <row r="94" spans="1:7" x14ac:dyDescent="0.25">
      <c r="A94">
        <v>83</v>
      </c>
      <c r="B94" s="8" t="n">
        <v>316.766747</v>
      </c>
      <c r="C94" s="11">
        <f si="2" t="shared"/>
        <v>0</v>
      </c>
      <c r="E94" s="192">
        <v>83</v>
      </c>
      <c r="F94" s="282" t="n">
        <v>45.0</v>
      </c>
      <c r="G94" s="11">
        <f si="3" t="shared"/>
        <v>5.1328558624926532E-4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33.0</v>
      </c>
      <c r="G95" s="11">
        <f si="3" t="shared"/>
        <v>4.3615977277139644E-4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34.0</v>
      </c>
      <c r="G96" s="11">
        <f si="3" t="shared"/>
        <v>4.6009537005763161E-4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12.0</v>
      </c>
      <c r="G97" s="11">
        <f si="3" t="shared"/>
        <v>4.467978160097232E-4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26.0</v>
      </c>
      <c r="G98" s="11">
        <f si="3" t="shared"/>
        <v>4.0956466467557956E-4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45.0</v>
      </c>
      <c r="G99" s="11">
        <f si="3" t="shared"/>
        <v>3.6435298091269094E-4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29.0</v>
      </c>
      <c r="G100" s="11">
        <f si="3" t="shared"/>
        <v>3.6169347010310923E-4</v>
      </c>
    </row>
    <row ht="15.75" r="101" spans="1:7" thickBot="1" x14ac:dyDescent="0.3">
      <c r="A101" s="1">
        <v>90</v>
      </c>
      <c r="B101" s="9" t="n">
        <v>78.567796</v>
      </c>
      <c r="C101" s="11">
        <f si="2" t="shared"/>
        <v>0</v>
      </c>
      <c r="E101" s="292">
        <v>90</v>
      </c>
      <c r="F101" s="292" t="n">
        <v>6095.0</v>
      </c>
      <c r="G101" s="11">
        <f si="3" t="shared"/>
        <v>1.3497017358627053E-2</v>
      </c>
    </row>
    <row r="102" spans="1:7" x14ac:dyDescent="0.25">
      <c r="B102" s="8">
        <f>SUM(B11:B101)</f>
        <v>344939.69133200013</v>
      </c>
      <c r="C102" s="11">
        <f si="2" t="shared"/>
        <v>1</v>
      </c>
      <c r="F102" s="8">
        <f>SUM(F11:F101)</f>
        <v>376009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F13" workbookViewId="0" zoomScaleNormal="100">
      <selection activeCell="AF48" sqref="AF48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8" bestFit="true" customWidth="true" width="10.5703125" collapsed="true"/>
    <col min="19" max="19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94">
        <v>1</v>
      </c>
      <c r="B7" s="12" t="n">
        <v>130161.632161</v>
      </c>
      <c r="C7" s="12" t="n">
        <v>0.0</v>
      </c>
      <c r="D7" s="12" t="n">
        <v>697.890619</v>
      </c>
      <c r="E7" s="12" t="n">
        <v>1110.387855</v>
      </c>
      <c r="F7" s="12" t="n">
        <v>2538.918279</v>
      </c>
      <c r="G7" s="12" t="n">
        <v>5616.01582</v>
      </c>
      <c r="H7" s="12" t="n">
        <v>786.890864</v>
      </c>
      <c r="I7" s="12"/>
      <c r="J7" s="12">
        <f ref="J7:J14" si="0" t="shared">SUM(B7:I7)</f>
        <v>33763.331853000003</v>
      </c>
      <c r="K7" s="12"/>
      <c r="L7">
        <f>$A$7</f>
        <v>1</v>
      </c>
      <c r="M7" s="343" t="n">
        <v>151530.0</v>
      </c>
      <c r="N7" s="343" t="n">
        <v>6.0</v>
      </c>
      <c r="O7" s="343" t="n">
        <v>58.0</v>
      </c>
      <c r="P7" s="343" t="n">
        <v>2536.0</v>
      </c>
      <c r="Q7" s="343" t="n">
        <v>649.0</v>
      </c>
      <c r="R7" s="343" t="n">
        <v>7177.0</v>
      </c>
      <c r="S7" s="343" t="n">
        <v>2028.0</v>
      </c>
      <c r="T7" s="291"/>
      <c r="U7" s="12">
        <f ref="U7:U14" si="1" t="shared">SUM(M7:T7)</f>
        <v>43615</v>
      </c>
    </row>
    <row r="8" spans="1:21" x14ac:dyDescent="0.25">
      <c r="A8">
        <v>2</v>
      </c>
      <c r="B8" s="12" t="n">
        <v>1534.755558</v>
      </c>
      <c r="C8" s="12" t="n">
        <v>16759.625962</v>
      </c>
      <c r="D8" s="12" t="n">
        <v>0.0</v>
      </c>
      <c r="E8" s="12" t="n">
        <v>155.450841</v>
      </c>
      <c r="F8" s="12" t="n">
        <v>0.0</v>
      </c>
      <c r="G8" s="12" t="n">
        <v>1720.9037779999999</v>
      </c>
      <c r="H8" s="12" t="n">
        <v>0.0</v>
      </c>
      <c r="I8" s="12"/>
      <c r="J8" s="12">
        <f si="0" t="shared"/>
        <v>59997.562356000002</v>
      </c>
      <c r="K8" s="12"/>
      <c r="L8">
        <f>$A$8</f>
        <v>2</v>
      </c>
      <c r="M8" s="343" t="n">
        <v>1325.0</v>
      </c>
      <c r="N8" s="343" t="n">
        <v>17475.0</v>
      </c>
      <c r="O8" s="343" t="n">
        <v>0.0</v>
      </c>
      <c r="P8" s="343" t="n">
        <v>379.0</v>
      </c>
      <c r="Q8" s="343" t="n">
        <v>4.0</v>
      </c>
      <c r="R8" s="343" t="n">
        <v>4524.0</v>
      </c>
      <c r="S8" s="343" t="n">
        <v>20.0</v>
      </c>
      <c r="T8" s="291"/>
      <c r="U8" s="12">
        <f si="1" t="shared"/>
        <v>64202</v>
      </c>
    </row>
    <row r="9" spans="1:21" x14ac:dyDescent="0.25">
      <c r="A9" s="294">
        <v>3</v>
      </c>
      <c r="B9" s="12" t="n">
        <v>960.855129</v>
      </c>
      <c r="C9" s="12" t="n">
        <v>0.0</v>
      </c>
      <c r="D9" s="12" t="n">
        <v>13085.219886</v>
      </c>
      <c r="E9" s="12" t="n">
        <v>0.0</v>
      </c>
      <c r="F9" s="12" t="n">
        <v>1439.823862</v>
      </c>
      <c r="G9" s="12" t="n">
        <v>0.0</v>
      </c>
      <c r="H9" s="12" t="n">
        <v>0.0</v>
      </c>
      <c r="I9" s="12"/>
      <c r="J9" s="12">
        <f si="0" t="shared"/>
        <v>34036.009189999997</v>
      </c>
      <c r="K9" s="13"/>
      <c r="L9">
        <f>$A$9</f>
        <v>3</v>
      </c>
      <c r="M9" s="343" t="n">
        <v>6651.0</v>
      </c>
      <c r="N9" s="343" t="n">
        <v>0.0</v>
      </c>
      <c r="O9" s="343" t="n">
        <v>9473.0</v>
      </c>
      <c r="P9" s="343" t="n">
        <v>50.0</v>
      </c>
      <c r="Q9" s="343" t="n">
        <v>776.0</v>
      </c>
      <c r="R9" s="343" t="n">
        <v>93.0</v>
      </c>
      <c r="S9" s="343" t="n">
        <v>63.0</v>
      </c>
      <c r="T9" s="291"/>
      <c r="U9" s="12">
        <f si="1" t="shared"/>
        <v>35696</v>
      </c>
    </row>
    <row r="10" spans="1:21" x14ac:dyDescent="0.25">
      <c r="A10">
        <v>4</v>
      </c>
      <c r="B10" s="12" t="n">
        <v>2958.90081</v>
      </c>
      <c r="C10" s="12" t="n">
        <v>0.0</v>
      </c>
      <c r="D10" s="12" t="n">
        <v>0.0</v>
      </c>
      <c r="E10" s="12" t="n">
        <v>53665.717083</v>
      </c>
      <c r="F10" s="12" t="n">
        <v>367.064602</v>
      </c>
      <c r="G10" s="12" t="n">
        <v>1465.73728</v>
      </c>
      <c r="H10" s="12" t="n">
        <v>1729.917532</v>
      </c>
      <c r="I10" s="12"/>
      <c r="J10" s="12">
        <f si="0" t="shared"/>
        <v>13911.618689999999</v>
      </c>
      <c r="K10" s="13"/>
      <c r="L10">
        <f>$A$10</f>
        <v>4</v>
      </c>
      <c r="M10" s="343" t="n">
        <v>2743.0</v>
      </c>
      <c r="N10" s="343" t="n">
        <v>13.0</v>
      </c>
      <c r="O10" s="343" t="n">
        <v>0.0</v>
      </c>
      <c r="P10" s="343" t="n">
        <v>65328.0</v>
      </c>
      <c r="Q10" s="343" t="n">
        <v>6.0</v>
      </c>
      <c r="R10" s="343" t="n">
        <v>502.0</v>
      </c>
      <c r="S10" s="343" t="n">
        <v>250.0</v>
      </c>
      <c r="T10" s="291"/>
      <c r="U10" s="12">
        <f si="1" t="shared"/>
        <v>13795</v>
      </c>
    </row>
    <row r="11" spans="1:21" x14ac:dyDescent="0.25">
      <c r="A11" s="294">
        <v>5</v>
      </c>
      <c r="B11" s="12" t="n">
        <v>4360.440871</v>
      </c>
      <c r="C11" s="12" t="n">
        <v>0.0</v>
      </c>
      <c r="D11" s="12" t="n">
        <v>1358.076741</v>
      </c>
      <c r="E11" s="12" t="n">
        <v>0.0</v>
      </c>
      <c r="F11" s="12" t="n">
        <v>34439.20866</v>
      </c>
      <c r="G11" s="12" t="n">
        <v>50.362862</v>
      </c>
      <c r="H11" s="12" t="n">
        <v>0.0</v>
      </c>
      <c r="I11" s="12"/>
      <c r="J11" s="12">
        <f si="0" t="shared"/>
        <v>139183.326596</v>
      </c>
      <c r="K11" s="13"/>
      <c r="L11">
        <f>$A$11</f>
        <v>5</v>
      </c>
      <c r="M11" s="343" t="n">
        <v>12226.0</v>
      </c>
      <c r="N11" s="343" t="n">
        <v>0.0</v>
      </c>
      <c r="O11" s="343" t="n">
        <v>1086.0</v>
      </c>
      <c r="P11" s="343" t="n">
        <v>191.0</v>
      </c>
      <c r="Q11" s="343" t="n">
        <v>29417.0</v>
      </c>
      <c r="R11" s="343" t="n">
        <v>150.0</v>
      </c>
      <c r="S11" s="343" t="n">
        <v>1174.0</v>
      </c>
      <c r="T11" s="291"/>
      <c r="U11" s="12">
        <f si="1" t="shared"/>
        <v>152594</v>
      </c>
    </row>
    <row r="12" spans="1:21" x14ac:dyDescent="0.25">
      <c r="A12">
        <v>6</v>
      </c>
      <c r="B12" s="12" t="n">
        <v>5961.216861</v>
      </c>
      <c r="C12" s="12" t="n">
        <v>209.936092</v>
      </c>
      <c r="D12" s="12" t="n">
        <v>0.0</v>
      </c>
      <c r="E12" s="12" t="n">
        <v>2615.701104</v>
      </c>
      <c r="F12" s="12" t="n">
        <v>0.0</v>
      </c>
      <c r="G12" s="12" t="n">
        <v>26920.430021</v>
      </c>
      <c r="H12" s="12" t="n">
        <v>0.0</v>
      </c>
      <c r="I12" s="12"/>
      <c r="J12" s="12">
        <f si="0" t="shared"/>
        <v>19823.840585999998</v>
      </c>
      <c r="K12" s="13"/>
      <c r="L12">
        <f>$A$12</f>
        <v>6</v>
      </c>
      <c r="M12" s="343" t="n">
        <v>6449.0</v>
      </c>
      <c r="N12" s="343" t="n">
        <v>2036.0</v>
      </c>
      <c r="O12" s="343" t="n">
        <v>1.0</v>
      </c>
      <c r="P12" s="343" t="n">
        <v>1364.0</v>
      </c>
      <c r="Q12" s="343" t="n">
        <v>11.0</v>
      </c>
      <c r="R12" s="343" t="n">
        <v>43517.0</v>
      </c>
      <c r="S12" s="343" t="n">
        <v>31.0</v>
      </c>
      <c r="T12" s="291"/>
      <c r="U12" s="12">
        <f si="1" t="shared"/>
        <v>19867</v>
      </c>
    </row>
    <row r="13" spans="1:21" x14ac:dyDescent="0.25">
      <c r="A13" s="294">
        <v>7</v>
      </c>
      <c r="B13" s="12" t="n">
        <v>6896.928968</v>
      </c>
      <c r="C13" s="12" t="n">
        <v>0.0</v>
      </c>
      <c r="D13" s="12" t="n">
        <v>0.0</v>
      </c>
      <c r="E13" s="12" t="n">
        <v>1177.724596</v>
      </c>
      <c r="F13" s="12" t="n">
        <v>0.0</v>
      </c>
      <c r="G13" s="12" t="n">
        <v>194.850335</v>
      </c>
      <c r="H13" s="12" t="n">
        <v>23999.1063</v>
      </c>
      <c r="I13" s="12"/>
      <c r="J13" s="12">
        <f si="0" t="shared"/>
        <v>28691.117595</v>
      </c>
      <c r="K13" s="13"/>
      <c r="L13">
        <v>7</v>
      </c>
      <c r="M13" s="343" t="n">
        <v>6177.0</v>
      </c>
      <c r="N13" s="343" t="n">
        <v>1.0</v>
      </c>
      <c r="O13" s="343" t="n">
        <v>4.0</v>
      </c>
      <c r="P13" s="343" t="n">
        <v>1911.0</v>
      </c>
      <c r="Q13" s="343" t="n">
        <v>196.0</v>
      </c>
      <c r="R13" s="343" t="n">
        <v>107.0</v>
      </c>
      <c r="S13" s="343" t="n">
        <v>23916.0</v>
      </c>
      <c r="T13" s="291"/>
      <c r="U13" s="12">
        <f si="1" t="shared"/>
        <v>26251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34242.238653000008</v>
      </c>
      <c r="C15" s="15">
        <f si="2" t="shared"/>
        <v>58682.274179</v>
      </c>
      <c r="D15" s="15">
        <f si="2" t="shared"/>
        <v>33149.901878999997</v>
      </c>
      <c r="E15" s="15">
        <f si="2" t="shared"/>
        <v>13591.250599999999</v>
      </c>
      <c r="F15" s="15">
        <f si="2" t="shared"/>
        <v>149639.14189100001</v>
      </c>
      <c r="G15" s="15">
        <f si="2" t="shared"/>
        <v>16759.625961999998</v>
      </c>
      <c r="H15" s="15">
        <f si="2" t="shared"/>
        <v>23342.373702000001</v>
      </c>
      <c r="I15" s="15">
        <f si="2" t="shared"/>
        <v>0</v>
      </c>
      <c r="J15" s="15">
        <f si="2" t="shared"/>
        <v>329406.806866</v>
      </c>
      <c r="K15" s="12"/>
      <c r="L15" s="15" t="s">
        <v>4</v>
      </c>
      <c r="M15" s="15">
        <f ref="M15:U15" si="3" t="shared">SUM(M7:M14)</f>
        <v>39809</v>
      </c>
      <c r="N15" s="15">
        <f si="3" t="shared"/>
        <v>60008</v>
      </c>
      <c r="O15" s="15">
        <f si="3" t="shared"/>
        <v>28827</v>
      </c>
      <c r="P15" s="15">
        <f si="3" t="shared"/>
        <v>10873</v>
      </c>
      <c r="Q15" s="15">
        <f si="3" t="shared"/>
        <v>174997</v>
      </c>
      <c r="R15" s="15">
        <f si="3" t="shared"/>
        <v>19747</v>
      </c>
      <c r="S15" s="15">
        <f si="3" t="shared"/>
        <v>21759</v>
      </c>
      <c r="T15" s="15">
        <f si="3" t="shared"/>
        <v>0</v>
      </c>
      <c r="U15" s="15">
        <f si="3" t="shared"/>
        <v>356020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2">
        <f ref="B20:I20" si="4" t="shared">IFERROR(($U7/$J7)*B7,0)</f>
        <v>33345.617864858119</v>
      </c>
      <c r="C20" s="12">
        <f si="4" t="shared"/>
        <v>3378.9261127326572</v>
      </c>
      <c r="D20" s="12">
        <f si="4" t="shared"/>
        <v>0</v>
      </c>
      <c r="E20" s="12">
        <f si="4" t="shared"/>
        <v>0</v>
      </c>
      <c r="F20" s="12">
        <f si="4" t="shared"/>
        <v>6890.456022409222</v>
      </c>
      <c r="G20" s="12">
        <f si="4" t="shared"/>
        <v>0</v>
      </c>
      <c r="H20" s="12">
        <f si="4" t="shared"/>
        <v>0</v>
      </c>
      <c r="I20" s="12">
        <f si="4" t="shared"/>
        <v>0</v>
      </c>
      <c r="J20" s="12">
        <f ref="J20:J27" si="5" t="shared">SUM(B20:I20)</f>
        <v>43614.999999999993</v>
      </c>
      <c r="K20" s="12"/>
      <c r="L20">
        <f>$A$7</f>
        <v>1</v>
      </c>
      <c r="M20" s="12">
        <f>M7</f>
        <v>30548</v>
      </c>
      <c r="N20" s="12">
        <f ref="N20:T20" si="6" t="shared">N7</f>
        <v>2192</v>
      </c>
      <c r="O20" s="12">
        <f si="6" t="shared"/>
        <v>512</v>
      </c>
      <c r="P20" s="12">
        <f si="6" t="shared"/>
        <v>16</v>
      </c>
      <c r="Q20" s="12">
        <f si="6" t="shared"/>
        <v>7700</v>
      </c>
      <c r="R20" s="12">
        <f si="6" t="shared"/>
        <v>2213</v>
      </c>
      <c r="S20" s="12">
        <f si="6" t="shared"/>
        <v>434</v>
      </c>
      <c r="T20" s="12">
        <f si="6" t="shared"/>
        <v>0</v>
      </c>
      <c r="U20" s="12">
        <f ref="U20:U25" si="7" t="shared">U7</f>
        <v>43615</v>
      </c>
    </row>
    <row r="21" spans="1:32" x14ac:dyDescent="0.25">
      <c r="A21">
        <f>$A$8</f>
        <v>2</v>
      </c>
      <c r="B21" s="12">
        <f ref="B21:G25" si="8" t="shared">IFERROR(($U8/$J8)*B8,0)</f>
        <v>1568.45146961457</v>
      </c>
      <c r="C21" s="12">
        <f si="8" t="shared"/>
        <v>57219.702146117976</v>
      </c>
      <c r="D21" s="12">
        <f si="8" t="shared"/>
        <v>392.78731755419852</v>
      </c>
      <c r="E21" s="12">
        <f si="8" t="shared"/>
        <v>0</v>
      </c>
      <c r="F21" s="12">
        <f si="8" t="shared"/>
        <v>3169.9144363621722</v>
      </c>
      <c r="G21" s="12">
        <f si="8" t="shared"/>
        <v>0</v>
      </c>
      <c r="H21" s="12">
        <f ref="H21:H25" si="9" t="shared">IFERROR(($U8/$J8)*H8,0)</f>
        <v>1851.1446303510884</v>
      </c>
      <c r="I21" s="12">
        <f>IFERROR(($U8/$J8)*I8,0)</f>
        <v>0</v>
      </c>
      <c r="J21" s="12">
        <f si="5" t="shared"/>
        <v>64202.000000000007</v>
      </c>
      <c r="K21" s="12"/>
      <c r="L21">
        <f>$A$8</f>
        <v>2</v>
      </c>
      <c r="M21" s="12">
        <f ref="M21:T21" si="10" t="shared">M8</f>
        <v>1197</v>
      </c>
      <c r="N21" s="12">
        <f si="10" t="shared"/>
        <v>48236</v>
      </c>
      <c r="O21" s="12">
        <f si="10" t="shared"/>
        <v>248</v>
      </c>
      <c r="P21" s="12">
        <f si="10" t="shared"/>
        <v>66</v>
      </c>
      <c r="Q21" s="12">
        <f si="10" t="shared"/>
        <v>11471</v>
      </c>
      <c r="R21" s="12">
        <f si="10" t="shared"/>
        <v>303</v>
      </c>
      <c r="S21" s="12">
        <f si="10" t="shared"/>
        <v>2681</v>
      </c>
      <c r="T21" s="12">
        <f si="10" t="shared"/>
        <v>0</v>
      </c>
      <c r="U21" s="12">
        <f si="7" t="shared"/>
        <v>64202</v>
      </c>
    </row>
    <row r="22" spans="1:32" x14ac:dyDescent="0.25">
      <c r="A22">
        <f>$A$9</f>
        <v>3</v>
      </c>
      <c r="B22" s="12">
        <f si="8" t="shared"/>
        <v>0</v>
      </c>
      <c r="C22" s="12">
        <f si="8" t="shared"/>
        <v>0</v>
      </c>
      <c r="D22" s="12">
        <f si="8" t="shared"/>
        <v>30639.705002116083</v>
      </c>
      <c r="E22" s="12">
        <f si="8" t="shared"/>
        <v>929.65405515992575</v>
      </c>
      <c r="F22" s="12">
        <f si="8" t="shared"/>
        <v>4126.6409427239905</v>
      </c>
      <c r="G22" s="12">
        <f si="8" t="shared"/>
        <v>0</v>
      </c>
      <c r="H22" s="12">
        <f si="9" t="shared"/>
        <v>0</v>
      </c>
      <c r="I22" s="12">
        <f>IFERROR(($U9/$J9)*I9,0)</f>
        <v>0</v>
      </c>
      <c r="J22" s="12">
        <f si="5" t="shared"/>
        <v>35696</v>
      </c>
      <c r="K22" s="13"/>
      <c r="L22">
        <f>$A$9</f>
        <v>3</v>
      </c>
      <c r="M22" s="12">
        <f ref="M22:T22" si="11" t="shared">M9</f>
        <v>660</v>
      </c>
      <c r="N22" s="12">
        <f si="11" t="shared"/>
        <v>382</v>
      </c>
      <c r="O22" s="12">
        <f si="11" t="shared"/>
        <v>20242</v>
      </c>
      <c r="P22" s="12">
        <f si="11" t="shared"/>
        <v>1509</v>
      </c>
      <c r="Q22" s="12">
        <f si="11" t="shared"/>
        <v>11683</v>
      </c>
      <c r="R22" s="12">
        <f si="11" t="shared"/>
        <v>12</v>
      </c>
      <c r="S22" s="12">
        <f si="11" t="shared"/>
        <v>1208</v>
      </c>
      <c r="T22" s="12">
        <f si="11" t="shared"/>
        <v>0</v>
      </c>
      <c r="U22" s="12">
        <f si="7" t="shared"/>
        <v>35696</v>
      </c>
    </row>
    <row r="23" spans="1:32" x14ac:dyDescent="0.25">
      <c r="A23">
        <f>$A$10</f>
        <v>4</v>
      </c>
      <c r="B23" s="12">
        <f si="8" t="shared"/>
        <v>0</v>
      </c>
      <c r="C23" s="12">
        <f si="8" t="shared"/>
        <v>0</v>
      </c>
      <c r="D23" s="12">
        <f si="8" t="shared"/>
        <v>1117.7410645863526</v>
      </c>
      <c r="E23" s="12">
        <f si="8" t="shared"/>
        <v>11906.286059145141</v>
      </c>
      <c r="F23" s="12">
        <f si="8" t="shared"/>
        <v>770.97287626850573</v>
      </c>
      <c r="G23" s="12">
        <f si="8" t="shared"/>
        <v>0</v>
      </c>
      <c r="H23" s="12">
        <f si="9" t="shared"/>
        <v>0</v>
      </c>
      <c r="I23" s="12">
        <f>IFERROR(($U10/$J10)*I10,0)</f>
        <v>0</v>
      </c>
      <c r="J23" s="12">
        <f si="5" t="shared"/>
        <v>13795</v>
      </c>
      <c r="K23" s="13"/>
      <c r="L23">
        <f>$A$10</f>
        <v>4</v>
      </c>
      <c r="M23" s="12">
        <f ref="M23:T23" si="12" t="shared">M10</f>
        <v>115</v>
      </c>
      <c r="N23" s="12">
        <f si="12" t="shared"/>
        <v>227</v>
      </c>
      <c r="O23" s="12">
        <f si="12" t="shared"/>
        <v>2071</v>
      </c>
      <c r="P23" s="12">
        <f si="12" t="shared"/>
        <v>8865</v>
      </c>
      <c r="Q23" s="12">
        <f si="12" t="shared"/>
        <v>2400</v>
      </c>
      <c r="R23" s="12">
        <f si="12" t="shared"/>
        <v>5</v>
      </c>
      <c r="S23" s="12">
        <f si="12" t="shared"/>
        <v>112</v>
      </c>
      <c r="T23" s="12">
        <f si="12" t="shared"/>
        <v>0</v>
      </c>
      <c r="U23" s="12">
        <f si="7" t="shared"/>
        <v>13795</v>
      </c>
    </row>
    <row r="24" spans="1:32" x14ac:dyDescent="0.25">
      <c r="A24">
        <f>$A$11</f>
        <v>5</v>
      </c>
      <c r="B24" s="12">
        <f si="8" t="shared"/>
        <v>5913.7979774044943</v>
      </c>
      <c r="C24" s="12">
        <f si="8" t="shared"/>
        <v>1382.3678510417315</v>
      </c>
      <c r="D24" s="12">
        <f si="8" t="shared"/>
        <v>2675.9744321235235</v>
      </c>
      <c r="E24" s="12">
        <f si="8" t="shared"/>
        <v>765.13418467716474</v>
      </c>
      <c r="F24" s="12">
        <f si="8" t="shared"/>
        <v>140994.01572134215</v>
      </c>
      <c r="G24" s="12">
        <f si="8" t="shared"/>
        <v>0</v>
      </c>
      <c r="H24" s="12">
        <f si="9" t="shared"/>
        <v>862.70983341094279</v>
      </c>
      <c r="I24" s="12">
        <f>IFERROR(($U11/$J11)*I11,0)</f>
        <v>0</v>
      </c>
      <c r="J24" s="12">
        <f si="5" t="shared"/>
        <v>152594</v>
      </c>
      <c r="K24" s="13"/>
      <c r="L24">
        <f>$A$11</f>
        <v>5</v>
      </c>
      <c r="M24" s="12">
        <f ref="M24:T24" si="13" t="shared">M11</f>
        <v>5677</v>
      </c>
      <c r="N24" s="12">
        <f si="13" t="shared"/>
        <v>4488</v>
      </c>
      <c r="O24" s="12">
        <f si="13" t="shared"/>
        <v>4373</v>
      </c>
      <c r="P24" s="12">
        <f si="13" t="shared"/>
        <v>358</v>
      </c>
      <c r="Q24" s="12">
        <f si="13" t="shared"/>
        <v>135469</v>
      </c>
      <c r="R24" s="12">
        <f si="13" t="shared"/>
        <v>55</v>
      </c>
      <c r="S24" s="12">
        <f si="13" t="shared"/>
        <v>2174</v>
      </c>
      <c r="T24" s="12">
        <f si="13" t="shared"/>
        <v>0</v>
      </c>
      <c r="U24" s="12">
        <f si="7" t="shared"/>
        <v>152594</v>
      </c>
    </row>
    <row r="25" spans="1:32" x14ac:dyDescent="0.25">
      <c r="A25">
        <f>$A$12</f>
        <v>6</v>
      </c>
      <c r="B25" s="12">
        <f si="8" t="shared"/>
        <v>1376.9996428115448</v>
      </c>
      <c r="C25" s="12">
        <f si="8" t="shared"/>
        <v>155.78928032381629</v>
      </c>
      <c r="D25" s="12">
        <f si="8" t="shared"/>
        <v>0</v>
      </c>
      <c r="E25" s="12">
        <f si="8" t="shared"/>
        <v>0</v>
      </c>
      <c r="F25" s="12">
        <f si="8" t="shared"/>
        <v>1538.096946376746</v>
      </c>
      <c r="G25" s="12">
        <f si="8" t="shared"/>
        <v>16796.114130487895</v>
      </c>
      <c r="H25" s="12">
        <f si="9" t="shared"/>
        <v>0</v>
      </c>
      <c r="I25" s="12">
        <f>IFERROR(($U12/$J12)*I12,0)</f>
        <v>0</v>
      </c>
      <c r="J25" s="12">
        <f si="5" t="shared"/>
        <v>19867</v>
      </c>
      <c r="K25" s="13"/>
      <c r="L25">
        <f>$A$12</f>
        <v>6</v>
      </c>
      <c r="M25" s="12">
        <f ref="M25:U26" si="14" t="shared">M12</f>
        <v>1193</v>
      </c>
      <c r="N25" s="12">
        <f si="14" t="shared"/>
        <v>746</v>
      </c>
      <c r="O25" s="12">
        <f si="14" t="shared"/>
        <v>73</v>
      </c>
      <c r="P25" s="12">
        <f si="14" t="shared"/>
        <v>0</v>
      </c>
      <c r="Q25" s="12">
        <f si="14" t="shared"/>
        <v>668</v>
      </c>
      <c r="R25" s="12">
        <f si="14" t="shared"/>
        <v>17130</v>
      </c>
      <c r="S25" s="12">
        <f si="14" t="shared"/>
        <v>57</v>
      </c>
      <c r="T25" s="12">
        <f si="14" t="shared"/>
        <v>0</v>
      </c>
      <c r="U25" s="12">
        <f si="7" t="shared"/>
        <v>19867</v>
      </c>
    </row>
    <row r="26" spans="1:32" x14ac:dyDescent="0.25">
      <c r="A26">
        <v>7</v>
      </c>
      <c r="B26" s="12">
        <f>IFERROR(($U13/$J13)*B13,0)</f>
        <v>178.2787347738728</v>
      </c>
      <c r="C26" s="12">
        <f ref="C26:J26" si="15" t="shared">IFERROR(($U13/$J13)*C13,0)</f>
        <v>1077.5616623238061</v>
      </c>
      <c r="D26" s="12">
        <f si="15" t="shared"/>
        <v>0</v>
      </c>
      <c r="E26" s="12">
        <f si="15" t="shared"/>
        <v>0</v>
      </c>
      <c r="F26" s="12">
        <f si="15" t="shared"/>
        <v>5940.7636548309929</v>
      </c>
      <c r="G26" s="12">
        <f si="15" t="shared"/>
        <v>0</v>
      </c>
      <c r="H26" s="12">
        <f si="15" t="shared"/>
        <v>19054.395948071331</v>
      </c>
      <c r="I26" s="12">
        <f si="15" t="shared"/>
        <v>0</v>
      </c>
      <c r="J26" s="12">
        <f si="15" t="shared"/>
        <v>26251</v>
      </c>
      <c r="K26" s="13"/>
      <c r="L26">
        <v>7</v>
      </c>
      <c r="M26" s="12">
        <f si="14" t="shared"/>
        <v>419</v>
      </c>
      <c r="N26" s="12">
        <f si="14" t="shared"/>
        <v>3737</v>
      </c>
      <c r="O26" s="12">
        <f si="14" t="shared"/>
        <v>1308</v>
      </c>
      <c r="P26" s="12">
        <f si="14" t="shared"/>
        <v>59</v>
      </c>
      <c r="Q26" s="12">
        <f si="14" t="shared"/>
        <v>5606</v>
      </c>
      <c r="R26" s="12">
        <f si="14" t="shared"/>
        <v>29</v>
      </c>
      <c r="S26" s="12">
        <f si="14" t="shared"/>
        <v>15093</v>
      </c>
      <c r="T26" s="12">
        <f si="14" t="shared"/>
        <v>0</v>
      </c>
      <c r="U26" s="12">
        <f si="14" t="shared"/>
        <v>26251</v>
      </c>
    </row>
    <row r="27" spans="1:32" x14ac:dyDescent="0.25">
      <c r="A27" s="7" t="s">
        <v>13</v>
      </c>
      <c r="B27" s="14">
        <f>IFERROR(($U14/$J14)*B14,0)</f>
        <v>0</v>
      </c>
      <c r="C27" s="14">
        <f ref="C27:I27" si="16" t="shared">IFERROR(($U14/$J14)*C14,0)</f>
        <v>0</v>
      </c>
      <c r="D27" s="14">
        <f si="16" t="shared"/>
        <v>0</v>
      </c>
      <c r="E27" s="14">
        <f si="16" t="shared"/>
        <v>0</v>
      </c>
      <c r="F27" s="14">
        <f si="16" t="shared"/>
        <v>0</v>
      </c>
      <c r="G27" s="14">
        <f si="16" t="shared"/>
        <v>0</v>
      </c>
      <c r="H27" s="14">
        <f si="16" t="shared"/>
        <v>0</v>
      </c>
      <c r="I27" s="14">
        <f si="16" t="shared"/>
        <v>0</v>
      </c>
      <c r="J27" s="14">
        <f si="5" t="shared"/>
        <v>0</v>
      </c>
      <c r="K27" s="12"/>
      <c r="L27" s="293" t="s">
        <v>13</v>
      </c>
      <c r="M27" s="14">
        <f ref="M27:T27" si="17" t="shared">M14</f>
        <v>0</v>
      </c>
      <c r="N27" s="14">
        <f si="17" t="shared"/>
        <v>0</v>
      </c>
      <c r="O27" s="14">
        <f si="17" t="shared"/>
        <v>0</v>
      </c>
      <c r="P27" s="14">
        <f si="17" t="shared"/>
        <v>0</v>
      </c>
      <c r="Q27" s="14">
        <f si="17" t="shared"/>
        <v>0</v>
      </c>
      <c r="R27" s="14">
        <f si="17" t="shared"/>
        <v>0</v>
      </c>
      <c r="S27" s="14">
        <f si="17" t="shared"/>
        <v>0</v>
      </c>
      <c r="T27" s="14">
        <f si="17" t="shared"/>
        <v>0</v>
      </c>
      <c r="U27" s="14">
        <f ref="U27:U28" si="18" t="shared">U14</f>
        <v>0</v>
      </c>
    </row>
    <row ht="15.75" r="28" spans="1:32" thickBot="1" x14ac:dyDescent="0.3">
      <c r="A28" s="1" t="s">
        <v>4</v>
      </c>
      <c r="B28" s="15">
        <f ref="B28:J28" si="19" t="shared">SUM(B20:B27)</f>
        <v>42383.145689462603</v>
      </c>
      <c r="C28" s="15">
        <f si="19" t="shared"/>
        <v>63214.347052539983</v>
      </c>
      <c r="D28" s="15">
        <f si="19" t="shared"/>
        <v>34826.207816380156</v>
      </c>
      <c r="E28" s="15">
        <f si="19" t="shared"/>
        <v>13601.074298982232</v>
      </c>
      <c r="F28" s="15">
        <f si="19" t="shared"/>
        <v>163430.86060031378</v>
      </c>
      <c r="G28" s="15">
        <f si="19" t="shared"/>
        <v>16796.114130487895</v>
      </c>
      <c r="H28" s="15">
        <f si="19" t="shared"/>
        <v>21768.250411833364</v>
      </c>
      <c r="I28" s="15">
        <f si="19" t="shared"/>
        <v>0</v>
      </c>
      <c r="J28" s="15">
        <f si="19" t="shared"/>
        <v>356020</v>
      </c>
      <c r="K28" s="12"/>
      <c r="L28" s="15" t="s">
        <v>4</v>
      </c>
      <c r="M28" s="15">
        <f ref="M28:T28" si="20" t="shared">M15</f>
        <v>39809</v>
      </c>
      <c r="N28" s="15">
        <f si="20" t="shared"/>
        <v>60008</v>
      </c>
      <c r="O28" s="15">
        <f si="20" t="shared"/>
        <v>28827</v>
      </c>
      <c r="P28" s="15">
        <f si="20" t="shared"/>
        <v>10873</v>
      </c>
      <c r="Q28" s="15">
        <f si="20" t="shared"/>
        <v>174997</v>
      </c>
      <c r="R28" s="15">
        <f si="20" t="shared"/>
        <v>19747</v>
      </c>
      <c r="S28" s="15">
        <f si="20" t="shared"/>
        <v>21759</v>
      </c>
      <c r="T28" s="15">
        <f si="20" t="shared"/>
        <v>0</v>
      </c>
      <c r="U28" s="15">
        <f si="18" t="shared"/>
        <v>356020</v>
      </c>
    </row>
    <row ht="15.75" r="31" spans="1:32" thickBot="1" x14ac:dyDescent="0.3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6">
        <f ref="B33:I33" si="21" t="shared">IFERROR(B20/$J$28,0)</f>
        <v>9.366220399095028E-2</v>
      </c>
      <c r="C33" s="16">
        <f si="21" t="shared"/>
        <v>9.490832292378678E-3</v>
      </c>
      <c r="D33" s="16">
        <f si="21" t="shared"/>
        <v>0</v>
      </c>
      <c r="E33" s="16">
        <f si="21" t="shared"/>
        <v>0</v>
      </c>
      <c r="F33" s="16">
        <f si="21" t="shared"/>
        <v>1.9354126235630643E-2</v>
      </c>
      <c r="G33" s="16">
        <f si="21" t="shared"/>
        <v>0</v>
      </c>
      <c r="H33" s="16">
        <f si="21" t="shared"/>
        <v>0</v>
      </c>
      <c r="I33" s="16">
        <f si="21" t="shared"/>
        <v>0</v>
      </c>
      <c r="J33" s="16">
        <f ref="J33:J38" si="22" t="shared">J20/$J$28</f>
        <v>0.12250716251895959</v>
      </c>
      <c r="K33" s="12"/>
      <c r="L33">
        <f>$A$7</f>
        <v>1</v>
      </c>
      <c r="M33" s="16">
        <f ref="M33:T33" si="23" t="shared">IFERROR(M20/$U$28,0)</f>
        <v>8.580416830515139E-2</v>
      </c>
      <c r="N33" s="16">
        <f si="23" t="shared"/>
        <v>6.1569574742991965E-3</v>
      </c>
      <c r="O33" s="16">
        <f si="23" t="shared"/>
        <v>1.4381214538509073E-3</v>
      </c>
      <c r="P33" s="16">
        <f si="23" t="shared"/>
        <v>4.4941295432840852E-5</v>
      </c>
      <c r="Q33" s="16">
        <f si="23" t="shared"/>
        <v>2.1627998427054661E-2</v>
      </c>
      <c r="R33" s="16">
        <f si="23" t="shared"/>
        <v>6.2159429245548002E-3</v>
      </c>
      <c r="S33" s="16">
        <f si="23" t="shared"/>
        <v>1.2190326386158081E-3</v>
      </c>
      <c r="T33" s="16">
        <f si="23" t="shared"/>
        <v>0</v>
      </c>
      <c r="U33" s="16">
        <f ref="U33:U38" si="24" t="shared">U20/$U$28</f>
        <v>0.12250716251895961</v>
      </c>
      <c r="W33">
        <f>$A$7</f>
        <v>1</v>
      </c>
      <c r="X33" s="16">
        <f ref="X33:AD33" si="25" t="shared">M33-B33</f>
        <v>-7.8580356857988892E-3</v>
      </c>
      <c r="Y33" s="16">
        <f si="25" t="shared"/>
        <v>-3.3338748180794815E-3</v>
      </c>
      <c r="Z33" s="16">
        <f si="25" t="shared"/>
        <v>1.4381214538509073E-3</v>
      </c>
      <c r="AA33" s="16">
        <f si="25" t="shared"/>
        <v>4.4941295432840852E-5</v>
      </c>
      <c r="AB33" s="16">
        <f si="25" t="shared"/>
        <v>2.2738721914240187E-3</v>
      </c>
      <c r="AC33" s="16">
        <f si="25" t="shared"/>
        <v>6.2159429245548002E-3</v>
      </c>
      <c r="AD33" s="16">
        <f si="25" t="shared"/>
        <v>1.2190326386158081E-3</v>
      </c>
      <c r="AE33" s="16">
        <f ref="AE33" si="26" t="shared">T33-I33</f>
        <v>0</v>
      </c>
      <c r="AF33" s="16">
        <f ref="AF33:AF41" si="27" t="shared">U33-J33</f>
        <v>0</v>
      </c>
    </row>
    <row r="34" spans="1:32" x14ac:dyDescent="0.25">
      <c r="A34">
        <f>$A$8</f>
        <v>2</v>
      </c>
      <c r="B34" s="16">
        <f ref="B34:G38" si="28" t="shared">IFERROR(B21/$J$28,0)</f>
        <v>4.4055150542513626E-3</v>
      </c>
      <c r="C34" s="16">
        <f si="28" t="shared"/>
        <v>0.16072047117049035</v>
      </c>
      <c r="D34" s="16">
        <f si="28" t="shared"/>
        <v>1.1032731800297694E-3</v>
      </c>
      <c r="E34" s="16">
        <f si="28" t="shared"/>
        <v>0</v>
      </c>
      <c r="F34" s="16">
        <f si="28" t="shared"/>
        <v>8.9037538238362236E-3</v>
      </c>
      <c r="G34" s="16">
        <f si="28" t="shared"/>
        <v>0</v>
      </c>
      <c r="H34" s="16">
        <f ref="H34:H38" si="29" t="shared">IFERROR(H21/$J$28,0)</f>
        <v>5.1995523575953271E-3</v>
      </c>
      <c r="I34" s="16">
        <f>IFERROR(I21/$J$28,0)</f>
        <v>0</v>
      </c>
      <c r="J34" s="16">
        <f si="22" t="shared"/>
        <v>0.18033256558620303</v>
      </c>
      <c r="K34" s="12"/>
      <c r="L34">
        <f>$A$8</f>
        <v>2</v>
      </c>
      <c r="M34" s="16">
        <f ref="M34:R38" si="30" t="shared">IFERROR(M21/$U$28,0)</f>
        <v>3.3621706645694063E-3</v>
      </c>
      <c r="N34" s="16">
        <f si="30" t="shared"/>
        <v>0.13548677040615695</v>
      </c>
      <c r="O34" s="16">
        <f si="30" t="shared"/>
        <v>6.9659007920903318E-4</v>
      </c>
      <c r="P34" s="16">
        <f si="30" t="shared"/>
        <v>1.8538284366046852E-4</v>
      </c>
      <c r="Q34" s="16">
        <f si="30" t="shared"/>
        <v>3.2220099994382335E-2</v>
      </c>
      <c r="R34" s="16">
        <f si="30" t="shared"/>
        <v>8.5107578225942365E-4</v>
      </c>
      <c r="S34" s="16">
        <f ref="S34:S38" si="31" t="shared">IFERROR(S21/$U$28,0)</f>
        <v>7.5304758159653951E-3</v>
      </c>
      <c r="T34" s="16">
        <f>IFERROR(T21/$U$28,0)</f>
        <v>0</v>
      </c>
      <c r="U34" s="16">
        <f si="24" t="shared"/>
        <v>0.18033256558620303</v>
      </c>
      <c r="W34">
        <f>$A$8</f>
        <v>2</v>
      </c>
      <c r="X34" s="16">
        <f ref="X34:X40" si="32" t="shared">M34-B34</f>
        <v>-1.0433443896819563E-3</v>
      </c>
      <c r="Y34" s="16">
        <f ref="Y34:Y40" si="33" t="shared">N34-C34</f>
        <v>-2.52337007643334E-2</v>
      </c>
      <c r="Z34" s="16">
        <f ref="Z34:Z40" si="34" t="shared">O34-D34</f>
        <v>-4.0668310082073622E-4</v>
      </c>
      <c r="AA34" s="16">
        <f ref="AA34:AA40" si="35" t="shared">P34-E34</f>
        <v>1.8538284366046852E-4</v>
      </c>
      <c r="AB34" s="16">
        <f ref="AB34:AB40" si="36" t="shared">Q34-F34</f>
        <v>2.3316346170546114E-2</v>
      </c>
      <c r="AC34" s="16">
        <f ref="AC34:AD40" si="37" t="shared">R34-G34</f>
        <v>8.5107578225942365E-4</v>
      </c>
      <c r="AD34" s="16">
        <f ref="AD34:AD38" si="38" t="shared">S34-H34</f>
        <v>2.330923458370068E-3</v>
      </c>
      <c r="AE34" s="16">
        <f ref="AE34:AE40" si="39" t="shared">T34-I34</f>
        <v>0</v>
      </c>
      <c r="AF34" s="16">
        <f si="27" t="shared"/>
        <v>0</v>
      </c>
    </row>
    <row r="35" spans="1:32" x14ac:dyDescent="0.25">
      <c r="A35">
        <f>$A$9</f>
        <v>3</v>
      </c>
      <c r="B35" s="16">
        <f si="28" t="shared"/>
        <v>0</v>
      </c>
      <c r="C35" s="16">
        <f si="28" t="shared"/>
        <v>0</v>
      </c>
      <c r="D35" s="16">
        <f si="28" t="shared"/>
        <v>8.6061752154699411E-2</v>
      </c>
      <c r="E35" s="16">
        <f si="28" t="shared"/>
        <v>2.6112410964550469E-3</v>
      </c>
      <c r="F35" s="16">
        <f si="28" t="shared"/>
        <v>1.1591036859513484E-2</v>
      </c>
      <c r="G35" s="16">
        <f si="28" t="shared"/>
        <v>0</v>
      </c>
      <c r="H35" s="16">
        <f si="29" t="shared"/>
        <v>0</v>
      </c>
      <c r="I35" s="16">
        <f>IFERROR(I22/$J$28,0)</f>
        <v>0</v>
      </c>
      <c r="J35" s="16">
        <f si="22" t="shared"/>
        <v>0.10026403011066794</v>
      </c>
      <c r="K35" s="13"/>
      <c r="L35">
        <f>$A$9</f>
        <v>3</v>
      </c>
      <c r="M35" s="16">
        <f si="30" t="shared"/>
        <v>1.8538284366046852E-3</v>
      </c>
      <c r="N35" s="16">
        <f si="30" t="shared"/>
        <v>1.0729734284590754E-3</v>
      </c>
      <c r="O35" s="16">
        <f si="30" t="shared"/>
        <v>5.6856356384472784E-2</v>
      </c>
      <c r="P35" s="16">
        <f si="30" t="shared"/>
        <v>4.2385259255098024E-3</v>
      </c>
      <c r="Q35" s="16">
        <f si="30" t="shared"/>
        <v>3.2815572158867476E-2</v>
      </c>
      <c r="R35" s="16">
        <f si="30" t="shared"/>
        <v>3.3705971574630641E-5</v>
      </c>
      <c r="S35" s="16">
        <f si="31" t="shared"/>
        <v>3.3930678051794843E-3</v>
      </c>
      <c r="T35" s="16">
        <f>IFERROR(T22/$U$28,0)</f>
        <v>0</v>
      </c>
      <c r="U35" s="16">
        <f si="24" t="shared"/>
        <v>0.10026403011066794</v>
      </c>
      <c r="W35">
        <f>$A$9</f>
        <v>3</v>
      </c>
      <c r="X35" s="16">
        <f si="32" t="shared"/>
        <v>1.8538284366046852E-3</v>
      </c>
      <c r="Y35" s="16">
        <f si="33" t="shared"/>
        <v>1.0729734284590754E-3</v>
      </c>
      <c r="Z35" s="16">
        <f si="34" t="shared"/>
        <v>-2.9205395770226628E-2</v>
      </c>
      <c r="AA35" s="16">
        <f si="35" t="shared"/>
        <v>1.6272848290547555E-3</v>
      </c>
      <c r="AB35" s="16">
        <f si="36" t="shared"/>
        <v>2.1224535299353992E-2</v>
      </c>
      <c r="AC35" s="16">
        <f si="37" t="shared"/>
        <v>3.3705971574630641E-5</v>
      </c>
      <c r="AD35" s="16">
        <f si="38" t="shared"/>
        <v>3.3930678051794843E-3</v>
      </c>
      <c r="AE35" s="16">
        <f si="39" t="shared"/>
        <v>0</v>
      </c>
      <c r="AF35" s="16">
        <f si="27" t="shared"/>
        <v>0</v>
      </c>
    </row>
    <row r="36" spans="1:32" x14ac:dyDescent="0.25">
      <c r="A36">
        <f>$A$10</f>
        <v>4</v>
      </c>
      <c r="B36" s="16">
        <f si="28" t="shared"/>
        <v>0</v>
      </c>
      <c r="C36" s="16">
        <f si="28" t="shared"/>
        <v>0</v>
      </c>
      <c r="D36" s="16">
        <f si="28" t="shared"/>
        <v>3.1395457125620828E-3</v>
      </c>
      <c r="E36" s="16">
        <f si="28" t="shared"/>
        <v>3.3442744955747263E-2</v>
      </c>
      <c r="F36" s="16">
        <f si="28" t="shared"/>
        <v>2.1655324876931233E-3</v>
      </c>
      <c r="G36" s="16">
        <f si="28" t="shared"/>
        <v>0</v>
      </c>
      <c r="H36" s="16">
        <f si="29" t="shared"/>
        <v>0</v>
      </c>
      <c r="I36" s="16">
        <f>IFERROR(I23/$J$28,0)</f>
        <v>0</v>
      </c>
      <c r="J36" s="16">
        <f si="22" t="shared"/>
        <v>3.8747823156002469E-2</v>
      </c>
      <c r="K36" s="13"/>
      <c r="L36">
        <f>$A$10</f>
        <v>4</v>
      </c>
      <c r="M36" s="16">
        <f si="30" t="shared"/>
        <v>3.2301556092354363E-4</v>
      </c>
      <c r="N36" s="16">
        <f si="30" t="shared"/>
        <v>6.3760462895342954E-4</v>
      </c>
      <c r="O36" s="16">
        <f si="30" t="shared"/>
        <v>5.8170889275883375E-3</v>
      </c>
      <c r="P36" s="16">
        <f si="30" t="shared"/>
        <v>2.4900286500758383E-2</v>
      </c>
      <c r="Q36" s="16">
        <f si="30" t="shared"/>
        <v>6.7411943149261275E-3</v>
      </c>
      <c r="R36" s="16">
        <f si="30" t="shared"/>
        <v>1.4044154822762766E-5</v>
      </c>
      <c r="S36" s="16">
        <f si="31" t="shared"/>
        <v>3.1458906802988597E-4</v>
      </c>
      <c r="T36" s="16">
        <f>IFERROR(T23/$U$28,0)</f>
        <v>0</v>
      </c>
      <c r="U36" s="16">
        <f si="24" t="shared"/>
        <v>3.8747823156002469E-2</v>
      </c>
      <c r="W36">
        <f>$A$10</f>
        <v>4</v>
      </c>
      <c r="X36" s="16">
        <f si="32" t="shared"/>
        <v>3.2301556092354363E-4</v>
      </c>
      <c r="Y36" s="16">
        <f si="33" t="shared"/>
        <v>6.3760462895342954E-4</v>
      </c>
      <c r="Z36" s="16">
        <f si="34" t="shared"/>
        <v>2.6775432150262547E-3</v>
      </c>
      <c r="AA36" s="16">
        <f si="35" t="shared"/>
        <v>-8.5424584549888792E-3</v>
      </c>
      <c r="AB36" s="16">
        <f si="36" t="shared"/>
        <v>4.5756618272330043E-3</v>
      </c>
      <c r="AC36" s="16">
        <f si="37" t="shared"/>
        <v>1.4044154822762766E-5</v>
      </c>
      <c r="AD36" s="16">
        <f si="38" t="shared"/>
        <v>3.1458906802988597E-4</v>
      </c>
      <c r="AE36" s="16">
        <f si="39" t="shared"/>
        <v>0</v>
      </c>
      <c r="AF36" s="16">
        <f si="27" t="shared"/>
        <v>0</v>
      </c>
    </row>
    <row r="37" spans="1:32" x14ac:dyDescent="0.25">
      <c r="A37">
        <f>$A$11</f>
        <v>5</v>
      </c>
      <c r="B37" s="16">
        <f si="28" t="shared"/>
        <v>1.6610858877042004E-2</v>
      </c>
      <c r="C37" s="16">
        <f si="28" t="shared"/>
        <v>3.8828376244079868E-3</v>
      </c>
      <c r="D37" s="16">
        <f si="28" t="shared"/>
        <v>7.5163598452994869E-3</v>
      </c>
      <c r="E37" s="16">
        <f si="28" t="shared"/>
        <v>2.1491325899588918E-3</v>
      </c>
      <c r="F37" s="16">
        <f si="28" t="shared"/>
        <v>0.3960283571747153</v>
      </c>
      <c r="G37" s="16">
        <f si="28" t="shared"/>
        <v>0</v>
      </c>
      <c r="H37" s="16">
        <f si="29" t="shared"/>
        <v>2.4232060935086308E-3</v>
      </c>
      <c r="I37" s="16">
        <f>IFERROR(I24/$J$28,0)</f>
        <v>0</v>
      </c>
      <c r="J37" s="16">
        <f si="22" t="shared"/>
        <v>0.42861075220493233</v>
      </c>
      <c r="K37" s="13"/>
      <c r="L37">
        <f>$A$11</f>
        <v>5</v>
      </c>
      <c r="M37" s="16">
        <f si="30" t="shared"/>
        <v>1.5945733385764844E-2</v>
      </c>
      <c r="N37" s="16">
        <f si="30" t="shared"/>
        <v>1.2606033368911859E-2</v>
      </c>
      <c r="O37" s="16">
        <f si="30" t="shared"/>
        <v>1.2283017807988315E-2</v>
      </c>
      <c r="P37" s="16">
        <f si="30" t="shared"/>
        <v>1.0055614853098141E-3</v>
      </c>
      <c r="Q37" s="16">
        <f si="30" t="shared"/>
        <v>0.38050952193696985</v>
      </c>
      <c r="R37" s="16">
        <f si="30" t="shared"/>
        <v>1.5448570305039042E-4</v>
      </c>
      <c r="S37" s="16">
        <f si="31" t="shared"/>
        <v>6.1063985169372507E-3</v>
      </c>
      <c r="T37" s="16">
        <f>IFERROR(T24/$U$28,0)</f>
        <v>0</v>
      </c>
      <c r="U37" s="16">
        <f si="24" t="shared"/>
        <v>0.42861075220493233</v>
      </c>
      <c r="W37">
        <f>$A$11</f>
        <v>5</v>
      </c>
      <c r="X37" s="16">
        <f si="32" t="shared"/>
        <v>-6.6512549127716036E-4</v>
      </c>
      <c r="Y37" s="16">
        <f si="33" t="shared"/>
        <v>8.7231957445038713E-3</v>
      </c>
      <c r="Z37" s="16">
        <f si="34" t="shared"/>
        <v>4.7666579626888285E-3</v>
      </c>
      <c r="AA37" s="16">
        <f si="35" t="shared"/>
        <v>-1.1435711046490777E-3</v>
      </c>
      <c r="AB37" s="16">
        <f si="36" t="shared"/>
        <v>-1.5518835237745443E-2</v>
      </c>
      <c r="AC37" s="16">
        <f si="37" t="shared"/>
        <v>1.5448570305039042E-4</v>
      </c>
      <c r="AD37" s="16">
        <f si="38" t="shared"/>
        <v>3.6831924234286199E-3</v>
      </c>
      <c r="AE37" s="16">
        <f si="39" t="shared"/>
        <v>0</v>
      </c>
      <c r="AF37" s="16">
        <f si="27" t="shared"/>
        <v>0</v>
      </c>
    </row>
    <row r="38" spans="1:32" x14ac:dyDescent="0.25">
      <c r="A38">
        <f>$A$12</f>
        <v>6</v>
      </c>
      <c r="B38" s="16">
        <f si="28" t="shared"/>
        <v>3.8677592349068727E-3</v>
      </c>
      <c r="C38" s="16">
        <f si="28" t="shared"/>
        <v>4.3758575451889299E-4</v>
      </c>
      <c r="D38" s="16">
        <f si="28" t="shared"/>
        <v>0</v>
      </c>
      <c r="E38" s="16">
        <f si="28" t="shared"/>
        <v>0</v>
      </c>
      <c r="F38" s="16">
        <f si="28" t="shared"/>
        <v>4.3202543294667325E-3</v>
      </c>
      <c r="G38" s="16">
        <f si="28" t="shared"/>
        <v>4.7177445453873083E-2</v>
      </c>
      <c r="H38" s="16">
        <f si="29" t="shared"/>
        <v>0</v>
      </c>
      <c r="I38" s="16">
        <f>IFERROR(I25/$J$28,0)</f>
        <v>0</v>
      </c>
      <c r="J38" s="16">
        <f si="22" t="shared"/>
        <v>5.5803044772765577E-2</v>
      </c>
      <c r="K38" s="13"/>
      <c r="L38">
        <f>$A$12</f>
        <v>6</v>
      </c>
      <c r="M38" s="16">
        <f si="30" t="shared"/>
        <v>3.350935340711196E-3</v>
      </c>
      <c r="N38" s="16">
        <f si="30" t="shared"/>
        <v>2.0953878995562049E-3</v>
      </c>
      <c r="O38" s="16">
        <f si="30" t="shared"/>
        <v>2.0504466041233637E-4</v>
      </c>
      <c r="P38" s="16">
        <f si="30" t="shared"/>
        <v>0</v>
      </c>
      <c r="Q38" s="16">
        <f si="30" t="shared"/>
        <v>1.8762990843211055E-3</v>
      </c>
      <c r="R38" s="16">
        <f si="30" t="shared"/>
        <v>4.8115274422785237E-2</v>
      </c>
      <c r="S38" s="16">
        <f si="31" t="shared"/>
        <v>1.6010336497949553E-4</v>
      </c>
      <c r="T38" s="16">
        <f>IFERROR(T25/$U$28,0)</f>
        <v>0</v>
      </c>
      <c r="U38" s="16">
        <f si="24" t="shared"/>
        <v>5.5803044772765577E-2</v>
      </c>
      <c r="W38">
        <f>$A$12</f>
        <v>6</v>
      </c>
      <c r="X38" s="16">
        <f si="32" t="shared"/>
        <v>-5.1682389419567673E-4</v>
      </c>
      <c r="Y38" s="16">
        <f si="33" t="shared"/>
        <v>1.6578021450373119E-3</v>
      </c>
      <c r="Z38" s="16">
        <f si="34" t="shared"/>
        <v>2.0504466041233637E-4</v>
      </c>
      <c r="AA38" s="16">
        <f si="35" t="shared"/>
        <v>0</v>
      </c>
      <c r="AB38" s="16">
        <f si="36" t="shared"/>
        <v>-2.4439552451456271E-3</v>
      </c>
      <c r="AC38" s="16">
        <f si="37" t="shared"/>
        <v>9.3782896891215356E-4</v>
      </c>
      <c r="AD38" s="16">
        <f si="38" t="shared"/>
        <v>1.6010336497949553E-4</v>
      </c>
      <c r="AE38" s="16">
        <f si="39" t="shared"/>
        <v>0</v>
      </c>
      <c r="AF38" s="16">
        <f si="27" t="shared"/>
        <v>0</v>
      </c>
    </row>
    <row r="39" spans="1:32" x14ac:dyDescent="0.25">
      <c r="A39">
        <v>7</v>
      </c>
      <c r="B39" s="16">
        <f>IFERROR(B26/$J$28,0)</f>
        <v>5.0075483055410592E-4</v>
      </c>
      <c r="C39" s="16">
        <f ref="C39:J39" si="40" t="shared">IFERROR(C26/$J$28,0)</f>
        <v>3.0266885633498291E-3</v>
      </c>
      <c r="D39" s="16">
        <f si="40" t="shared"/>
        <v>0</v>
      </c>
      <c r="E39" s="16">
        <f si="40" t="shared"/>
        <v>0</v>
      </c>
      <c r="F39" s="16">
        <f si="40" t="shared"/>
        <v>1.668660090677769E-2</v>
      </c>
      <c r="G39" s="16">
        <f si="40" t="shared"/>
        <v>0</v>
      </c>
      <c r="H39" s="16">
        <f si="40" t="shared"/>
        <v>5.3520577349787456E-2</v>
      </c>
      <c r="I39" s="16">
        <f si="40" t="shared"/>
        <v>0</v>
      </c>
      <c r="J39" s="16">
        <f si="40" t="shared"/>
        <v>7.3734621650469082E-2</v>
      </c>
      <c r="K39" s="13"/>
      <c r="L39">
        <v>7</v>
      </c>
      <c r="M39" s="16">
        <f>IFERROR(M26/$U$28,0)</f>
        <v>1.1769001741475198E-3</v>
      </c>
      <c r="N39" s="16">
        <f ref="N39:U39" si="41" t="shared">IFERROR(N26/$U$28,0)</f>
        <v>1.0496601314532891E-2</v>
      </c>
      <c r="O39" s="16">
        <f si="41" t="shared"/>
        <v>3.6739509016347396E-3</v>
      </c>
      <c r="P39" s="16">
        <f si="41" t="shared"/>
        <v>1.6572102690860064E-4</v>
      </c>
      <c r="Q39" s="16">
        <f si="41" t="shared"/>
        <v>1.5746306387281615E-2</v>
      </c>
      <c r="R39" s="16">
        <f si="41" t="shared"/>
        <v>8.1456097972024049E-5</v>
      </c>
      <c r="S39" s="16">
        <f si="41" t="shared"/>
        <v>4.2393685747991683E-2</v>
      </c>
      <c r="T39" s="16">
        <f si="41" t="shared"/>
        <v>0</v>
      </c>
      <c r="U39" s="16">
        <f si="41" t="shared"/>
        <v>7.3734621650469082E-2</v>
      </c>
      <c r="W39">
        <v>7</v>
      </c>
      <c r="X39" s="16">
        <f si="32" t="shared"/>
        <v>6.7614534359341388E-4</v>
      </c>
      <c r="Y39" s="16">
        <f si="33" t="shared"/>
        <v>7.4699127511830615E-3</v>
      </c>
      <c r="Z39" s="16">
        <f si="34" t="shared"/>
        <v>3.6739509016347396E-3</v>
      </c>
      <c r="AA39" s="16">
        <f si="35" t="shared"/>
        <v>1.6572102690860064E-4</v>
      </c>
      <c r="AB39" s="16">
        <f si="36" t="shared"/>
        <v>-9.4029451949607587E-4</v>
      </c>
      <c r="AC39" s="16">
        <f si="37" t="shared"/>
        <v>8.1456097972024049E-5</v>
      </c>
      <c r="AD39" s="16">
        <f ref="AD39" si="42" t="shared">S39-H39</f>
        <v>-1.1126891601795773E-2</v>
      </c>
      <c r="AE39" s="16">
        <f si="39" t="shared"/>
        <v>0</v>
      </c>
      <c r="AF39" s="16">
        <f si="27" t="shared"/>
        <v>0</v>
      </c>
    </row>
    <row r="40" spans="1:32" x14ac:dyDescent="0.25">
      <c r="A40" s="7" t="s">
        <v>13</v>
      </c>
      <c r="B40" s="17">
        <f>IFERROR(B27/$J$28,0)</f>
        <v>0</v>
      </c>
      <c r="C40" s="17">
        <f ref="C40:I40" si="43" t="shared">IFERROR(C27/$J$28,0)</f>
        <v>0</v>
      </c>
      <c r="D40" s="17">
        <f si="43" t="shared"/>
        <v>0</v>
      </c>
      <c r="E40" s="17">
        <f si="43" t="shared"/>
        <v>0</v>
      </c>
      <c r="F40" s="17">
        <f si="43" t="shared"/>
        <v>0</v>
      </c>
      <c r="G40" s="17">
        <f si="43" t="shared"/>
        <v>0</v>
      </c>
      <c r="H40" s="17">
        <f si="43" t="shared"/>
        <v>0</v>
      </c>
      <c r="I40" s="17">
        <f si="43" t="shared"/>
        <v>0</v>
      </c>
      <c r="J40" s="17">
        <f>J27/$J$28</f>
        <v>0</v>
      </c>
      <c r="K40" s="12"/>
      <c r="L40" s="293" t="s">
        <v>13</v>
      </c>
      <c r="M40" s="17">
        <f>IFERROR(M27/$U$28,0)</f>
        <v>0</v>
      </c>
      <c r="N40" s="17">
        <f ref="N40:T40" si="44" t="shared">IFERROR(N27/$U$28,0)</f>
        <v>0</v>
      </c>
      <c r="O40" s="17">
        <f si="44" t="shared"/>
        <v>0</v>
      </c>
      <c r="P40" s="17">
        <f si="44" t="shared"/>
        <v>0</v>
      </c>
      <c r="Q40" s="17">
        <f si="44" t="shared"/>
        <v>0</v>
      </c>
      <c r="R40" s="17">
        <f si="44" t="shared"/>
        <v>0</v>
      </c>
      <c r="S40" s="17">
        <f si="44" t="shared"/>
        <v>0</v>
      </c>
      <c r="T40" s="17">
        <f si="44" t="shared"/>
        <v>0</v>
      </c>
      <c r="U40" s="17">
        <f>U27/$U$28</f>
        <v>0</v>
      </c>
      <c r="W40" s="293" t="s">
        <v>13</v>
      </c>
      <c r="X40" s="17">
        <f si="32" t="shared"/>
        <v>0</v>
      </c>
      <c r="Y40" s="17">
        <f si="33" t="shared"/>
        <v>0</v>
      </c>
      <c r="Z40" s="17">
        <f si="34" t="shared"/>
        <v>0</v>
      </c>
      <c r="AA40" s="17">
        <f si="35" t="shared"/>
        <v>0</v>
      </c>
      <c r="AB40" s="17">
        <f si="36" t="shared"/>
        <v>0</v>
      </c>
      <c r="AC40" s="17">
        <f si="37" t="shared"/>
        <v>0</v>
      </c>
      <c r="AD40" s="17">
        <f si="37" t="shared"/>
        <v>0</v>
      </c>
      <c r="AE40" s="17">
        <f si="39" t="shared"/>
        <v>0</v>
      </c>
      <c r="AF40" s="17">
        <f si="27" t="shared"/>
        <v>0</v>
      </c>
    </row>
    <row ht="15.75" r="41" spans="1:32" thickBot="1" x14ac:dyDescent="0.3">
      <c r="A41" s="1" t="s">
        <v>4</v>
      </c>
      <c r="B41" s="18">
        <f ref="B41:I41" si="45" t="shared">B28/$J$28</f>
        <v>0.11904709198770463</v>
      </c>
      <c r="C41" s="18">
        <f si="45" t="shared"/>
        <v>0.17755841540514572</v>
      </c>
      <c r="D41" s="18">
        <f si="45" t="shared"/>
        <v>9.7820930892590738E-2</v>
      </c>
      <c r="E41" s="18">
        <f si="45" t="shared"/>
        <v>3.8203118642161207E-2</v>
      </c>
      <c r="F41" s="18">
        <f si="45" t="shared"/>
        <v>0.45904966181763324</v>
      </c>
      <c r="G41" s="18">
        <f si="45" t="shared"/>
        <v>4.7177445453873083E-2</v>
      </c>
      <c r="H41" s="18">
        <f si="45" t="shared"/>
        <v>6.1143335800891423E-2</v>
      </c>
      <c r="I41" s="18">
        <f si="45" t="shared"/>
        <v>0</v>
      </c>
      <c r="J41" s="18">
        <f>J28/$J$28</f>
        <v>1</v>
      </c>
      <c r="K41" s="12"/>
      <c r="L41" s="15" t="s">
        <v>4</v>
      </c>
      <c r="M41" s="18">
        <f ref="M41:T41" si="46" t="shared">M28/$U$28</f>
        <v>0.11181675186787259</v>
      </c>
      <c r="N41" s="18">
        <f si="46" t="shared"/>
        <v>0.16855232852086963</v>
      </c>
      <c r="O41" s="18">
        <f si="46" t="shared"/>
        <v>8.0970170215156456E-2</v>
      </c>
      <c r="P41" s="18">
        <f si="46" t="shared"/>
        <v>3.054041907757991E-2</v>
      </c>
      <c r="Q41" s="18">
        <f si="46" t="shared"/>
        <v>0.49153699230380316</v>
      </c>
      <c r="R41" s="18">
        <f si="46" t="shared"/>
        <v>5.5465985057019267E-2</v>
      </c>
      <c r="S41" s="18">
        <f si="46" t="shared"/>
        <v>6.1117352957699003E-2</v>
      </c>
      <c r="T41" s="18">
        <f si="46" t="shared"/>
        <v>0</v>
      </c>
      <c r="U41" s="18">
        <f>U28/$U$28</f>
        <v>1</v>
      </c>
      <c r="W41" s="15" t="s">
        <v>4</v>
      </c>
      <c r="X41" s="18">
        <f ref="X41:AD41" si="47" t="shared">M41-B41</f>
        <v>-7.2303401198320488E-3</v>
      </c>
      <c r="Y41" s="18">
        <f si="47" t="shared"/>
        <v>-9.0060868842760933E-3</v>
      </c>
      <c r="Z41" s="18">
        <f si="47" t="shared"/>
        <v>-1.6850760677434282E-2</v>
      </c>
      <c r="AA41" s="18">
        <f si="47" t="shared"/>
        <v>-7.6626995645812969E-3</v>
      </c>
      <c r="AB41" s="18">
        <f si="47" t="shared"/>
        <v>3.2487330486169919E-2</v>
      </c>
      <c r="AC41" s="18">
        <f si="47" t="shared"/>
        <v>8.2885396031461833E-3</v>
      </c>
      <c r="AD41" s="18">
        <f si="47" t="shared"/>
        <v>-2.5982843192419447E-5</v>
      </c>
      <c r="AE41" s="18">
        <f ref="AE41" si="48" t="shared">T41-I41</f>
        <v>0</v>
      </c>
      <c r="AF41" s="18">
        <f si="27" t="shared"/>
        <v>0</v>
      </c>
    </row>
  </sheetData>
  <pageMargins bottom="0.75" footer="0.3" header="0.3" left="0.7" right="0.7" top="0.75"/>
  <pageSetup orientation="portrait" r:id="rId1"/>
  <ignoredErrors>
    <ignoredError formulaRange="1" sqref="J7:J12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I32" sqref="I32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7" t="s">
        <v>277</v>
      </c>
    </row>
    <row r="2" spans="1:4" x14ac:dyDescent="0.25">
      <c r="A2" t="s">
        <v>247</v>
      </c>
      <c r="B2" t="s">
        <v>254</v>
      </c>
      <c r="C2" t="s">
        <v>91</v>
      </c>
      <c r="D2" t="s">
        <v>270</v>
      </c>
    </row>
    <row r="3" spans="1:4" x14ac:dyDescent="0.25">
      <c r="A3">
        <v>1</v>
      </c>
      <c r="B3" t="s">
        <v>45</v>
      </c>
      <c r="C3" t="s">
        <v>271</v>
      </c>
      <c r="D3" t="s">
        <v>46</v>
      </c>
    </row>
    <row r="4" spans="1:4" x14ac:dyDescent="0.25">
      <c r="A4">
        <v>2</v>
      </c>
      <c r="B4" t="s">
        <v>48</v>
      </c>
      <c r="C4" t="s">
        <v>271</v>
      </c>
      <c r="D4" t="s">
        <v>49</v>
      </c>
    </row>
    <row r="5" spans="1:4" x14ac:dyDescent="0.25">
      <c r="A5">
        <v>3</v>
      </c>
      <c r="B5" t="s">
        <v>51</v>
      </c>
      <c r="C5" t="s">
        <v>271</v>
      </c>
      <c r="D5" t="s">
        <v>52</v>
      </c>
    </row>
    <row r="6" spans="1:4" x14ac:dyDescent="0.25">
      <c r="A6">
        <v>4</v>
      </c>
      <c r="B6" t="s">
        <v>54</v>
      </c>
      <c r="C6" t="s">
        <v>271</v>
      </c>
      <c r="D6" t="s">
        <v>55</v>
      </c>
    </row>
    <row r="7" spans="1:4" x14ac:dyDescent="0.25">
      <c r="A7">
        <v>5</v>
      </c>
      <c r="B7" t="s">
        <v>57</v>
      </c>
      <c r="C7" t="s">
        <v>271</v>
      </c>
      <c r="D7" t="s">
        <v>58</v>
      </c>
    </row>
    <row r="8" spans="1:4" x14ac:dyDescent="0.25">
      <c r="A8">
        <v>6</v>
      </c>
      <c r="B8" t="s">
        <v>59</v>
      </c>
      <c r="C8" t="s">
        <v>271</v>
      </c>
      <c r="D8" t="s">
        <v>60</v>
      </c>
    </row>
    <row r="9" spans="1:4" x14ac:dyDescent="0.25">
      <c r="A9">
        <v>7</v>
      </c>
      <c r="B9" t="s">
        <v>61</v>
      </c>
      <c r="C9" t="s">
        <v>271</v>
      </c>
      <c r="D9" t="s">
        <v>62</v>
      </c>
    </row>
    <row r="10" spans="1:4" x14ac:dyDescent="0.25">
      <c r="A10">
        <v>8</v>
      </c>
      <c r="B10" t="s">
        <v>64</v>
      </c>
      <c r="C10" t="s">
        <v>271</v>
      </c>
      <c r="D10" t="s">
        <v>65</v>
      </c>
    </row>
    <row r="11" spans="1:4" x14ac:dyDescent="0.25">
      <c r="A11">
        <v>9</v>
      </c>
      <c r="B11" t="s">
        <v>66</v>
      </c>
      <c r="C11" t="s">
        <v>271</v>
      </c>
      <c r="D11" t="s">
        <v>67</v>
      </c>
    </row>
    <row r="12" spans="1:4" x14ac:dyDescent="0.25">
      <c r="A12">
        <v>10</v>
      </c>
      <c r="B12" t="s">
        <v>68</v>
      </c>
      <c r="C12" t="s">
        <v>271</v>
      </c>
      <c r="D12" t="s">
        <v>69</v>
      </c>
    </row>
    <row r="13" spans="1:4" x14ac:dyDescent="0.25">
      <c r="A13">
        <v>11</v>
      </c>
      <c r="B13" t="s">
        <v>70</v>
      </c>
      <c r="C13" t="s">
        <v>271</v>
      </c>
      <c r="D13" t="s">
        <v>71</v>
      </c>
    </row>
    <row r="14" spans="1:4" x14ac:dyDescent="0.25">
      <c r="A14">
        <v>12</v>
      </c>
      <c r="B14" t="s">
        <v>72</v>
      </c>
      <c r="C14" t="s">
        <v>271</v>
      </c>
      <c r="D14" t="s">
        <v>73</v>
      </c>
    </row>
    <row r="15" spans="1:4" x14ac:dyDescent="0.25">
      <c r="A15">
        <v>13</v>
      </c>
      <c r="B15" t="s">
        <v>74</v>
      </c>
      <c r="C15" t="s">
        <v>271</v>
      </c>
      <c r="D15" t="s">
        <v>75</v>
      </c>
    </row>
    <row r="16" spans="1:4" x14ac:dyDescent="0.25">
      <c r="A16">
        <v>14</v>
      </c>
      <c r="B16" t="s">
        <v>76</v>
      </c>
      <c r="C16" t="s">
        <v>271</v>
      </c>
      <c r="D16" t="s">
        <v>77</v>
      </c>
    </row>
    <row r="17" spans="1:4" x14ac:dyDescent="0.25">
      <c r="A17">
        <v>15</v>
      </c>
      <c r="B17" t="s">
        <v>78</v>
      </c>
      <c r="C17" t="s">
        <v>271</v>
      </c>
      <c r="D17" t="s">
        <v>79</v>
      </c>
    </row>
    <row r="18" spans="1:4" x14ac:dyDescent="0.25">
      <c r="A18">
        <v>16</v>
      </c>
      <c r="B18" t="s">
        <v>80</v>
      </c>
      <c r="C18" t="s">
        <v>271</v>
      </c>
      <c r="D18" t="s">
        <v>81</v>
      </c>
    </row>
    <row r="19" spans="1:4" x14ac:dyDescent="0.25">
      <c r="A19">
        <v>17</v>
      </c>
      <c r="B19" t="s">
        <v>83</v>
      </c>
      <c r="C19" t="s">
        <v>271</v>
      </c>
      <c r="D19" t="s">
        <v>84</v>
      </c>
    </row>
    <row r="20" spans="1:4" x14ac:dyDescent="0.25">
      <c r="A20">
        <v>18</v>
      </c>
      <c r="B20" t="s">
        <v>86</v>
      </c>
      <c r="C20" t="s">
        <v>271</v>
      </c>
      <c r="D20" t="s">
        <v>87</v>
      </c>
    </row>
    <row r="21" spans="1:4" x14ac:dyDescent="0.25">
      <c r="A21">
        <v>19</v>
      </c>
      <c r="B21" t="s">
        <v>89</v>
      </c>
      <c r="C21" t="s">
        <v>271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272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0"/>
  <sheetViews>
    <sheetView workbookViewId="0">
      <selection sqref="A1:O1048576"/>
    </sheetView>
  </sheetViews>
  <sheetFormatPr defaultRowHeight="15" x14ac:dyDescent="0.25"/>
  <sheetData>
    <row r="1" spans="1:11" x14ac:dyDescent="0.25">
      <c r="A1" s="366" t="s">
        <v>227</v>
      </c>
      <c r="B1" s="367"/>
      <c r="C1" s="367"/>
      <c r="D1" s="367"/>
      <c r="E1" s="367"/>
      <c r="F1" s="367"/>
      <c r="G1" s="367"/>
      <c r="H1" s="367" t="s">
        <v>228</v>
      </c>
      <c r="I1" s="367"/>
      <c r="J1" s="367"/>
      <c r="K1" s="368"/>
    </row>
    <row r="2" spans="1:11" x14ac:dyDescent="0.25">
      <c r="A2" s="369">
        <v>1</v>
      </c>
      <c r="B2" s="370" t="s">
        <v>273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1" x14ac:dyDescent="0.25">
      <c r="A3" s="369">
        <v>2</v>
      </c>
      <c r="B3" s="370" t="s">
        <v>229</v>
      </c>
      <c r="C3" s="370"/>
      <c r="D3" s="370"/>
      <c r="E3" s="370"/>
      <c r="F3" s="370"/>
      <c r="G3" s="370"/>
      <c r="H3" s="370"/>
      <c r="I3" s="370"/>
      <c r="J3" s="370"/>
      <c r="K3" s="371"/>
    </row>
    <row r="4" spans="1:11" x14ac:dyDescent="0.25">
      <c r="A4" s="369">
        <v>3</v>
      </c>
      <c r="B4" s="370" t="s">
        <v>230</v>
      </c>
      <c r="C4" s="370"/>
      <c r="D4" s="370"/>
      <c r="E4" s="370"/>
      <c r="F4" s="370"/>
      <c r="G4" s="370"/>
      <c r="H4" s="370"/>
      <c r="I4" s="370"/>
      <c r="J4" s="370"/>
      <c r="K4" s="371"/>
    </row>
    <row r="5" spans="1:11" x14ac:dyDescent="0.25">
      <c r="A5" s="372">
        <v>4</v>
      </c>
      <c r="B5" s="373" t="s">
        <v>231</v>
      </c>
      <c r="C5" s="373"/>
      <c r="D5" s="373"/>
      <c r="E5" s="373"/>
      <c r="F5" s="373"/>
      <c r="G5" s="373"/>
      <c r="H5" s="373"/>
      <c r="I5" s="373"/>
      <c r="J5" s="373"/>
      <c r="K5" s="374"/>
    </row>
    <row r="8" spans="1:11" x14ac:dyDescent="0.25">
      <c r="A8" t="s">
        <v>232</v>
      </c>
      <c r="B8" t="s">
        <v>233</v>
      </c>
      <c r="C8" t="s">
        <v>234</v>
      </c>
      <c r="D8" t="s">
        <v>274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335">
        <v>0.46135416666666668</v>
      </c>
      <c r="G9" t="s">
        <v>239</v>
      </c>
      <c r="H9">
        <v>31</v>
      </c>
      <c r="I9" t="s">
        <v>275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51</v>
      </c>
      <c r="D13" t="s">
        <v>241</v>
      </c>
      <c r="E13" s="336">
        <v>-0.2117</v>
      </c>
      <c r="F13">
        <v>0</v>
      </c>
    </row>
    <row r="14" spans="1:11" x14ac:dyDescent="0.25">
      <c r="B14">
        <v>4</v>
      </c>
      <c r="C14" t="s">
        <v>54</v>
      </c>
      <c r="D14" t="s">
        <v>242</v>
      </c>
      <c r="E14" s="336">
        <v>0.27120783067900001</v>
      </c>
      <c r="F14">
        <v>0.28080475059900001</v>
      </c>
    </row>
    <row r="15" spans="1:11" x14ac:dyDescent="0.2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59</v>
      </c>
      <c r="D16" t="s">
        <v>242</v>
      </c>
      <c r="E16" s="336">
        <v>-8.2865473150899996E-2</v>
      </c>
      <c r="F16">
        <v>0.12955742148800001</v>
      </c>
    </row>
    <row r="17" spans="2:6" x14ac:dyDescent="0.2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64</v>
      </c>
      <c r="D18" t="s">
        <v>241</v>
      </c>
      <c r="E18" s="336">
        <v>6.9400000000000003E-2</v>
      </c>
      <c r="F18">
        <v>0</v>
      </c>
    </row>
    <row r="19" spans="2:6" x14ac:dyDescent="0.25">
      <c r="B19">
        <v>9</v>
      </c>
      <c r="C19" t="s">
        <v>66</v>
      </c>
      <c r="D19" t="s">
        <v>242</v>
      </c>
      <c r="E19" s="336">
        <v>-9.5820044919499997E-2</v>
      </c>
      <c r="F19">
        <v>0.17082561533000001</v>
      </c>
    </row>
    <row r="20" spans="2:6" x14ac:dyDescent="0.2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0.63771148688699997</v>
      </c>
      <c r="F30" s="336">
        <v>6.0015015733300002E-2</v>
      </c>
    </row>
    <row r="31" spans="2:6" x14ac:dyDescent="0.2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98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100</v>
      </c>
      <c r="D34" t="s">
        <v>242</v>
      </c>
      <c r="E34">
        <v>0.10429329553199999</v>
      </c>
      <c r="F34" s="336">
        <v>1.6423300294899999E-2</v>
      </c>
    </row>
    <row r="35" spans="2:6" x14ac:dyDescent="0.25">
      <c r="B35">
        <v>25</v>
      </c>
      <c r="C35" t="s">
        <v>103</v>
      </c>
      <c r="D35" t="s">
        <v>241</v>
      </c>
      <c r="E35">
        <v>0</v>
      </c>
      <c r="F35" s="336">
        <v>0</v>
      </c>
    </row>
    <row r="36" spans="2:6" x14ac:dyDescent="0.25">
      <c r="B36">
        <v>26</v>
      </c>
      <c r="C36" t="s">
        <v>105</v>
      </c>
      <c r="D36" t="s">
        <v>242</v>
      </c>
      <c r="E36">
        <v>0.417326479157</v>
      </c>
      <c r="F36" s="336">
        <v>9.4301876730200004E-2</v>
      </c>
    </row>
    <row r="37" spans="2:6" x14ac:dyDescent="0.2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110</v>
      </c>
      <c r="D40" t="s">
        <v>242</v>
      </c>
      <c r="E40">
        <v>-0.91046169190000004</v>
      </c>
      <c r="F40" s="336">
        <v>9.2244527309799998E-2</v>
      </c>
    </row>
    <row r="41" spans="2:6" x14ac:dyDescent="0.25">
      <c r="B41">
        <v>31</v>
      </c>
      <c r="C41" t="s">
        <v>112</v>
      </c>
      <c r="D41" t="s">
        <v>242</v>
      </c>
      <c r="E41" s="336">
        <v>5.7553461640599997E-2</v>
      </c>
      <c r="F41" s="336">
        <v>1.69631861578E-2</v>
      </c>
    </row>
    <row r="42" spans="2:6" x14ac:dyDescent="0.25">
      <c r="B42">
        <v>32</v>
      </c>
      <c r="C42" t="s">
        <v>114</v>
      </c>
      <c r="D42" t="s">
        <v>242</v>
      </c>
      <c r="E42">
        <v>0.237798002151</v>
      </c>
      <c r="F42" s="336">
        <v>2.05709725741E-2</v>
      </c>
    </row>
    <row r="43" spans="2:6" x14ac:dyDescent="0.25">
      <c r="B43">
        <v>33</v>
      </c>
      <c r="C43" t="s">
        <v>116</v>
      </c>
      <c r="D43" t="s">
        <v>241</v>
      </c>
      <c r="E43">
        <v>0</v>
      </c>
      <c r="F43" s="336">
        <v>0</v>
      </c>
    </row>
    <row r="44" spans="2:6" x14ac:dyDescent="0.25">
      <c r="B44">
        <v>34</v>
      </c>
      <c r="C44" t="s">
        <v>118</v>
      </c>
      <c r="D44" t="s">
        <v>241</v>
      </c>
      <c r="E44">
        <v>0</v>
      </c>
      <c r="F44" s="336">
        <v>0</v>
      </c>
    </row>
    <row r="45" spans="2:6" x14ac:dyDescent="0.25">
      <c r="B45">
        <v>35</v>
      </c>
      <c r="C45" t="s">
        <v>121</v>
      </c>
      <c r="D45" t="s">
        <v>241</v>
      </c>
      <c r="E45">
        <v>0</v>
      </c>
      <c r="F45" s="336">
        <v>0</v>
      </c>
    </row>
    <row r="46" spans="2:6" x14ac:dyDescent="0.25">
      <c r="B46">
        <v>36</v>
      </c>
      <c r="C46" t="s">
        <v>123</v>
      </c>
      <c r="D46" t="s">
        <v>242</v>
      </c>
      <c r="E46" s="336">
        <v>0.61259135262599995</v>
      </c>
      <c r="F46" s="336">
        <v>9.8788050589500007E-2</v>
      </c>
    </row>
    <row r="47" spans="2:6" x14ac:dyDescent="0.2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129</v>
      </c>
      <c r="D51" t="s">
        <v>242</v>
      </c>
      <c r="E51">
        <v>-0.22141031751900001</v>
      </c>
      <c r="F51" s="336">
        <v>1.8224220405400001E-2</v>
      </c>
    </row>
    <row r="52" spans="2:6" x14ac:dyDescent="0.25">
      <c r="B52">
        <v>42</v>
      </c>
      <c r="C52" t="s">
        <v>131</v>
      </c>
      <c r="D52" t="s">
        <v>242</v>
      </c>
      <c r="E52">
        <v>0.64228876129599999</v>
      </c>
      <c r="F52" s="336">
        <v>2.3327425635499999E-2</v>
      </c>
    </row>
    <row r="53" spans="2:6" x14ac:dyDescent="0.25">
      <c r="B53">
        <v>43</v>
      </c>
      <c r="C53" t="s">
        <v>133</v>
      </c>
      <c r="D53" t="s">
        <v>242</v>
      </c>
      <c r="E53">
        <v>0.74588429254199995</v>
      </c>
      <c r="F53" s="336">
        <v>9.8514285453599998E-2</v>
      </c>
    </row>
    <row r="54" spans="2:6" x14ac:dyDescent="0.2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143</v>
      </c>
      <c r="D58" t="s">
        <v>242</v>
      </c>
      <c r="E58">
        <v>0.65760260093900003</v>
      </c>
      <c r="F58" s="336">
        <v>2.9500746847800002E-2</v>
      </c>
    </row>
    <row r="59" spans="2:6" x14ac:dyDescent="0.25">
      <c r="B59">
        <v>49</v>
      </c>
      <c r="C59" t="s">
        <v>145</v>
      </c>
      <c r="D59" t="s">
        <v>242</v>
      </c>
      <c r="E59">
        <v>0.201576719663</v>
      </c>
      <c r="F59" s="336">
        <v>0.11309559824400001</v>
      </c>
    </row>
    <row r="60" spans="2:6" x14ac:dyDescent="0.25">
      <c r="B60">
        <v>50</v>
      </c>
      <c r="C60" t="s">
        <v>146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147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148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149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150</v>
      </c>
      <c r="D64" t="s">
        <v>242</v>
      </c>
      <c r="E64">
        <v>0.20818008309700001</v>
      </c>
      <c r="F64" s="336">
        <v>4.2700310294800002E-2</v>
      </c>
    </row>
    <row r="65" spans="2:6" x14ac:dyDescent="0.25">
      <c r="B65">
        <v>55</v>
      </c>
      <c r="C65" t="s">
        <v>152</v>
      </c>
      <c r="D65" t="s">
        <v>242</v>
      </c>
      <c r="E65">
        <v>0.42522231451499998</v>
      </c>
      <c r="F65" s="336">
        <v>4.5274903018000003E-2</v>
      </c>
    </row>
    <row r="66" spans="2:6" x14ac:dyDescent="0.25">
      <c r="B66">
        <v>56</v>
      </c>
      <c r="C66" t="s">
        <v>153</v>
      </c>
      <c r="D66" t="s">
        <v>242</v>
      </c>
      <c r="E66">
        <v>-0.743588483327</v>
      </c>
      <c r="F66" s="336">
        <v>4.4293261467400001E-2</v>
      </c>
    </row>
    <row r="67" spans="2:6" x14ac:dyDescent="0.25">
      <c r="B67">
        <v>57</v>
      </c>
      <c r="C67" t="s">
        <v>154</v>
      </c>
      <c r="D67" t="s">
        <v>241</v>
      </c>
      <c r="E67" s="336">
        <v>6.2100000000000002E-2</v>
      </c>
      <c r="F67" s="336">
        <v>0</v>
      </c>
    </row>
    <row r="68" spans="2:6" x14ac:dyDescent="0.25">
      <c r="B68">
        <v>118</v>
      </c>
      <c r="C68" t="s">
        <v>272</v>
      </c>
      <c r="D68" t="s">
        <v>241</v>
      </c>
      <c r="E68" s="336">
        <v>-3</v>
      </c>
      <c r="F68" s="336">
        <v>0</v>
      </c>
    </row>
    <row r="69" spans="2:6" x14ac:dyDescent="0.25">
      <c r="B69">
        <v>70</v>
      </c>
      <c r="C69" t="s">
        <v>155</v>
      </c>
      <c r="D69" t="s">
        <v>242</v>
      </c>
      <c r="E69">
        <v>0.29394695214400002</v>
      </c>
      <c r="F69" s="336">
        <v>8.1089668188599993E-3</v>
      </c>
    </row>
    <row r="70" spans="2:6" x14ac:dyDescent="0.2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336">
        <v>-5981.59020986</v>
      </c>
      <c r="D114" s="336">
        <v>-29805.783655800002</v>
      </c>
      <c r="E114" s="336">
        <v>-17292.021287899999</v>
      </c>
    </row>
    <row r="115" spans="1:11" x14ac:dyDescent="0.25">
      <c r="B115">
        <v>17</v>
      </c>
      <c r="C115" t="s">
        <v>276</v>
      </c>
      <c r="D115" t="s">
        <v>239</v>
      </c>
      <c r="E115">
        <v>31</v>
      </c>
      <c r="F115" t="s">
        <v>275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Y104"/>
  <sheetViews>
    <sheetView workbookViewId="0">
      <selection activeCell="Q104" sqref="Q104"/>
    </sheetView>
  </sheetViews>
  <sheetFormatPr defaultRowHeight="15" x14ac:dyDescent="0.25"/>
  <cols>
    <col min="1" max="2" style="296" width="9.140625" collapsed="true"/>
    <col min="3" max="3" bestFit="true" customWidth="true" style="296" width="12.7109375" collapsed="true"/>
    <col min="4" max="4" customWidth="true" style="295" width="18.85546875" collapsed="true"/>
    <col min="5" max="5" customWidth="true" style="296" width="6.7109375" collapsed="true"/>
    <col min="6" max="6" customWidth="true" style="296" width="12.7109375" collapsed="true"/>
    <col min="7" max="8" customWidth="true" style="295" width="18.85546875" collapsed="true"/>
    <col min="9" max="9" customWidth="true" style="295" width="6.5703125" collapsed="true"/>
    <col min="10" max="10" customWidth="true" style="295" width="10.140625" collapsed="true"/>
    <col min="11" max="11" customWidth="true" style="295" width="9.85546875" collapsed="true"/>
    <col min="12" max="14" style="296" width="9.140625" collapsed="true"/>
    <col min="15" max="15" customWidth="true" style="296" width="13.0" collapsed="true"/>
    <col min="16" max="16" customWidth="true" style="298" width="19.5703125" collapsed="true"/>
    <col min="17" max="17" customWidth="true" style="334" width="19.5703125" collapsed="true"/>
    <col min="18" max="18" style="296" width="9.140625" collapsed="true"/>
    <col min="19" max="19" customWidth="true" style="296" width="9.140625" collapsed="true"/>
    <col min="20" max="16384" style="296" width="9.140625" collapsed="true"/>
  </cols>
  <sheetData>
    <row r="1" spans="3:24" x14ac:dyDescent="0.25">
      <c r="C1" s="10" t="s">
        <v>41</v>
      </c>
      <c r="F1" s="10" t="s">
        <v>42</v>
      </c>
      <c r="N1" s="297" t="s">
        <v>253</v>
      </c>
      <c r="S1" s="297"/>
      <c r="T1" s="297" t="s">
        <v>253</v>
      </c>
      <c r="U1" s="321"/>
      <c r="V1" s="321"/>
      <c r="W1" s="321"/>
      <c r="X1" s="321"/>
    </row>
    <row ht="15.75" r="2" spans="3:24" thickBot="1" x14ac:dyDescent="0.3">
      <c r="C2" s="297" t="s">
        <v>43</v>
      </c>
      <c r="M2" s="10" t="s">
        <v>91</v>
      </c>
      <c r="N2" s="10" t="s">
        <v>247</v>
      </c>
      <c r="O2" s="10" t="s">
        <v>254</v>
      </c>
      <c r="P2" s="363" t="s">
        <v>255</v>
      </c>
      <c r="Q2" s="364" t="s">
        <v>256</v>
      </c>
      <c r="T2" s="321"/>
      <c r="U2" s="297" t="s">
        <v>257</v>
      </c>
      <c r="V2"/>
      <c r="W2" s="321"/>
      <c r="X2" s="321"/>
    </row>
    <row r="3" spans="3:24" x14ac:dyDescent="0.25">
      <c r="C3" s="299" t="s">
        <v>3</v>
      </c>
      <c r="D3" s="300" t="s">
        <v>44</v>
      </c>
      <c r="F3" s="299" t="s">
        <v>3</v>
      </c>
      <c r="G3" s="300" t="s">
        <v>44</v>
      </c>
      <c r="H3" s="350"/>
      <c r="I3" s="350"/>
      <c r="J3" s="350"/>
      <c r="K3" s="350"/>
      <c r="L3" s="301"/>
      <c r="M3" s="296" t="str">
        <f>VLOOKUP(N3,Coeff_Descr!$A:$D,3,FALSE)</f>
        <v>ALL</v>
      </c>
      <c r="N3" s="296">
        <f>OtherTourDestination!B11</f>
        <v>1</v>
      </c>
      <c r="O3" s="296" t="str">
        <f>OtherTourDestination!C11</f>
        <v>Beta00001</v>
      </c>
      <c r="P3" s="298">
        <f>OtherTourDestination!E11</f>
        <v>1</v>
      </c>
      <c r="Q3" s="337">
        <f>_xlfn.IFNA(VLOOKUP(N3,$B$43:$D$46,3,FALSE),P3)</f>
        <v>1</v>
      </c>
      <c r="T3">
        <v>1</v>
      </c>
      <c r="U3" s="294" t="s">
        <v>258</v>
      </c>
      <c r="V3"/>
      <c r="W3" s="321"/>
      <c r="X3" s="321"/>
    </row>
    <row r="4" spans="3:24" x14ac:dyDescent="0.25">
      <c r="C4" s="302" t="s">
        <v>47</v>
      </c>
      <c r="D4" s="303">
        <f>TLFD!B11</f>
        <v>27952.072962999999</v>
      </c>
      <c r="F4" s="302" t="s">
        <v>47</v>
      </c>
      <c r="G4" s="303">
        <f>TLFD!F11</f>
        <v>50685</v>
      </c>
      <c r="H4" s="303"/>
      <c r="I4" s="303"/>
      <c r="J4" s="303"/>
      <c r="K4" s="303"/>
      <c r="L4" s="304"/>
      <c r="M4" s="296" t="str">
        <f>VLOOKUP(N4,Coeff_Descr!$A:$D,3,FALSE)</f>
        <v>ALL</v>
      </c>
      <c r="N4" s="296">
        <f>OtherTourDestination!B12</f>
        <v>2</v>
      </c>
      <c r="O4" s="296" t="str">
        <f>OtherTourDestination!C12</f>
        <v>Beta00002</v>
      </c>
      <c r="P4" s="298">
        <f>OtherTourDestination!E12</f>
        <v>11.7146172749</v>
      </c>
      <c r="Q4" s="337">
        <f>_xlfn.IFNA(VLOOKUP(N4,$B$43:$D$46,3,FALSE),P4)</f>
        <v>11.7146172749</v>
      </c>
      <c r="T4">
        <v>2</v>
      </c>
      <c r="U4" s="294" t="s">
        <v>259</v>
      </c>
      <c r="V4"/>
      <c r="W4" s="321"/>
      <c r="X4" s="321"/>
    </row>
    <row r="5" spans="3:24" x14ac:dyDescent="0.25">
      <c r="C5" s="305" t="s">
        <v>50</v>
      </c>
      <c r="D5" s="306">
        <f>TLFD!B12+TLFD!B13+(TLFD!B14/2)</f>
        <v>124207.43899</v>
      </c>
      <c r="F5" s="305" t="s">
        <v>50</v>
      </c>
      <c r="G5" s="306">
        <f>TLFD!F12+TLFD!F13+(TLFD!F14/2)</f>
        <v>175770</v>
      </c>
      <c r="H5" s="306"/>
      <c r="I5" s="306"/>
      <c r="J5" s="306"/>
      <c r="K5" s="306"/>
      <c r="L5" s="304"/>
      <c r="M5" s="296" t="str">
        <f>VLOOKUP(N5,Coeff_Descr!$A:$D,3,FALSE)</f>
        <v>ALL</v>
      </c>
      <c r="N5" s="296">
        <f>OtherTourDestination!B13</f>
        <v>3</v>
      </c>
      <c r="O5" s="296" t="str">
        <f>OtherTourDestination!C13</f>
        <v>Beta00003</v>
      </c>
      <c r="P5" s="298">
        <f>OtherTourDestination!E13</f>
        <v>-0.2117</v>
      </c>
      <c r="Q5" s="337">
        <f ref="Q5:Q68" si="0" t="shared">_xlfn.IFNA(VLOOKUP(N5,$B$43:$D$46,3,FALSE),P5)</f>
        <v>-0.2117</v>
      </c>
      <c r="T5">
        <v>3</v>
      </c>
      <c r="U5" s="321" t="s">
        <v>260</v>
      </c>
      <c r="V5" s="321"/>
      <c r="W5" s="321"/>
      <c r="X5" s="321"/>
    </row>
    <row r="6" spans="3:24" x14ac:dyDescent="0.25">
      <c r="C6" s="305" t="s">
        <v>53</v>
      </c>
      <c r="D6" s="306">
        <f>(TLFD!B14/2)+SUM(TLFD!B15:B20)</f>
        <v>134442.76614600001</v>
      </c>
      <c r="F6" s="305" t="s">
        <v>53</v>
      </c>
      <c r="G6" s="306">
        <f>(TLFD!F14/2)+SUM(TLFD!F15:F20)</f>
        <v>145071</v>
      </c>
      <c r="H6" s="306"/>
      <c r="I6" s="306"/>
      <c r="J6" s="306"/>
      <c r="K6" s="306"/>
      <c r="L6" s="307"/>
      <c r="M6" s="296" t="str">
        <f>VLOOKUP(N6,Coeff_Descr!$A:$D,3,FALSE)</f>
        <v>ALL</v>
      </c>
      <c r="N6" s="296">
        <f>OtherTourDestination!B14</f>
        <v>4</v>
      </c>
      <c r="O6" s="296" t="str">
        <f>OtherTourDestination!C14</f>
        <v>Beta00004</v>
      </c>
      <c r="P6" s="298">
        <f>OtherTourDestination!E14</f>
        <v>0.27120783067900001</v>
      </c>
      <c r="Q6" s="337">
        <f si="0" t="shared"/>
        <v>0.27120783067900001</v>
      </c>
      <c r="T6">
        <v>4</v>
      </c>
      <c r="U6" s="321" t="s">
        <v>261</v>
      </c>
      <c r="V6" s="321"/>
      <c r="W6" s="321"/>
      <c r="X6" s="321"/>
    </row>
    <row r="7" spans="3:24" x14ac:dyDescent="0.25">
      <c r="C7" s="308" t="s">
        <v>56</v>
      </c>
      <c r="D7" s="309">
        <f>SUM(TLFD!B21:B101)</f>
        <v>58337.413232999999</v>
      </c>
      <c r="F7" s="308" t="s">
        <v>56</v>
      </c>
      <c r="G7" s="309">
        <f>SUM(TLFD!F21:F101)</f>
        <v>4483</v>
      </c>
      <c r="H7" s="351"/>
      <c r="I7" s="351"/>
      <c r="J7" s="351"/>
      <c r="K7" s="351"/>
      <c r="L7" s="310"/>
      <c r="M7" s="296" t="str">
        <f>VLOOKUP(N7,Coeff_Descr!$A:$D,3,FALSE)</f>
        <v>ALL</v>
      </c>
      <c r="N7" s="296">
        <f>OtherTourDestination!B15</f>
        <v>5</v>
      </c>
      <c r="O7" s="296" t="str">
        <f>OtherTourDestination!C15</f>
        <v>Beta00005</v>
      </c>
      <c r="P7" s="298">
        <f>OtherTourDestination!E15</f>
        <v>-0.34490013167299999</v>
      </c>
      <c r="Q7" s="337">
        <f si="0" t="shared"/>
        <v>-0.34490013167299999</v>
      </c>
      <c r="T7" s="321">
        <v>5</v>
      </c>
      <c r="U7" s="321" t="s">
        <v>262</v>
      </c>
      <c r="V7" s="321"/>
      <c r="W7" s="321"/>
      <c r="X7" s="321"/>
    </row>
    <row ht="15.75" r="8" spans="3:24" thickBot="1" x14ac:dyDescent="0.3">
      <c r="C8" s="311" t="s">
        <v>4</v>
      </c>
      <c r="D8" s="312">
        <f>SUM(D4:D7)</f>
        <v>344939.69133199996</v>
      </c>
      <c r="E8" s="313"/>
      <c r="F8" s="311" t="s">
        <v>4</v>
      </c>
      <c r="G8" s="312">
        <f>SUM(G4:G7)</f>
        <v>376009</v>
      </c>
      <c r="H8" s="352"/>
      <c r="I8" s="352"/>
      <c r="J8" s="352" t="s">
        <v>252</v>
      </c>
      <c r="K8" s="360">
        <v>1</v>
      </c>
      <c r="M8" s="296" t="str">
        <f>VLOOKUP(N8,Coeff_Descr!$A:$D,3,FALSE)</f>
        <v>ALL</v>
      </c>
      <c r="N8" s="296">
        <f>OtherTourDestination!B16</f>
        <v>6</v>
      </c>
      <c r="O8" s="296" t="str">
        <f>OtherTourDestination!C16</f>
        <v>Beta00006</v>
      </c>
      <c r="P8" s="298">
        <f>OtherTourDestination!E16</f>
        <v>-8.2865473150899996E-2</v>
      </c>
      <c r="Q8" s="337">
        <f si="0" t="shared"/>
        <v>-8.2865473150899996E-2</v>
      </c>
      <c r="T8" s="321"/>
      <c r="U8" s="321"/>
      <c r="V8" s="321"/>
      <c r="W8" s="321"/>
      <c r="X8" s="321"/>
    </row>
    <row r="9" spans="3:24" x14ac:dyDescent="0.25">
      <c r="M9" s="296" t="str">
        <f>VLOOKUP(N9,Coeff_Descr!$A:$D,3,FALSE)</f>
        <v>ALL</v>
      </c>
      <c r="N9" s="296">
        <f>OtherTourDestination!B17</f>
        <v>7</v>
      </c>
      <c r="O9" s="296" t="str">
        <f>OtherTourDestination!C17</f>
        <v>Beta00007</v>
      </c>
      <c r="P9" s="298">
        <f>OtherTourDestination!E17</f>
        <v>-3.9895313632499998</v>
      </c>
      <c r="Q9" s="337">
        <f si="0" t="shared"/>
        <v>-3.9895313632499998</v>
      </c>
      <c r="T9" s="321"/>
      <c r="U9" s="365" t="s">
        <v>263</v>
      </c>
      <c r="V9" s="321"/>
      <c r="W9" s="321"/>
      <c r="X9" s="321"/>
    </row>
    <row ht="15.75" r="10" spans="3:24" thickBot="1" x14ac:dyDescent="0.3">
      <c r="C10" s="314" t="s">
        <v>63</v>
      </c>
      <c r="I10" s="354" t="s">
        <v>248</v>
      </c>
      <c r="J10" s="355"/>
      <c r="K10" s="355"/>
      <c r="L10" s="301"/>
      <c r="M10" s="296" t="str">
        <f>VLOOKUP(N10,Coeff_Descr!$A:$D,3,FALSE)</f>
        <v>ALL</v>
      </c>
      <c r="N10" s="296">
        <f>OtherTourDestination!B18</f>
        <v>8</v>
      </c>
      <c r="O10" s="296" t="str">
        <f>OtherTourDestination!C18</f>
        <v>Beta00008</v>
      </c>
      <c r="P10" s="298">
        <f>OtherTourDestination!E18</f>
        <v>6.9400000000000003E-2</v>
      </c>
      <c r="Q10" s="337">
        <f si="0" t="shared"/>
        <v>6.9400000000000003E-2</v>
      </c>
      <c r="T10" s="321">
        <v>1</v>
      </c>
      <c r="U10" s="294" t="s">
        <v>258</v>
      </c>
      <c r="V10" s="321"/>
      <c r="W10" s="321"/>
      <c r="X10" s="321"/>
    </row>
    <row r="11" spans="3:24" x14ac:dyDescent="0.25">
      <c r="C11" s="299" t="s">
        <v>3</v>
      </c>
      <c r="D11" s="300" t="s">
        <v>44</v>
      </c>
      <c r="F11" s="299" t="s">
        <v>3</v>
      </c>
      <c r="G11" s="300" t="s">
        <v>44</v>
      </c>
      <c r="H11" s="350"/>
      <c r="I11" s="300" t="s">
        <v>249</v>
      </c>
      <c r="J11" s="300" t="s">
        <v>250</v>
      </c>
      <c r="K11" s="300" t="s">
        <v>251</v>
      </c>
      <c r="L11" s="315"/>
      <c r="M11" s="296" t="str">
        <f>VLOOKUP(N11,Coeff_Descr!$A:$D,3,FALSE)</f>
        <v>ALL</v>
      </c>
      <c r="N11" s="296">
        <f>OtherTourDestination!B19</f>
        <v>9</v>
      </c>
      <c r="O11" s="296" t="str">
        <f>OtherTourDestination!C19</f>
        <v>Beta00009</v>
      </c>
      <c r="P11" s="298">
        <f>OtherTourDestination!E19</f>
        <v>-9.5820044919499997E-2</v>
      </c>
      <c r="Q11" s="337">
        <f si="0" t="shared"/>
        <v>-9.5820044919499997E-2</v>
      </c>
      <c r="T11" s="321">
        <v>2</v>
      </c>
      <c r="U11" s="321" t="s">
        <v>264</v>
      </c>
      <c r="V11" s="321"/>
      <c r="W11" s="321"/>
      <c r="X11" s="321"/>
    </row>
    <row r="12" spans="3:24" x14ac:dyDescent="0.25">
      <c r="C12" s="302" t="s">
        <v>47</v>
      </c>
      <c r="D12" s="316">
        <f>D4/D$8</f>
        <v>8.1034666828458696E-2</v>
      </c>
      <c r="F12" s="302" t="s">
        <v>47</v>
      </c>
      <c r="G12" s="316">
        <f>G4/G$8</f>
        <v>0.13479730538364773</v>
      </c>
      <c r="H12" s="316"/>
      <c r="I12" s="356">
        <f>D12/G12</f>
        <v>0.60115939705044741</v>
      </c>
      <c r="J12" s="357">
        <f>LN(I12)</f>
        <v>-0.50889515989357892</v>
      </c>
      <c r="K12" s="357">
        <f>K8*J12</f>
        <v>-0.50889515989357892</v>
      </c>
      <c r="L12" s="315"/>
      <c r="M12" s="296" t="str">
        <f>VLOOKUP(N12,Coeff_Descr!$A:$D,3,FALSE)</f>
        <v>ALL</v>
      </c>
      <c r="N12" s="296">
        <f>OtherTourDestination!B20</f>
        <v>10</v>
      </c>
      <c r="O12" s="296" t="str">
        <f>OtherTourDestination!C20</f>
        <v>Beta00010</v>
      </c>
      <c r="P12" s="298">
        <f>OtherTourDestination!E20</f>
        <v>0.517563261484</v>
      </c>
      <c r="Q12" s="337">
        <f si="0" t="shared"/>
        <v>0.517563261484</v>
      </c>
      <c r="T12" s="321">
        <v>3</v>
      </c>
      <c r="U12" s="321" t="s">
        <v>265</v>
      </c>
      <c r="V12" s="321"/>
      <c r="W12" s="321"/>
      <c r="X12" s="321"/>
    </row>
    <row r="13" spans="3:24" x14ac:dyDescent="0.25">
      <c r="C13" s="305" t="s">
        <v>50</v>
      </c>
      <c r="D13" s="317">
        <f ref="D13:D16" si="1" t="shared">D5/D$8</f>
        <v>0.36008450784648022</v>
      </c>
      <c r="F13" s="305" t="s">
        <v>50</v>
      </c>
      <c r="G13" s="317">
        <f ref="G13:G16" si="2" t="shared">G5/G$8</f>
        <v>0.46746221500017288</v>
      </c>
      <c r="H13" s="317"/>
      <c r="I13" s="356">
        <f ref="I13:I15" si="3" t="shared">D13/G13</f>
        <v>0.77029649946434076</v>
      </c>
      <c r="J13" s="357">
        <f ref="J13:J15" si="4" t="shared">LN(I13)</f>
        <v>-0.26097977401321193</v>
      </c>
      <c r="K13" s="357">
        <f>K8*(J13-J12)</f>
        <v>0.24791538588036699</v>
      </c>
      <c r="L13" s="315"/>
      <c r="M13" s="296" t="str">
        <f>VLOOKUP(N13,Coeff_Descr!$A:$D,3,FALSE)</f>
        <v>ALL</v>
      </c>
      <c r="N13" s="296">
        <f>OtherTourDestination!B21</f>
        <v>11</v>
      </c>
      <c r="O13" s="296" t="str">
        <f>OtherTourDestination!C21</f>
        <v>Beta00011</v>
      </c>
      <c r="P13" s="298">
        <f>OtherTourDestination!E21</f>
        <v>-0.80352358260699996</v>
      </c>
      <c r="Q13" s="337">
        <f si="0" t="shared"/>
        <v>-0.80352358260699996</v>
      </c>
      <c r="T13" s="321">
        <v>4</v>
      </c>
      <c r="U13" s="321" t="s">
        <v>266</v>
      </c>
      <c r="V13" s="321"/>
      <c r="W13" s="321"/>
      <c r="X13" s="321"/>
    </row>
    <row r="14" spans="3:24" x14ac:dyDescent="0.25">
      <c r="C14" s="305" t="s">
        <v>53</v>
      </c>
      <c r="D14" s="317">
        <f si="1" t="shared"/>
        <v>0.38975730982666357</v>
      </c>
      <c r="F14" s="305" t="s">
        <v>53</v>
      </c>
      <c r="G14" s="317">
        <f si="2" t="shared"/>
        <v>0.3858178926568247</v>
      </c>
      <c r="H14" s="317"/>
      <c r="I14" s="356">
        <f si="3" t="shared"/>
        <v>1.0102105611087946</v>
      </c>
      <c r="J14" s="357">
        <f si="4" t="shared"/>
        <v>1.01587854703358E-2</v>
      </c>
      <c r="K14" s="357">
        <f>K8*(J14-J13-J12)</f>
        <v>0.78003371937712662</v>
      </c>
      <c r="L14" s="318"/>
      <c r="M14" s="296" t="str">
        <f>VLOOKUP(N14,Coeff_Descr!$A:$D,3,FALSE)</f>
        <v>ALL</v>
      </c>
      <c r="N14" s="296">
        <f>OtherTourDestination!B22</f>
        <v>12</v>
      </c>
      <c r="O14" s="296" t="str">
        <f>OtherTourDestination!C22</f>
        <v>Beta00012</v>
      </c>
      <c r="P14" s="298">
        <f>OtherTourDestination!E22</f>
        <v>-0.80534348065299999</v>
      </c>
      <c r="Q14" s="337">
        <f si="0" t="shared"/>
        <v>-0.80534348065299999</v>
      </c>
      <c r="T14" s="321">
        <v>5</v>
      </c>
      <c r="U14" s="294" t="s">
        <v>267</v>
      </c>
      <c r="V14" s="321"/>
      <c r="W14" s="321"/>
      <c r="X14" s="321"/>
    </row>
    <row ht="15.75" r="15" spans="3:24" thickBot="1" x14ac:dyDescent="0.3">
      <c r="C15" s="308" t="s">
        <v>56</v>
      </c>
      <c r="D15" s="317">
        <f si="1" t="shared"/>
        <v>0.16912351549839766</v>
      </c>
      <c r="F15" s="308" t="s">
        <v>56</v>
      </c>
      <c r="G15" s="317">
        <f si="2" t="shared"/>
        <v>1.1922586959354697E-2</v>
      </c>
      <c r="H15" s="317"/>
      <c r="I15" s="358">
        <f si="3" t="shared"/>
        <v>14.185135832932636</v>
      </c>
      <c r="J15" s="359">
        <f si="4" t="shared"/>
        <v>2.6521946440297457</v>
      </c>
      <c r="K15" s="359">
        <f>K8*(J15-J14-J13-J12)</f>
        <v>3.4119107924662009</v>
      </c>
      <c r="M15" s="296" t="str">
        <f>VLOOKUP(N15,Coeff_Descr!$A:$D,3,FALSE)</f>
        <v>ALL</v>
      </c>
      <c r="N15" s="296">
        <f>OtherTourDestination!B23</f>
        <v>13</v>
      </c>
      <c r="O15" s="296" t="str">
        <f>OtherTourDestination!C23</f>
        <v>Beta00013</v>
      </c>
      <c r="P15" s="298">
        <f>OtherTourDestination!E23</f>
        <v>-0.51977799879300002</v>
      </c>
      <c r="Q15" s="337">
        <f si="0" t="shared"/>
        <v>-0.51977799879300002</v>
      </c>
      <c r="T15" s="321">
        <v>6</v>
      </c>
      <c r="U15" s="321" t="s">
        <v>268</v>
      </c>
      <c r="V15" s="321"/>
      <c r="W15" s="321"/>
      <c r="X15" s="321"/>
    </row>
    <row ht="15.75" r="16" spans="3:24" thickBot="1" x14ac:dyDescent="0.3">
      <c r="C16" s="311" t="s">
        <v>4</v>
      </c>
      <c r="D16" s="319">
        <f si="1" t="shared"/>
        <v>1</v>
      </c>
      <c r="E16" s="313"/>
      <c r="F16" s="311" t="s">
        <v>4</v>
      </c>
      <c r="G16" s="319">
        <f si="2" t="shared"/>
        <v>1</v>
      </c>
      <c r="H16" s="353"/>
      <c r="I16" s="356"/>
      <c r="J16" s="356"/>
      <c r="K16" s="356"/>
      <c r="M16" s="296" t="str">
        <f>VLOOKUP(N16,Coeff_Descr!$A:$D,3,FALSE)</f>
        <v>ALL</v>
      </c>
      <c r="N16" s="296">
        <f>OtherTourDestination!B24</f>
        <v>14</v>
      </c>
      <c r="O16" s="296" t="str">
        <f>OtherTourDestination!C24</f>
        <v>Beta00014</v>
      </c>
      <c r="P16" s="298">
        <f>OtherTourDestination!E24</f>
        <v>-0.27562686954600002</v>
      </c>
      <c r="Q16" s="337">
        <f si="0" t="shared"/>
        <v>-0.27562686954600002</v>
      </c>
      <c r="T16" s="321">
        <v>7</v>
      </c>
      <c r="U16" s="321" t="s">
        <v>261</v>
      </c>
      <c r="V16" s="321"/>
      <c r="W16" s="321"/>
      <c r="X16" s="321"/>
    </row>
    <row r="17" spans="2:24" x14ac:dyDescent="0.25">
      <c r="M17" s="296" t="str">
        <f>VLOOKUP(N17,Coeff_Descr!$A:$D,3,FALSE)</f>
        <v>ALL</v>
      </c>
      <c r="N17" s="296">
        <f>OtherTourDestination!B25</f>
        <v>15</v>
      </c>
      <c r="O17" s="296" t="str">
        <f>OtherTourDestination!C25</f>
        <v>Beta00015</v>
      </c>
      <c r="P17" s="298">
        <f>OtherTourDestination!E25</f>
        <v>-0.55245424085299999</v>
      </c>
      <c r="Q17" s="337">
        <f si="0" t="shared"/>
        <v>-0.55245424085299999</v>
      </c>
      <c r="T17" s="321">
        <v>8</v>
      </c>
      <c r="U17" s="321" t="s">
        <v>269</v>
      </c>
      <c r="V17" s="321"/>
      <c r="W17" s="321"/>
      <c r="X17" s="321"/>
    </row>
    <row r="18" spans="2:24" x14ac:dyDescent="0.25">
      <c r="I18" s="361"/>
      <c r="J18" s="361"/>
      <c r="K18" s="357"/>
      <c r="M18" s="296" t="str">
        <f>VLOOKUP(N18,Coeff_Descr!$A:$D,3,FALSE)</f>
        <v>ALL</v>
      </c>
      <c r="N18" s="296">
        <f>OtherTourDestination!B26</f>
        <v>16</v>
      </c>
      <c r="O18" s="296" t="str">
        <f>OtherTourDestination!C26</f>
        <v>Beta00016</v>
      </c>
      <c r="P18" s="298">
        <f>OtherTourDestination!E26</f>
        <v>-0.493022087256</v>
      </c>
      <c r="Q18" s="337">
        <f si="0" t="shared"/>
        <v>-0.493022087256</v>
      </c>
    </row>
    <row r="19" spans="2:24" x14ac:dyDescent="0.25">
      <c r="C19" s="320" t="s">
        <v>82</v>
      </c>
      <c r="I19" s="361"/>
      <c r="J19" s="361"/>
      <c r="K19" s="357"/>
      <c r="M19" s="296" t="str">
        <f>VLOOKUP(N19,Coeff_Descr!$A:$D,3,FALSE)</f>
        <v>ALL</v>
      </c>
      <c r="N19" s="296">
        <f>OtherTourDestination!B27</f>
        <v>17</v>
      </c>
      <c r="O19" s="296" t="str">
        <f>OtherTourDestination!C27</f>
        <v>Beta00017</v>
      </c>
      <c r="P19" s="298">
        <f>OtherTourDestination!E27</f>
        <v>0</v>
      </c>
      <c r="Q19" s="337">
        <f si="0" t="shared"/>
        <v>0</v>
      </c>
    </row>
    <row r="20" spans="2:24" x14ac:dyDescent="0.25">
      <c r="C20" s="320" t="s">
        <v>85</v>
      </c>
      <c r="I20" s="361"/>
      <c r="J20" s="361"/>
      <c r="K20" s="357"/>
      <c r="M20" s="296" t="str">
        <f>VLOOKUP(N20,Coeff_Descr!$A:$D,3,FALSE)</f>
        <v>ALL</v>
      </c>
      <c r="N20" s="296">
        <f>OtherTourDestination!B28</f>
        <v>18</v>
      </c>
      <c r="O20" s="296" t="str">
        <f>OtherTourDestination!C28</f>
        <v>Beta00018</v>
      </c>
      <c r="P20" s="298">
        <f>OtherTourDestination!E28</f>
        <v>0</v>
      </c>
      <c r="Q20" s="337">
        <f si="0" t="shared"/>
        <v>0</v>
      </c>
    </row>
    <row ht="15.75" r="21" spans="2:24" thickBot="1" x14ac:dyDescent="0.3">
      <c r="C21" s="321"/>
      <c r="I21" s="361"/>
      <c r="J21" s="361"/>
      <c r="K21" s="357"/>
      <c r="M21" s="296" t="str">
        <f>VLOOKUP(N21,Coeff_Descr!$A:$D,3,FALSE)</f>
        <v>ALL</v>
      </c>
      <c r="N21" s="296">
        <f>OtherTourDestination!B29</f>
        <v>19</v>
      </c>
      <c r="O21" s="296" t="str">
        <f>OtherTourDestination!C29</f>
        <v>Beta00019</v>
      </c>
      <c r="P21" s="298">
        <f>OtherTourDestination!E29</f>
        <v>0</v>
      </c>
      <c r="Q21" s="337">
        <f si="0" t="shared"/>
        <v>0</v>
      </c>
    </row>
    <row r="22" spans="2:24" x14ac:dyDescent="0.25">
      <c r="B22" s="345" t="s">
        <v>247</v>
      </c>
      <c r="C22" s="322" t="s">
        <v>91</v>
      </c>
      <c r="D22" s="323"/>
      <c r="M22" s="296" t="str">
        <f>VLOOKUP(N22,Coeff_Descr!$A:$D,3,FALSE)</f>
        <v>ESCORT</v>
      </c>
      <c r="N22" s="296">
        <f>OtherTourDestination!B30</f>
        <v>20</v>
      </c>
      <c r="O22" s="296" t="str">
        <f>OtherTourDestination!C30</f>
        <v>Beta00020</v>
      </c>
      <c r="P22" s="298">
        <f>OtherTourDestination!E30</f>
        <v>0.63771148688699997</v>
      </c>
      <c r="Q22" s="337">
        <f si="0" t="shared"/>
        <v>0.63771148688699997</v>
      </c>
    </row>
    <row r="23" spans="2:24" x14ac:dyDescent="0.25">
      <c r="B23" s="346">
        <v>37</v>
      </c>
      <c r="C23" s="302" t="s">
        <v>47</v>
      </c>
      <c r="D23" s="376">
        <f>VLOOKUP($B23,$N:$P,3,FALSE)</f>
        <v>-20.810228388700001</v>
      </c>
      <c r="I23" s="362"/>
      <c r="J23" s="362"/>
      <c r="K23" s="362"/>
      <c r="M23" s="296" t="str">
        <f>VLOOKUP(N23,Coeff_Descr!$A:$D,3,FALSE)</f>
        <v>ESCORT</v>
      </c>
      <c r="N23" s="296">
        <f>OtherTourDestination!B31</f>
        <v>21</v>
      </c>
      <c r="O23" s="296" t="str">
        <f>OtherTourDestination!C31</f>
        <v>Beta00021</v>
      </c>
      <c r="P23" s="298">
        <f>OtherTourDestination!E31</f>
        <v>-12.0946718381</v>
      </c>
      <c r="Q23" s="337">
        <f si="0" t="shared"/>
        <v>-12.0946718381</v>
      </c>
    </row>
    <row r="24" spans="2:24" x14ac:dyDescent="0.25">
      <c r="B24" s="346">
        <v>38</v>
      </c>
      <c r="C24" s="305" t="s">
        <v>50</v>
      </c>
      <c r="D24" s="376">
        <f ref="D24:D26" si="5" t="shared">VLOOKUP($B24,$N:$P,3,FALSE)</f>
        <v>-7.1836373472300004</v>
      </c>
      <c r="M24" s="296" t="str">
        <f>VLOOKUP(N24,Coeff_Descr!$A:$D,3,FALSE)</f>
        <v>ESCORT</v>
      </c>
      <c r="N24" s="296">
        <f>OtherTourDestination!B32</f>
        <v>22</v>
      </c>
      <c r="O24" s="296" t="str">
        <f>OtherTourDestination!C32</f>
        <v>Beta00022</v>
      </c>
      <c r="P24" s="298">
        <f>OtherTourDestination!E32</f>
        <v>-4.03623745316</v>
      </c>
      <c r="Q24" s="337">
        <f si="0" t="shared"/>
        <v>-4.03623745316</v>
      </c>
    </row>
    <row r="25" spans="2:24" x14ac:dyDescent="0.25">
      <c r="B25" s="346">
        <v>39</v>
      </c>
      <c r="C25" s="305" t="s">
        <v>53</v>
      </c>
      <c r="D25" s="376">
        <f si="5" t="shared"/>
        <v>-3.6600975390500001</v>
      </c>
      <c r="M25" s="296" t="str">
        <f>VLOOKUP(N25,Coeff_Descr!$A:$D,3,FALSE)</f>
        <v>ESCORT</v>
      </c>
      <c r="N25" s="296">
        <f>OtherTourDestination!B33</f>
        <v>23</v>
      </c>
      <c r="O25" s="296" t="str">
        <f>OtherTourDestination!C33</f>
        <v>Beta00023</v>
      </c>
      <c r="P25" s="298">
        <f>OtherTourDestination!E33</f>
        <v>-2.16371815818</v>
      </c>
      <c r="Q25" s="337">
        <f si="0" t="shared"/>
        <v>-2.16371815818</v>
      </c>
    </row>
    <row ht="15.75" r="26" spans="2:24" thickBot="1" x14ac:dyDescent="0.3">
      <c r="B26" s="347">
        <v>40</v>
      </c>
      <c r="C26" s="325" t="s">
        <v>56</v>
      </c>
      <c r="D26" s="377">
        <f si="5" t="shared"/>
        <v>-1.3605457273599999</v>
      </c>
      <c r="M26" s="296" t="str">
        <f>VLOOKUP(N26,Coeff_Descr!$A:$D,3,FALSE)</f>
        <v>ESCORT</v>
      </c>
      <c r="N26" s="296">
        <f>OtherTourDestination!B34</f>
        <v>24</v>
      </c>
      <c r="O26" s="296" t="str">
        <f>OtherTourDestination!C34</f>
        <v>Beta00024</v>
      </c>
      <c r="P26" s="298">
        <f>OtherTourDestination!E34</f>
        <v>0.10429329553199999</v>
      </c>
      <c r="Q26" s="337">
        <f si="0" t="shared"/>
        <v>0.10429329553199999</v>
      </c>
    </row>
    <row r="27" spans="2:24" x14ac:dyDescent="0.25">
      <c r="C27" s="321"/>
      <c r="D27" s="327"/>
      <c r="M27" s="296" t="str">
        <f>VLOOKUP(N27,Coeff_Descr!$A:$D,3,FALSE)</f>
        <v>ESCORT</v>
      </c>
      <c r="N27" s="296">
        <f>OtherTourDestination!B35</f>
        <v>25</v>
      </c>
      <c r="O27" s="296" t="str">
        <f>OtherTourDestination!C35</f>
        <v>Beta00025</v>
      </c>
      <c r="P27" s="298">
        <f>OtherTourDestination!E35</f>
        <v>0</v>
      </c>
      <c r="Q27" s="337">
        <f si="0" t="shared"/>
        <v>0</v>
      </c>
    </row>
    <row r="28" spans="2:24" x14ac:dyDescent="0.25">
      <c r="C28" s="321"/>
      <c r="D28" s="327"/>
      <c r="M28" s="296" t="str">
        <f>VLOOKUP(N28,Coeff_Descr!$A:$D,3,FALSE)</f>
        <v>PERSBUS/MED</v>
      </c>
      <c r="N28" s="296">
        <f>OtherTourDestination!B36</f>
        <v>26</v>
      </c>
      <c r="O28" s="296" t="str">
        <f>OtherTourDestination!C36</f>
        <v>Beta00026</v>
      </c>
      <c r="P28" s="298">
        <f>OtherTourDestination!E36</f>
        <v>0.417326479157</v>
      </c>
      <c r="Q28" s="337">
        <f si="0" t="shared"/>
        <v>0.417326479157</v>
      </c>
    </row>
    <row r="29" spans="2:24" x14ac:dyDescent="0.25">
      <c r="C29" s="320" t="s">
        <v>82</v>
      </c>
      <c r="D29" s="328"/>
      <c r="M29" s="296" t="str">
        <f>VLOOKUP(N29,Coeff_Descr!$A:$D,3,FALSE)</f>
        <v>PERSBUS/MED</v>
      </c>
      <c r="N29" s="296">
        <f>OtherTourDestination!B37</f>
        <v>27</v>
      </c>
      <c r="O29" s="296" t="str">
        <f>OtherTourDestination!C37</f>
        <v>Beta00027</v>
      </c>
      <c r="P29" s="298">
        <f>OtherTourDestination!E37</f>
        <v>-14.8384910501</v>
      </c>
      <c r="Q29" s="337">
        <f si="0" t="shared"/>
        <v>-14.8384910501</v>
      </c>
    </row>
    <row r="30" spans="2:24" x14ac:dyDescent="0.25">
      <c r="C30" s="320" t="s">
        <v>107</v>
      </c>
      <c r="D30" s="328"/>
      <c r="M30" s="296" t="str">
        <f>VLOOKUP(N30,Coeff_Descr!$A:$D,3,FALSE)</f>
        <v>PERSBUS/MED</v>
      </c>
      <c r="N30" s="296">
        <f>OtherTourDestination!B38</f>
        <v>28</v>
      </c>
      <c r="O30" s="296" t="str">
        <f>OtherTourDestination!C38</f>
        <v>Beta00028</v>
      </c>
      <c r="P30" s="298">
        <f>OtherTourDestination!E38</f>
        <v>-5.1880432348000003</v>
      </c>
      <c r="Q30" s="337">
        <f si="0" t="shared"/>
        <v>-5.1880432348000003</v>
      </c>
    </row>
    <row ht="15.75" r="31" spans="2:24" thickBot="1" x14ac:dyDescent="0.3">
      <c r="C31" s="321"/>
      <c r="D31" s="327"/>
      <c r="M31" s="296" t="str">
        <f>VLOOKUP(N31,Coeff_Descr!$A:$D,3,FALSE)</f>
        <v>PERSBUS/MED</v>
      </c>
      <c r="N31" s="296">
        <f>OtherTourDestination!B39</f>
        <v>29</v>
      </c>
      <c r="O31" s="296" t="str">
        <f>OtherTourDestination!C39</f>
        <v>Beta00029</v>
      </c>
      <c r="P31" s="298">
        <f>OtherTourDestination!E39</f>
        <v>-2.6156308707</v>
      </c>
      <c r="Q31" s="337">
        <f si="0" t="shared"/>
        <v>-2.6156308707</v>
      </c>
    </row>
    <row r="32" spans="2:24" x14ac:dyDescent="0.25">
      <c r="B32" s="345" t="s">
        <v>247</v>
      </c>
      <c r="C32" s="322" t="s">
        <v>91</v>
      </c>
      <c r="D32" s="323"/>
      <c r="M32" s="296" t="str">
        <f>VLOOKUP(N32,Coeff_Descr!$A:$D,3,FALSE)</f>
        <v>PERSBUS/MED</v>
      </c>
      <c r="N32" s="296">
        <f>OtherTourDestination!B40</f>
        <v>30</v>
      </c>
      <c r="O32" s="296" t="str">
        <f>OtherTourDestination!C40</f>
        <v>Beta00030</v>
      </c>
      <c r="P32" s="298">
        <f>OtherTourDestination!E40</f>
        <v>-0.91046169190000004</v>
      </c>
      <c r="Q32" s="337">
        <f si="0" t="shared"/>
        <v>-0.91046169190000004</v>
      </c>
    </row>
    <row r="33" spans="2:18" x14ac:dyDescent="0.25">
      <c r="B33" s="346">
        <f>B23</f>
        <v>37</v>
      </c>
      <c r="C33" s="302" t="s">
        <v>47</v>
      </c>
      <c r="D33" s="378">
        <f>K12</f>
        <v>-0.50889515989357892</v>
      </c>
      <c r="M33" s="296" t="str">
        <f>VLOOKUP(N33,Coeff_Descr!$A:$D,3,FALSE)</f>
        <v>PERSBUS/MED</v>
      </c>
      <c r="N33" s="296">
        <f>OtherTourDestination!B41</f>
        <v>31</v>
      </c>
      <c r="O33" s="296" t="str">
        <f>OtherTourDestination!C41</f>
        <v>Beta00031</v>
      </c>
      <c r="P33" s="298">
        <f>OtherTourDestination!E41</f>
        <v>5.7553461640599997E-2</v>
      </c>
      <c r="Q33" s="337">
        <f si="0" t="shared"/>
        <v>5.7553461640599997E-2</v>
      </c>
    </row>
    <row r="34" spans="2:18" x14ac:dyDescent="0.25">
      <c r="B34" s="346">
        <f ref="B34:B36" si="6" t="shared">B24</f>
        <v>38</v>
      </c>
      <c r="C34" s="305" t="s">
        <v>50</v>
      </c>
      <c r="D34" s="379">
        <f ref="D34:D36" si="7" t="shared">K13</f>
        <v>0.24791538588036699</v>
      </c>
      <c r="M34" s="296" t="str">
        <f>VLOOKUP(N34,Coeff_Descr!$A:$D,3,FALSE)</f>
        <v>PERSBUS/MED</v>
      </c>
      <c r="N34" s="296">
        <f>OtherTourDestination!B42</f>
        <v>32</v>
      </c>
      <c r="O34" s="296" t="str">
        <f>OtherTourDestination!C42</f>
        <v>Beta00032</v>
      </c>
      <c r="P34" s="298">
        <f>OtherTourDestination!E42</f>
        <v>0.237798002151</v>
      </c>
      <c r="Q34" s="337">
        <f si="0" t="shared"/>
        <v>0.237798002151</v>
      </c>
    </row>
    <row r="35" spans="2:18" x14ac:dyDescent="0.25">
      <c r="B35" s="346">
        <f si="6" t="shared"/>
        <v>39</v>
      </c>
      <c r="C35" s="305" t="s">
        <v>53</v>
      </c>
      <c r="D35" s="379">
        <f si="7" t="shared"/>
        <v>0.78003371937712662</v>
      </c>
      <c r="G35" s="329"/>
      <c r="H35" s="329"/>
      <c r="I35" s="329"/>
      <c r="J35" s="329"/>
      <c r="K35" s="329"/>
      <c r="M35" s="296" t="str">
        <f>VLOOKUP(N35,Coeff_Descr!$A:$D,3,FALSE)</f>
        <v>PERSBUS/MED</v>
      </c>
      <c r="N35" s="296">
        <f>OtherTourDestination!B43</f>
        <v>33</v>
      </c>
      <c r="O35" s="296" t="str">
        <f>OtherTourDestination!C43</f>
        <v>Beta00033</v>
      </c>
      <c r="P35" s="298">
        <f>OtherTourDestination!E43</f>
        <v>0</v>
      </c>
      <c r="Q35" s="337">
        <f si="0" t="shared"/>
        <v>0</v>
      </c>
    </row>
    <row ht="15.75" r="36" spans="2:18" thickBot="1" x14ac:dyDescent="0.3">
      <c r="B36" s="348">
        <f si="6" t="shared"/>
        <v>40</v>
      </c>
      <c r="C36" s="325" t="s">
        <v>56</v>
      </c>
      <c r="D36" s="326">
        <f si="7" t="shared"/>
        <v>3.4119107924662009</v>
      </c>
      <c r="G36" s="330"/>
      <c r="H36" s="330"/>
      <c r="I36" s="330"/>
      <c r="J36" s="330"/>
      <c r="K36" s="330"/>
      <c r="M36" s="296" t="str">
        <f>VLOOKUP(N36,Coeff_Descr!$A:$D,3,FALSE)</f>
        <v>PERSBUS/MED</v>
      </c>
      <c r="N36" s="296">
        <f>OtherTourDestination!B44</f>
        <v>34</v>
      </c>
      <c r="O36" s="296" t="str">
        <f>OtherTourDestination!C44</f>
        <v>Beta00034</v>
      </c>
      <c r="P36" s="298">
        <f>OtherTourDestination!E44</f>
        <v>0</v>
      </c>
      <c r="Q36" s="337">
        <f si="0" t="shared"/>
        <v>0</v>
      </c>
    </row>
    <row ht="15.75" r="37" spans="2:18" thickTop="1" x14ac:dyDescent="0.25">
      <c r="C37" s="321"/>
      <c r="D37" s="324"/>
      <c r="M37" s="296" t="str">
        <f>VLOOKUP(N37,Coeff_Descr!$A:$D,3,FALSE)</f>
        <v>PERSBUS/MED</v>
      </c>
      <c r="N37" s="296">
        <f>OtherTourDestination!B45</f>
        <v>35</v>
      </c>
      <c r="O37" s="296" t="str">
        <f>OtherTourDestination!C45</f>
        <v>Beta00035</v>
      </c>
      <c r="P37" s="298">
        <f>OtherTourDestination!E45</f>
        <v>0</v>
      </c>
      <c r="Q37" s="337">
        <f si="0" t="shared"/>
        <v>0</v>
      </c>
    </row>
    <row r="38" spans="2:18" x14ac:dyDescent="0.25">
      <c r="C38" s="321"/>
      <c r="D38" s="324"/>
      <c r="M38" s="296" t="str">
        <f>VLOOKUP(N38,Coeff_Descr!$A:$D,3,FALSE)</f>
        <v>SHOP</v>
      </c>
      <c r="N38" s="296">
        <f>OtherTourDestination!B46</f>
        <v>36</v>
      </c>
      <c r="O38" s="296" t="str">
        <f>OtherTourDestination!C46</f>
        <v>Beta00036</v>
      </c>
      <c r="P38" s="298">
        <f>OtherTourDestination!E46</f>
        <v>0.61259135262599995</v>
      </c>
      <c r="Q38" s="337">
        <f si="0" t="shared"/>
        <v>0.61259135262599995</v>
      </c>
    </row>
    <row r="39" spans="2:18" x14ac:dyDescent="0.25">
      <c r="C39" s="320" t="s">
        <v>82</v>
      </c>
      <c r="D39" s="331"/>
      <c r="M39" s="296" t="str">
        <f>VLOOKUP(N39,Coeff_Descr!$A:$D,3,FALSE)</f>
        <v>SHOP</v>
      </c>
      <c r="N39" s="338">
        <f>OtherTourDestination!B47</f>
        <v>37</v>
      </c>
      <c r="O39" s="338" t="str">
        <f>OtherTourDestination!C47</f>
        <v>Beta00037</v>
      </c>
      <c r="P39" s="339">
        <f>OtherTourDestination!E47</f>
        <v>-20.810228388700001</v>
      </c>
      <c r="Q39" s="340">
        <f si="0" t="shared"/>
        <v>-21.319123548593581</v>
      </c>
      <c r="R39" s="296" t="str">
        <f>VLOOKUP(N39,Coeff_Descr!$A$2:$E$104,4,FALSE)</f>
        <v>distanceFromOrigin4</v>
      </c>
    </row>
    <row r="40" spans="2:18" x14ac:dyDescent="0.25">
      <c r="C40" s="320" t="s">
        <v>125</v>
      </c>
      <c r="D40" s="331"/>
      <c r="M40" s="296" t="str">
        <f>VLOOKUP(N40,Coeff_Descr!$A:$D,3,FALSE)</f>
        <v>SHOP</v>
      </c>
      <c r="N40" s="338">
        <f>OtherTourDestination!B48</f>
        <v>38</v>
      </c>
      <c r="O40" s="338" t="str">
        <f>OtherTourDestination!C48</f>
        <v>Beta00038</v>
      </c>
      <c r="P40" s="339">
        <f>OtherTourDestination!E48</f>
        <v>-7.1836373472300004</v>
      </c>
      <c r="Q40" s="340">
        <f si="0" t="shared"/>
        <v>-6.9357219613496337</v>
      </c>
      <c r="R40" s="296" t="str">
        <f>VLOOKUP(N40,Coeff_Descr!$A$2:$E$104,4,FALSE)</f>
        <v>distanceFromOrigin8</v>
      </c>
    </row>
    <row ht="15.75" r="41" spans="2:18" thickBot="1" x14ac:dyDescent="0.3">
      <c r="B41" s="349"/>
      <c r="C41" s="321"/>
      <c r="D41" s="324"/>
      <c r="M41" s="296" t="str">
        <f>VLOOKUP(N41,Coeff_Descr!$A:$D,3,FALSE)</f>
        <v>SHOP</v>
      </c>
      <c r="N41" s="338">
        <f>OtherTourDestination!B49</f>
        <v>39</v>
      </c>
      <c r="O41" s="338" t="str">
        <f>OtherTourDestination!C49</f>
        <v>Beta00039</v>
      </c>
      <c r="P41" s="339">
        <f>OtherTourDestination!E49</f>
        <v>-3.6600975390500001</v>
      </c>
      <c r="Q41" s="340">
        <f si="0" t="shared"/>
        <v>-2.8800638196728734</v>
      </c>
      <c r="R41" s="296" t="str">
        <f>VLOOKUP(N41,Coeff_Descr!$A$2:$E$104,4,FALSE)</f>
        <v>distanceFromOrigin9</v>
      </c>
    </row>
    <row r="42" spans="2:18" x14ac:dyDescent="0.25">
      <c r="B42" s="345" t="s">
        <v>247</v>
      </c>
      <c r="C42" s="322" t="s">
        <v>91</v>
      </c>
      <c r="D42" s="332"/>
      <c r="M42" s="296" t="str">
        <f>VLOOKUP(N42,Coeff_Descr!$A:$D,3,FALSE)</f>
        <v>SHOP</v>
      </c>
      <c r="N42" s="338">
        <f>OtherTourDestination!B50</f>
        <v>40</v>
      </c>
      <c r="O42" s="338" t="str">
        <f>OtherTourDestination!C50</f>
        <v>Beta00040</v>
      </c>
      <c r="P42" s="339">
        <f>OtherTourDestination!E50</f>
        <v>-1.3605457273599999</v>
      </c>
      <c r="Q42" s="340">
        <f si="0" t="shared"/>
        <v>2.051365065106201</v>
      </c>
      <c r="R42" s="296" t="str">
        <f>VLOOKUP(N42,Coeff_Descr!$A$2:$E$104,4,FALSE)</f>
        <v>distanceFromOrigin3</v>
      </c>
    </row>
    <row r="43" spans="2:18" x14ac:dyDescent="0.25">
      <c r="B43" s="346">
        <f>B33</f>
        <v>37</v>
      </c>
      <c r="C43" s="302" t="s">
        <v>47</v>
      </c>
      <c r="D43" s="380">
        <f>D23+D33</f>
        <v>-21.319123548593581</v>
      </c>
      <c r="M43" s="296" t="str">
        <f>VLOOKUP(N43,Coeff_Descr!$A:$D,3,FALSE)</f>
        <v>SHOP</v>
      </c>
      <c r="N43" s="296">
        <f>OtherTourDestination!B51</f>
        <v>41</v>
      </c>
      <c r="O43" s="296" t="str">
        <f>OtherTourDestination!C51</f>
        <v>Beta00041</v>
      </c>
      <c r="P43" s="298">
        <f>OtherTourDestination!E51</f>
        <v>-0.22141031751900001</v>
      </c>
      <c r="Q43" s="337">
        <f si="0" t="shared"/>
        <v>-0.22141031751900001</v>
      </c>
    </row>
    <row r="44" spans="2:18" x14ac:dyDescent="0.25">
      <c r="B44" s="346">
        <f ref="B44:B46" si="8" t="shared">B34</f>
        <v>38</v>
      </c>
      <c r="C44" s="305" t="s">
        <v>50</v>
      </c>
      <c r="D44" s="380">
        <f ref="D44:D46" si="9" t="shared">D24+D34</f>
        <v>-6.9357219613496337</v>
      </c>
      <c r="M44" s="296" t="str">
        <f>VLOOKUP(N44,Coeff_Descr!$A:$D,3,FALSE)</f>
        <v>SHOP</v>
      </c>
      <c r="N44" s="296">
        <f>OtherTourDestination!B52</f>
        <v>42</v>
      </c>
      <c r="O44" s="296" t="str">
        <f>OtherTourDestination!C52</f>
        <v>Beta00042</v>
      </c>
      <c r="P44" s="298">
        <f>OtherTourDestination!E52</f>
        <v>0.64228876129599999</v>
      </c>
      <c r="Q44" s="337">
        <f si="0" t="shared"/>
        <v>0.64228876129599999</v>
      </c>
    </row>
    <row r="45" spans="2:18" x14ac:dyDescent="0.25">
      <c r="B45" s="346">
        <f si="8" t="shared"/>
        <v>39</v>
      </c>
      <c r="C45" s="305" t="s">
        <v>53</v>
      </c>
      <c r="D45" s="380">
        <f si="9" t="shared"/>
        <v>-2.8800638196728734</v>
      </c>
      <c r="M45" s="296" t="str">
        <f>VLOOKUP(N45,Coeff_Descr!$A:$D,3,FALSE)</f>
        <v>MEAL</v>
      </c>
      <c r="N45" s="296">
        <f>OtherTourDestination!B53</f>
        <v>43</v>
      </c>
      <c r="O45" s="296" t="str">
        <f>OtherTourDestination!C53</f>
        <v>Beta00043</v>
      </c>
      <c r="P45" s="298">
        <f>OtherTourDestination!E53</f>
        <v>0.74588429254199995</v>
      </c>
      <c r="Q45" s="337">
        <f si="0" t="shared"/>
        <v>0.74588429254199995</v>
      </c>
    </row>
    <row ht="15.75" r="46" spans="2:18" thickBot="1" x14ac:dyDescent="0.3">
      <c r="B46" s="348">
        <f si="8" t="shared"/>
        <v>40</v>
      </c>
      <c r="C46" s="325" t="s">
        <v>56</v>
      </c>
      <c r="D46" s="381">
        <f si="9" t="shared"/>
        <v>2.051365065106201</v>
      </c>
      <c r="M46" s="296" t="str">
        <f>VLOOKUP(N46,Coeff_Descr!$A:$D,3,FALSE)</f>
        <v>MEAL</v>
      </c>
      <c r="N46" s="296">
        <f>OtherTourDestination!B54</f>
        <v>44</v>
      </c>
      <c r="O46" s="296" t="str">
        <f>OtherTourDestination!C54</f>
        <v>Beta00044</v>
      </c>
      <c r="P46" s="298">
        <f>OtherTourDestination!E54</f>
        <v>-32.156094092099998</v>
      </c>
      <c r="Q46" s="337">
        <f si="0" t="shared"/>
        <v>-32.156094092099998</v>
      </c>
    </row>
    <row ht="15.75" r="47" spans="2:18" thickTop="1" x14ac:dyDescent="0.25">
      <c r="M47" s="296" t="str">
        <f>VLOOKUP(N47,Coeff_Descr!$A:$D,3,FALSE)</f>
        <v>MEAL</v>
      </c>
      <c r="N47" s="296">
        <f>OtherTourDestination!B55</f>
        <v>45</v>
      </c>
      <c r="O47" s="296" t="str">
        <f>OtherTourDestination!C55</f>
        <v>Beta00045</v>
      </c>
      <c r="P47" s="298">
        <f>OtherTourDestination!E55</f>
        <v>-7.5551873767200002</v>
      </c>
      <c r="Q47" s="337">
        <f si="0" t="shared"/>
        <v>-7.5551873767200002</v>
      </c>
    </row>
    <row r="48" spans="2:18" x14ac:dyDescent="0.25">
      <c r="M48" s="296" t="str">
        <f>VLOOKUP(N48,Coeff_Descr!$A:$D,3,FALSE)</f>
        <v>MEAL</v>
      </c>
      <c r="N48" s="296">
        <f>OtherTourDestination!B56</f>
        <v>46</v>
      </c>
      <c r="O48" s="296" t="str">
        <f>OtherTourDestination!C56</f>
        <v>Beta00046</v>
      </c>
      <c r="P48" s="298">
        <f>OtherTourDestination!E56</f>
        <v>-3.4784098231399998</v>
      </c>
      <c r="Q48" s="337">
        <f si="0" t="shared"/>
        <v>-3.4784098231399998</v>
      </c>
    </row>
    <row r="49" spans="13:17" x14ac:dyDescent="0.25">
      <c r="M49" s="296" t="str">
        <f>VLOOKUP(N49,Coeff_Descr!$A:$D,3,FALSE)</f>
        <v>MEAL</v>
      </c>
      <c r="N49" s="296">
        <f>OtherTourDestination!B57</f>
        <v>47</v>
      </c>
      <c r="O49" s="296" t="str">
        <f>OtherTourDestination!C57</f>
        <v>Beta00047</v>
      </c>
      <c r="P49" s="298">
        <f>OtherTourDestination!E57</f>
        <v>-0.79171784712299997</v>
      </c>
      <c r="Q49" s="337">
        <f si="0" t="shared"/>
        <v>-0.79171784712299997</v>
      </c>
    </row>
    <row r="50" spans="13:17" x14ac:dyDescent="0.25">
      <c r="M50" s="296" t="str">
        <f>VLOOKUP(N50,Coeff_Descr!$A:$D,3,FALSE)</f>
        <v>MEAL</v>
      </c>
      <c r="N50" s="296">
        <f>OtherTourDestination!B58</f>
        <v>48</v>
      </c>
      <c r="O50" s="296" t="str">
        <f>OtherTourDestination!C58</f>
        <v>Beta00048</v>
      </c>
      <c r="P50" s="298">
        <f>OtherTourDestination!E58</f>
        <v>0.65760260093900003</v>
      </c>
      <c r="Q50" s="337">
        <f si="0" t="shared"/>
        <v>0.65760260093900003</v>
      </c>
    </row>
    <row r="51" spans="13:17" x14ac:dyDescent="0.25">
      <c r="M51" s="296" t="str">
        <f>VLOOKUP(N51,Coeff_Descr!$A:$D,3,FALSE)</f>
        <v>SOCREC</v>
      </c>
      <c r="N51" s="296">
        <f>OtherTourDestination!B59</f>
        <v>49</v>
      </c>
      <c r="O51" s="296" t="str">
        <f>OtherTourDestination!C59</f>
        <v>Beta00049</v>
      </c>
      <c r="P51" s="298">
        <f>OtherTourDestination!E59</f>
        <v>0.201576719663</v>
      </c>
      <c r="Q51" s="337">
        <f si="0" t="shared"/>
        <v>0.201576719663</v>
      </c>
    </row>
    <row r="52" spans="13:17" x14ac:dyDescent="0.25">
      <c r="M52" s="296" t="str">
        <f>VLOOKUP(N52,Coeff_Descr!$A:$D,3,FALSE)</f>
        <v>SOCREC</v>
      </c>
      <c r="N52" s="333">
        <f>OtherTourDestination!B60</f>
        <v>50</v>
      </c>
      <c r="O52" s="333" t="str">
        <f>OtherTourDestination!C60</f>
        <v>Beta00050</v>
      </c>
      <c r="P52" s="375">
        <f>OtherTourDestination!E60</f>
        <v>-28.552058518999999</v>
      </c>
      <c r="Q52" s="337">
        <f si="0" t="shared"/>
        <v>-28.552058518999999</v>
      </c>
    </row>
    <row r="53" spans="13:17" x14ac:dyDescent="0.25">
      <c r="M53" s="296" t="str">
        <f>VLOOKUP(N53,Coeff_Descr!$A:$D,3,FALSE)</f>
        <v>SOCREC</v>
      </c>
      <c r="N53" s="333">
        <f>OtherTourDestination!B61</f>
        <v>51</v>
      </c>
      <c r="O53" s="333" t="str">
        <f>OtherTourDestination!C61</f>
        <v>Beta00051</v>
      </c>
      <c r="P53" s="375">
        <f>OtherTourDestination!E61</f>
        <v>-7.25833529236</v>
      </c>
      <c r="Q53" s="337">
        <f si="0" t="shared"/>
        <v>-7.25833529236</v>
      </c>
    </row>
    <row r="54" spans="13:17" x14ac:dyDescent="0.25">
      <c r="M54" s="296" t="str">
        <f>VLOOKUP(N54,Coeff_Descr!$A:$D,3,FALSE)</f>
        <v>SOCREC</v>
      </c>
      <c r="N54" s="333">
        <f>OtherTourDestination!B62</f>
        <v>52</v>
      </c>
      <c r="O54" s="333" t="str">
        <f>OtherTourDestination!C62</f>
        <v>Beta00052</v>
      </c>
      <c r="P54" s="375">
        <f>OtherTourDestination!E62</f>
        <v>-2.64524710889</v>
      </c>
      <c r="Q54" s="337">
        <f si="0" t="shared"/>
        <v>-2.64524710889</v>
      </c>
    </row>
    <row r="55" spans="13:17" x14ac:dyDescent="0.25">
      <c r="M55" s="296" t="str">
        <f>VLOOKUP(N55,Coeff_Descr!$A:$D,3,FALSE)</f>
        <v>SOCREC</v>
      </c>
      <c r="N55" s="333">
        <f>OtherTourDestination!B63</f>
        <v>53</v>
      </c>
      <c r="O55" s="333" t="str">
        <f>OtherTourDestination!C63</f>
        <v>Beta00053</v>
      </c>
      <c r="P55" s="375">
        <f>OtherTourDestination!E63</f>
        <v>-0.76461618005800003</v>
      </c>
      <c r="Q55" s="337">
        <f si="0" t="shared"/>
        <v>-0.76461618005800003</v>
      </c>
    </row>
    <row r="56" spans="13:17" x14ac:dyDescent="0.25">
      <c r="M56" s="296" t="str">
        <f>VLOOKUP(N56,Coeff_Descr!$A:$D,3,FALSE)</f>
        <v>SOCREC</v>
      </c>
      <c r="N56" s="296">
        <f>OtherTourDestination!B64</f>
        <v>54</v>
      </c>
      <c r="O56" s="296" t="str">
        <f>OtherTourDestination!C64</f>
        <v>Beta00054</v>
      </c>
      <c r="P56" s="298">
        <f>OtherTourDestination!E64</f>
        <v>0.20818008309700001</v>
      </c>
      <c r="Q56" s="337">
        <f si="0" t="shared"/>
        <v>0.20818008309700001</v>
      </c>
    </row>
    <row r="57" spans="13:17" x14ac:dyDescent="0.25">
      <c r="M57" s="296" t="str">
        <f>VLOOKUP(N57,Coeff_Descr!$A:$D,3,FALSE)</f>
        <v>SOCREC</v>
      </c>
      <c r="N57" s="296">
        <f>OtherTourDestination!B65</f>
        <v>55</v>
      </c>
      <c r="O57" s="296" t="str">
        <f>OtherTourDestination!C65</f>
        <v>Beta00055</v>
      </c>
      <c r="P57" s="298">
        <f>OtherTourDestination!E65</f>
        <v>0.42522231451499998</v>
      </c>
      <c r="Q57" s="337">
        <f si="0" t="shared"/>
        <v>0.42522231451499998</v>
      </c>
    </row>
    <row r="58" spans="13:17" x14ac:dyDescent="0.25">
      <c r="M58" s="296" t="str">
        <f>VLOOKUP(N58,Coeff_Descr!$A:$D,3,FALSE)</f>
        <v>SOCREC</v>
      </c>
      <c r="N58" s="296">
        <f>OtherTourDestination!B66</f>
        <v>56</v>
      </c>
      <c r="O58" s="296" t="str">
        <f>OtherTourDestination!C66</f>
        <v>Beta00056</v>
      </c>
      <c r="P58" s="298">
        <f>OtherTourDestination!E66</f>
        <v>-0.743588483327</v>
      </c>
      <c r="Q58" s="337">
        <f si="0" t="shared"/>
        <v>-0.743588483327</v>
      </c>
    </row>
    <row r="59" spans="13:17" x14ac:dyDescent="0.25">
      <c r="M59" s="296" t="str">
        <f>VLOOKUP(N59,Coeff_Descr!$A:$D,3,FALSE)</f>
        <v>SOCREC</v>
      </c>
      <c r="N59" s="296">
        <f>OtherTourDestination!B67</f>
        <v>57</v>
      </c>
      <c r="O59" s="296" t="str">
        <f>OtherTourDestination!C67</f>
        <v>Beta00057</v>
      </c>
      <c r="P59" s="298">
        <f>OtherTourDestination!E67</f>
        <v>6.2100000000000002E-2</v>
      </c>
      <c r="Q59" s="337">
        <f si="0" t="shared"/>
        <v>6.2100000000000002E-2</v>
      </c>
    </row>
    <row r="60" spans="13:17" x14ac:dyDescent="0.25">
      <c r="M60" s="296">
        <f>VLOOKUP(N60,Coeff_Descr!$A:$D,3,FALSE)</f>
        <v>0</v>
      </c>
      <c r="N60" s="296">
        <f>OtherTourDestination!B68</f>
        <v>118</v>
      </c>
      <c r="O60" s="296" t="str">
        <f>OtherTourDestination!C68</f>
        <v>Beta00118</v>
      </c>
      <c r="P60" s="298">
        <f>OtherTourDestination!E68</f>
        <v>-3</v>
      </c>
      <c r="Q60" s="337">
        <f si="0" t="shared"/>
        <v>-3</v>
      </c>
    </row>
    <row r="61" spans="13:17" x14ac:dyDescent="0.25">
      <c r="M61" s="296" t="str">
        <f>VLOOKUP(N61,Coeff_Descr!$A:$D,3,FALSE)</f>
        <v>ESCORT</v>
      </c>
      <c r="N61" s="296">
        <f>OtherTourDestination!B69</f>
        <v>70</v>
      </c>
      <c r="O61" s="296" t="str">
        <f>OtherTourDestination!C69</f>
        <v>LSM_0070</v>
      </c>
      <c r="P61" s="298">
        <f>OtherTourDestination!E69</f>
        <v>0.29394695214400002</v>
      </c>
      <c r="Q61" s="337">
        <f si="0" t="shared"/>
        <v>0.29394695214400002</v>
      </c>
    </row>
    <row r="62" spans="13:17" x14ac:dyDescent="0.25">
      <c r="M62" s="296" t="str">
        <f>VLOOKUP(N62,Coeff_Descr!$A:$D,3,FALSE)</f>
        <v>ESCORT</v>
      </c>
      <c r="N62" s="296">
        <f>OtherTourDestination!B70</f>
        <v>71</v>
      </c>
      <c r="O62" s="296" t="str">
        <f>OtherTourDestination!C70</f>
        <v>Gamma071</v>
      </c>
      <c r="P62" s="298">
        <f>OtherTourDestination!E70</f>
        <v>0</v>
      </c>
      <c r="Q62" s="337">
        <f si="0" t="shared"/>
        <v>0</v>
      </c>
    </row>
    <row r="63" spans="13:17" x14ac:dyDescent="0.25">
      <c r="M63" s="296" t="str">
        <f>VLOOKUP(N63,Coeff_Descr!$A:$D,3,FALSE)</f>
        <v>ESCORT</v>
      </c>
      <c r="N63" s="296">
        <f>OtherTourDestination!B71</f>
        <v>72</v>
      </c>
      <c r="O63" s="296" t="str">
        <f>OtherTourDestination!C71</f>
        <v>Gamma072</v>
      </c>
      <c r="P63" s="298">
        <f>OtherTourDestination!E71</f>
        <v>-6.2798471793299999</v>
      </c>
      <c r="Q63" s="337">
        <f si="0" t="shared"/>
        <v>-6.2798471793299999</v>
      </c>
    </row>
    <row r="64" spans="13:17" x14ac:dyDescent="0.25">
      <c r="M64" s="296" t="str">
        <f>VLOOKUP(N64,Coeff_Descr!$A:$D,3,FALSE)</f>
        <v>ESCORT</v>
      </c>
      <c r="N64" s="296">
        <f>OtherTourDestination!B72</f>
        <v>73</v>
      </c>
      <c r="O64" s="296" t="str">
        <f>OtherTourDestination!C72</f>
        <v>Gamma073</v>
      </c>
      <c r="P64" s="298">
        <f>OtherTourDestination!E72</f>
        <v>3.2962256518299999</v>
      </c>
      <c r="Q64" s="337">
        <f si="0" t="shared"/>
        <v>3.2962256518299999</v>
      </c>
    </row>
    <row r="65" spans="13:17" x14ac:dyDescent="0.25">
      <c r="M65" s="296" t="str">
        <f>VLOOKUP(N65,Coeff_Descr!$A:$D,3,FALSE)</f>
        <v>ESCORT</v>
      </c>
      <c r="N65" s="296">
        <f>OtherTourDestination!B73</f>
        <v>74</v>
      </c>
      <c r="O65" s="296" t="str">
        <f>OtherTourDestination!C73</f>
        <v>Gamma074</v>
      </c>
      <c r="P65" s="298">
        <f>OtherTourDestination!E73</f>
        <v>-5.4150639062700003</v>
      </c>
      <c r="Q65" s="337">
        <f si="0" t="shared"/>
        <v>-5.4150639062700003</v>
      </c>
    </row>
    <row r="66" spans="13:17" x14ac:dyDescent="0.25">
      <c r="M66" s="296" t="str">
        <f>VLOOKUP(N66,Coeff_Descr!$A:$D,3,FALSE)</f>
        <v>ESCORT</v>
      </c>
      <c r="N66" s="296">
        <f>OtherTourDestination!B74</f>
        <v>75</v>
      </c>
      <c r="O66" s="296" t="str">
        <f>OtherTourDestination!C74</f>
        <v>Gamma075</v>
      </c>
      <c r="P66" s="298">
        <f>OtherTourDestination!E74</f>
        <v>-5.94820877094</v>
      </c>
      <c r="Q66" s="337">
        <f si="0" t="shared"/>
        <v>-5.94820877094</v>
      </c>
    </row>
    <row r="67" spans="13:17" x14ac:dyDescent="0.25">
      <c r="M67" s="296" t="str">
        <f>VLOOKUP(N67,Coeff_Descr!$A:$D,3,FALSE)</f>
        <v>ESCORT</v>
      </c>
      <c r="N67" s="296">
        <f>OtherTourDestination!B75</f>
        <v>76</v>
      </c>
      <c r="O67" s="296" t="str">
        <f>OtherTourDestination!C75</f>
        <v>Gamma076</v>
      </c>
      <c r="P67" s="298">
        <f>OtherTourDestination!E75</f>
        <v>-4.8479831726300002</v>
      </c>
      <c r="Q67" s="337">
        <f si="0" t="shared"/>
        <v>-4.8479831726300002</v>
      </c>
    </row>
    <row r="68" spans="13:17" x14ac:dyDescent="0.25">
      <c r="M68" s="296" t="str">
        <f>VLOOKUP(N68,Coeff_Descr!$A:$D,3,FALSE)</f>
        <v>ESCORT</v>
      </c>
      <c r="N68" s="296">
        <f>OtherTourDestination!B76</f>
        <v>77</v>
      </c>
      <c r="O68" s="296" t="str">
        <f>OtherTourDestination!C76</f>
        <v>Gamma077</v>
      </c>
      <c r="P68" s="298">
        <f>OtherTourDestination!E76</f>
        <v>-5.4883496585599998</v>
      </c>
      <c r="Q68" s="337">
        <f si="0" t="shared"/>
        <v>-5.4883496585599998</v>
      </c>
    </row>
    <row r="69" spans="13:17" x14ac:dyDescent="0.25">
      <c r="M69" s="296" t="str">
        <f>VLOOKUP(N69,Coeff_Descr!$A:$D,3,FALSE)</f>
        <v>ESCORT</v>
      </c>
      <c r="N69" s="296">
        <f>OtherTourDestination!B77</f>
        <v>78</v>
      </c>
      <c r="O69" s="296" t="str">
        <f>OtherTourDestination!C77</f>
        <v>Gamma078</v>
      </c>
      <c r="P69" s="298">
        <f>OtherTourDestination!E77</f>
        <v>-6.9308352438999998</v>
      </c>
      <c r="Q69" s="337">
        <f ref="Q69:Q104" si="10" t="shared">_xlfn.IFNA(VLOOKUP(N69,$B$43:$D$46,3,FALSE),P69)</f>
        <v>-6.9308352438999998</v>
      </c>
    </row>
    <row r="70" spans="13:17" x14ac:dyDescent="0.25">
      <c r="M70" s="296" t="str">
        <f>VLOOKUP(N70,Coeff_Descr!$A:$D,3,FALSE)</f>
        <v>ESCORT</v>
      </c>
      <c r="N70" s="296">
        <f>OtherTourDestination!B78</f>
        <v>79</v>
      </c>
      <c r="O70" s="296" t="str">
        <f>OtherTourDestination!C78</f>
        <v>Gamma079</v>
      </c>
      <c r="P70" s="298">
        <f>OtherTourDestination!E78</f>
        <v>-22.404820174200001</v>
      </c>
      <c r="Q70" s="337">
        <f si="10" t="shared"/>
        <v>-22.404820174200001</v>
      </c>
    </row>
    <row r="71" spans="13:17" x14ac:dyDescent="0.25">
      <c r="M71" s="296" t="str">
        <f>VLOOKUP(N71,Coeff_Descr!$A:$D,3,FALSE)</f>
        <v>ESCORT</v>
      </c>
      <c r="N71" s="296">
        <f>OtherTourDestination!B79</f>
        <v>80</v>
      </c>
      <c r="O71" s="296" t="str">
        <f>OtherTourDestination!C79</f>
        <v>Gamma080</v>
      </c>
      <c r="P71" s="298">
        <f>OtherTourDestination!E79</f>
        <v>-2.8929233973800002</v>
      </c>
      <c r="Q71" s="337">
        <f si="10" t="shared"/>
        <v>-2.8929233973800002</v>
      </c>
    </row>
    <row r="72" spans="13:17" x14ac:dyDescent="0.25">
      <c r="M72" s="296" t="str">
        <f>VLOOKUP(N72,Coeff_Descr!$A:$D,3,FALSE)</f>
        <v>ESCORT</v>
      </c>
      <c r="N72" s="296">
        <f>OtherTourDestination!B80</f>
        <v>81</v>
      </c>
      <c r="O72" s="296" t="str">
        <f>OtherTourDestination!C80</f>
        <v>Gamma081</v>
      </c>
      <c r="P72" s="298">
        <f>OtherTourDestination!E80</f>
        <v>-2.5610724948299999</v>
      </c>
      <c r="Q72" s="337">
        <f si="10" t="shared"/>
        <v>-2.5610724948299999</v>
      </c>
    </row>
    <row r="73" spans="13:17" x14ac:dyDescent="0.25">
      <c r="M73" s="296" t="str">
        <f>VLOOKUP(N73,Coeff_Descr!$A:$D,3,FALSE)</f>
        <v>ESCORT</v>
      </c>
      <c r="N73" s="296">
        <f>OtherTourDestination!B81</f>
        <v>82</v>
      </c>
      <c r="O73" s="296" t="str">
        <f>OtherTourDestination!C81</f>
        <v>Gamma082</v>
      </c>
      <c r="P73" s="298">
        <f>OtherTourDestination!E81</f>
        <v>-6.7871010869299999</v>
      </c>
      <c r="Q73" s="337">
        <f si="10" t="shared"/>
        <v>-6.7871010869299999</v>
      </c>
    </row>
    <row r="74" spans="13:17" x14ac:dyDescent="0.25">
      <c r="M74" s="296" t="str">
        <f>VLOOKUP(N74,Coeff_Descr!$A:$D,3,FALSE)</f>
        <v>ESCORT</v>
      </c>
      <c r="N74" s="296">
        <f>OtherTourDestination!B82</f>
        <v>83</v>
      </c>
      <c r="O74" s="296" t="str">
        <f>OtherTourDestination!C82</f>
        <v>Gamma083</v>
      </c>
      <c r="P74" s="298">
        <f>OtherTourDestination!E82</f>
        <v>-7.1983706387300002</v>
      </c>
      <c r="Q74" s="337">
        <f si="10" t="shared"/>
        <v>-7.1983706387300002</v>
      </c>
    </row>
    <row r="75" spans="13:17" x14ac:dyDescent="0.25">
      <c r="M75" s="296" t="str">
        <f>VLOOKUP(N75,Coeff_Descr!$A:$D,3,FALSE)</f>
        <v>ESCORT</v>
      </c>
      <c r="N75" s="296">
        <f>OtherTourDestination!B83</f>
        <v>84</v>
      </c>
      <c r="O75" s="296" t="str">
        <f>OtherTourDestination!C83</f>
        <v>Gamma084</v>
      </c>
      <c r="P75" s="298">
        <f>OtherTourDestination!E83</f>
        <v>-6.5584328775399996</v>
      </c>
      <c r="Q75" s="337">
        <f si="10" t="shared"/>
        <v>-6.5584328775399996</v>
      </c>
    </row>
    <row r="76" spans="13:17" x14ac:dyDescent="0.25">
      <c r="M76" s="296" t="str">
        <f>VLOOKUP(N76,Coeff_Descr!$A:$D,3,FALSE)</f>
        <v>ESCORT</v>
      </c>
      <c r="N76" s="296">
        <f>OtherTourDestination!B84</f>
        <v>85</v>
      </c>
      <c r="O76" s="296" t="str">
        <f>OtherTourDestination!C84</f>
        <v>Gamma085</v>
      </c>
      <c r="P76" s="298">
        <f>OtherTourDestination!E84</f>
        <v>-7.3832576457999997</v>
      </c>
      <c r="Q76" s="337">
        <f si="10" t="shared"/>
        <v>-7.3832576457999997</v>
      </c>
    </row>
    <row r="77" spans="13:17" x14ac:dyDescent="0.25">
      <c r="M77" s="296" t="str">
        <f>VLOOKUP(N77,Coeff_Descr!$A:$D,3,FALSE)</f>
        <v>ESCORT</v>
      </c>
      <c r="N77" s="296">
        <f>OtherTourDestination!B85</f>
        <v>86</v>
      </c>
      <c r="O77" s="296" t="str">
        <f>OtherTourDestination!C85</f>
        <v>Gamma086</v>
      </c>
      <c r="P77" s="298">
        <f>OtherTourDestination!E85</f>
        <v>-8.5452246906399996</v>
      </c>
      <c r="Q77" s="337">
        <f si="10" t="shared"/>
        <v>-8.5452246906399996</v>
      </c>
    </row>
    <row r="78" spans="13:17" x14ac:dyDescent="0.25">
      <c r="M78" s="296" t="str">
        <f>VLOOKUP(N78,Coeff_Descr!$A:$D,3,FALSE)</f>
        <v>ESCORT</v>
      </c>
      <c r="N78" s="296">
        <f>OtherTourDestination!B86</f>
        <v>87</v>
      </c>
      <c r="O78" s="296" t="str">
        <f>OtherTourDestination!C86</f>
        <v>Gamma087</v>
      </c>
      <c r="P78" s="298">
        <f>OtherTourDestination!E86</f>
        <v>-24.633851965200002</v>
      </c>
      <c r="Q78" s="337">
        <f si="10" t="shared"/>
        <v>-24.633851965200002</v>
      </c>
    </row>
    <row r="79" spans="13:17" x14ac:dyDescent="0.25">
      <c r="M79" s="296" t="str">
        <f>VLOOKUP(N79,Coeff_Descr!$A:$D,3,FALSE)</f>
        <v>ESCORT</v>
      </c>
      <c r="N79" s="296">
        <f>OtherTourDestination!B87</f>
        <v>88</v>
      </c>
      <c r="O79" s="296" t="str">
        <f>OtherTourDestination!C87</f>
        <v>Gamma088</v>
      </c>
      <c r="P79" s="298">
        <f>OtherTourDestination!E87</f>
        <v>0</v>
      </c>
      <c r="Q79" s="337">
        <f si="10" t="shared"/>
        <v>0</v>
      </c>
    </row>
    <row r="80" spans="13:17" x14ac:dyDescent="0.25">
      <c r="M80" s="296" t="str">
        <f>VLOOKUP(N80,Coeff_Descr!$A:$D,3,FALSE)</f>
        <v>PERSBUS/MED</v>
      </c>
      <c r="N80" s="296">
        <f>OtherTourDestination!B88</f>
        <v>89</v>
      </c>
      <c r="O80" s="296" t="str">
        <f>OtherTourDestination!C88</f>
        <v>Gamma089</v>
      </c>
      <c r="P80" s="298">
        <f>OtherTourDestination!E88</f>
        <v>-0.55009338373399996</v>
      </c>
      <c r="Q80" s="337">
        <f si="10" t="shared"/>
        <v>-0.55009338373399996</v>
      </c>
    </row>
    <row r="81" spans="13:17" x14ac:dyDescent="0.25">
      <c r="M81" s="296" t="str">
        <f>VLOOKUP(N81,Coeff_Descr!$A:$D,3,FALSE)</f>
        <v>PERSBUS/MED</v>
      </c>
      <c r="N81" s="296">
        <f>OtherTourDestination!B89</f>
        <v>90</v>
      </c>
      <c r="O81" s="296" t="str">
        <f>OtherTourDestination!C89</f>
        <v>Gamma090</v>
      </c>
      <c r="P81" s="298">
        <f>OtherTourDestination!E89</f>
        <v>-9.9117567037699992</v>
      </c>
      <c r="Q81" s="337">
        <f si="10" t="shared"/>
        <v>-9.9117567037699992</v>
      </c>
    </row>
    <row r="82" spans="13:17" x14ac:dyDescent="0.25">
      <c r="M82" s="296" t="str">
        <f>VLOOKUP(N82,Coeff_Descr!$A:$D,3,FALSE)</f>
        <v>PERSBUS/MED</v>
      </c>
      <c r="N82" s="296">
        <f>OtherTourDestination!B90</f>
        <v>91</v>
      </c>
      <c r="O82" s="296" t="str">
        <f>OtherTourDestination!C90</f>
        <v>Gamma091</v>
      </c>
      <c r="P82" s="298">
        <f>OtherTourDestination!E90</f>
        <v>-9.3194311560499994</v>
      </c>
      <c r="Q82" s="337">
        <f si="10" t="shared"/>
        <v>-9.3194311560499994</v>
      </c>
    </row>
    <row r="83" spans="13:17" x14ac:dyDescent="0.25">
      <c r="M83" s="296" t="str">
        <f>VLOOKUP(N83,Coeff_Descr!$A:$D,3,FALSE)</f>
        <v>PERSBUS/MED</v>
      </c>
      <c r="N83" s="296">
        <f>OtherTourDestination!B91</f>
        <v>92</v>
      </c>
      <c r="O83" s="296" t="str">
        <f>OtherTourDestination!C91</f>
        <v>Gamma092</v>
      </c>
      <c r="P83" s="298">
        <f>OtherTourDestination!E91</f>
        <v>-0.20086270196799999</v>
      </c>
      <c r="Q83" s="337">
        <f si="10" t="shared"/>
        <v>-0.20086270196799999</v>
      </c>
    </row>
    <row r="84" spans="13:17" x14ac:dyDescent="0.25">
      <c r="M84" s="296" t="str">
        <f>VLOOKUP(N84,Coeff_Descr!$A:$D,3,FALSE)</f>
        <v>PERSBUS/MED</v>
      </c>
      <c r="N84" s="296">
        <f>OtherTourDestination!B92</f>
        <v>93</v>
      </c>
      <c r="O84" s="296" t="str">
        <f>OtherTourDestination!C92</f>
        <v>Gamma093</v>
      </c>
      <c r="P84" s="298">
        <f>OtherTourDestination!E92</f>
        <v>-2.1843835309699999</v>
      </c>
      <c r="Q84" s="337">
        <f si="10" t="shared"/>
        <v>-2.1843835309699999</v>
      </c>
    </row>
    <row r="85" spans="13:17" x14ac:dyDescent="0.25">
      <c r="M85" s="296" t="str">
        <f>VLOOKUP(N85,Coeff_Descr!$A:$D,3,FALSE)</f>
        <v>PERSBUS/MED</v>
      </c>
      <c r="N85" s="296">
        <f>OtherTourDestination!B93</f>
        <v>94</v>
      </c>
      <c r="O85" s="296" t="str">
        <f>OtherTourDestination!C93</f>
        <v>Gamma094</v>
      </c>
      <c r="P85" s="298">
        <f>OtherTourDestination!E93</f>
        <v>0</v>
      </c>
      <c r="Q85" s="337">
        <f si="10" t="shared"/>
        <v>0</v>
      </c>
    </row>
    <row r="86" spans="13:17" x14ac:dyDescent="0.25">
      <c r="M86" s="296" t="str">
        <f>VLOOKUP(N86,Coeff_Descr!$A:$D,3,FALSE)</f>
        <v>PERSBUS/MED</v>
      </c>
      <c r="N86" s="296">
        <f>OtherTourDestination!B94</f>
        <v>95</v>
      </c>
      <c r="O86" s="296" t="str">
        <f>OtherTourDestination!C94</f>
        <v>Gamma095</v>
      </c>
      <c r="P86" s="298">
        <f>OtherTourDestination!E94</f>
        <v>-9.9476357147400005</v>
      </c>
      <c r="Q86" s="337">
        <f si="10" t="shared"/>
        <v>-9.9476357147400005</v>
      </c>
    </row>
    <row r="87" spans="13:17" x14ac:dyDescent="0.25">
      <c r="M87" s="296" t="str">
        <f>VLOOKUP(N87,Coeff_Descr!$A:$D,3,FALSE)</f>
        <v>PERSBUS/MED</v>
      </c>
      <c r="N87" s="296">
        <f>OtherTourDestination!B95</f>
        <v>96</v>
      </c>
      <c r="O87" s="296" t="str">
        <f>OtherTourDestination!C95</f>
        <v>Gamma096</v>
      </c>
      <c r="P87" s="298">
        <f>OtherTourDestination!E95</f>
        <v>-12.800107987600001</v>
      </c>
      <c r="Q87" s="337">
        <f si="10" t="shared"/>
        <v>-12.800107987600001</v>
      </c>
    </row>
    <row r="88" spans="13:17" x14ac:dyDescent="0.25">
      <c r="M88" s="296" t="str">
        <f>VLOOKUP(N88,Coeff_Descr!$A:$D,3,FALSE)</f>
        <v>PERSBUS/MED</v>
      </c>
      <c r="N88" s="296">
        <f>OtherTourDestination!B96</f>
        <v>97</v>
      </c>
      <c r="O88" s="296" t="str">
        <f>OtherTourDestination!C96</f>
        <v>Gamma097</v>
      </c>
      <c r="P88" s="298">
        <f>OtherTourDestination!E96</f>
        <v>-30</v>
      </c>
      <c r="Q88" s="337">
        <f si="10" t="shared"/>
        <v>-30</v>
      </c>
    </row>
    <row r="89" spans="13:17" x14ac:dyDescent="0.25">
      <c r="M89" s="296" t="str">
        <f>VLOOKUP(N89,Coeff_Descr!$A:$D,3,FALSE)</f>
        <v>SHOP</v>
      </c>
      <c r="N89" s="296">
        <f>OtherTourDestination!B97</f>
        <v>98</v>
      </c>
      <c r="O89" s="296" t="str">
        <f>OtherTourDestination!C97</f>
        <v>Gamma098</v>
      </c>
      <c r="P89" s="298">
        <f>OtherTourDestination!E97</f>
        <v>-21.699928591700001</v>
      </c>
      <c r="Q89" s="337">
        <f si="10" t="shared"/>
        <v>-21.699928591700001</v>
      </c>
    </row>
    <row r="90" spans="13:17" x14ac:dyDescent="0.25">
      <c r="M90" s="296" t="str">
        <f>VLOOKUP(N90,Coeff_Descr!$A:$D,3,FALSE)</f>
        <v>SHOP</v>
      </c>
      <c r="N90" s="296">
        <f>OtherTourDestination!B98</f>
        <v>99</v>
      </c>
      <c r="O90" s="296" t="str">
        <f>OtherTourDestination!C98</f>
        <v>Gamma099</v>
      </c>
      <c r="P90" s="298">
        <f>OtherTourDestination!E98</f>
        <v>-17.700475093400001</v>
      </c>
      <c r="Q90" s="337">
        <f si="10" t="shared"/>
        <v>-17.700475093400001</v>
      </c>
    </row>
    <row r="91" spans="13:17" x14ac:dyDescent="0.25">
      <c r="M91" s="296" t="str">
        <f>VLOOKUP(N91,Coeff_Descr!$A:$D,3,FALSE)</f>
        <v>SHOP</v>
      </c>
      <c r="N91" s="296">
        <f>OtherTourDestination!B99</f>
        <v>100</v>
      </c>
      <c r="O91" s="296" t="str">
        <f>OtherTourDestination!C99</f>
        <v>Gamma100</v>
      </c>
      <c r="P91" s="298">
        <f>OtherTourDestination!E99</f>
        <v>-0.7</v>
      </c>
      <c r="Q91" s="337">
        <f si="10" t="shared"/>
        <v>-0.7</v>
      </c>
    </row>
    <row r="92" spans="13:17" x14ac:dyDescent="0.25">
      <c r="M92" s="296" t="str">
        <f>VLOOKUP(N92,Coeff_Descr!$A:$D,3,FALSE)</f>
        <v>SHOP</v>
      </c>
      <c r="N92" s="296">
        <f>OtherTourDestination!B100</f>
        <v>101</v>
      </c>
      <c r="O92" s="296" t="str">
        <f>OtherTourDestination!C100</f>
        <v>Gamma101</v>
      </c>
      <c r="P92" s="298">
        <f>OtherTourDestination!E100</f>
        <v>-17.8758745875</v>
      </c>
      <c r="Q92" s="337">
        <f si="10" t="shared"/>
        <v>-17.8758745875</v>
      </c>
    </row>
    <row r="93" spans="13:17" x14ac:dyDescent="0.25">
      <c r="M93" s="296" t="str">
        <f>VLOOKUP(N93,Coeff_Descr!$A:$D,3,FALSE)</f>
        <v>MEAL</v>
      </c>
      <c r="N93" s="296">
        <f>OtherTourDestination!B101</f>
        <v>102</v>
      </c>
      <c r="O93" s="296" t="str">
        <f>OtherTourDestination!C101</f>
        <v>Gamma102</v>
      </c>
      <c r="P93" s="298">
        <f>OtherTourDestination!E101</f>
        <v>0</v>
      </c>
      <c r="Q93" s="337">
        <f si="10" t="shared"/>
        <v>0</v>
      </c>
    </row>
    <row r="94" spans="13:17" x14ac:dyDescent="0.25">
      <c r="M94" s="296" t="str">
        <f>VLOOKUP(N94,Coeff_Descr!$A:$D,3,FALSE)</f>
        <v>MEAL</v>
      </c>
      <c r="N94" s="296">
        <f>OtherTourDestination!B102</f>
        <v>103</v>
      </c>
      <c r="O94" s="296" t="str">
        <f>OtherTourDestination!C102</f>
        <v>Gamma103</v>
      </c>
      <c r="P94" s="298">
        <f>OtherTourDestination!E102</f>
        <v>5</v>
      </c>
      <c r="Q94" s="337">
        <f si="10" t="shared"/>
        <v>5</v>
      </c>
    </row>
    <row r="95" spans="13:17" x14ac:dyDescent="0.25">
      <c r="M95" s="296" t="str">
        <f>VLOOKUP(N95,Coeff_Descr!$A:$D,3,FALSE)</f>
        <v>MEAL</v>
      </c>
      <c r="N95" s="296">
        <f>OtherTourDestination!B103</f>
        <v>104</v>
      </c>
      <c r="O95" s="296" t="str">
        <f>OtherTourDestination!C103</f>
        <v>Gamma104</v>
      </c>
      <c r="P95" s="298">
        <f>OtherTourDestination!E103</f>
        <v>-30</v>
      </c>
      <c r="Q95" s="337">
        <f si="10" t="shared"/>
        <v>-30</v>
      </c>
    </row>
    <row r="96" spans="13:17" x14ac:dyDescent="0.25">
      <c r="M96" s="296" t="str">
        <f>VLOOKUP(N96,Coeff_Descr!$A:$D,3,FALSE)</f>
        <v>MEAL</v>
      </c>
      <c r="N96" s="296">
        <f>OtherTourDestination!B104</f>
        <v>105</v>
      </c>
      <c r="O96" s="296" t="str">
        <f>OtherTourDestination!C104</f>
        <v>Gamma105</v>
      </c>
      <c r="P96" s="298">
        <f>OtherTourDestination!E104</f>
        <v>-24.158093970700001</v>
      </c>
      <c r="Q96" s="337">
        <f si="10" t="shared"/>
        <v>-24.158093970700001</v>
      </c>
    </row>
    <row r="97" spans="13:17" x14ac:dyDescent="0.25">
      <c r="M97" s="296" t="str">
        <f>VLOOKUP(N97,Coeff_Descr!$A:$D,3,FALSE)</f>
        <v>SOCREC</v>
      </c>
      <c r="N97" s="296">
        <f>OtherTourDestination!B105</f>
        <v>106</v>
      </c>
      <c r="O97" s="296" t="str">
        <f>OtherTourDestination!C105</f>
        <v>Gamma106</v>
      </c>
      <c r="P97" s="298">
        <f>OtherTourDestination!E105</f>
        <v>-9.5803170794600003</v>
      </c>
      <c r="Q97" s="337">
        <f si="10" t="shared"/>
        <v>-9.5803170794600003</v>
      </c>
    </row>
    <row r="98" spans="13:17" x14ac:dyDescent="0.25">
      <c r="M98" s="296" t="str">
        <f>VLOOKUP(N98,Coeff_Descr!$A:$D,3,FALSE)</f>
        <v>SOCREC</v>
      </c>
      <c r="N98" s="296">
        <f>OtherTourDestination!B106</f>
        <v>107</v>
      </c>
      <c r="O98" s="296" t="str">
        <f>OtherTourDestination!C106</f>
        <v>Gamma107</v>
      </c>
      <c r="P98" s="298">
        <f>OtherTourDestination!E106</f>
        <v>0</v>
      </c>
      <c r="Q98" s="337">
        <f si="10" t="shared"/>
        <v>0</v>
      </c>
    </row>
    <row r="99" spans="13:17" x14ac:dyDescent="0.25">
      <c r="M99" s="296" t="str">
        <f>VLOOKUP(N99,Coeff_Descr!$A:$D,3,FALSE)</f>
        <v>SOCREC</v>
      </c>
      <c r="N99" s="296">
        <f>OtherTourDestination!B107</f>
        <v>108</v>
      </c>
      <c r="O99" s="296" t="str">
        <f>OtherTourDestination!C107</f>
        <v>Gamma108</v>
      </c>
      <c r="P99" s="298">
        <f>OtherTourDestination!E107</f>
        <v>-15.671349338700001</v>
      </c>
      <c r="Q99" s="337">
        <f si="10" t="shared"/>
        <v>-15.671349338700001</v>
      </c>
    </row>
    <row r="100" spans="13:17" x14ac:dyDescent="0.25">
      <c r="M100" s="296" t="str">
        <f>VLOOKUP(N100,Coeff_Descr!$A:$D,3,FALSE)</f>
        <v>SOCREC</v>
      </c>
      <c r="N100" s="296">
        <f>OtherTourDestination!B108</f>
        <v>109</v>
      </c>
      <c r="O100" s="296" t="str">
        <f>OtherTourDestination!C108</f>
        <v>Gamma109</v>
      </c>
      <c r="P100" s="298">
        <f>OtherTourDestination!E108</f>
        <v>-18.208541213899998</v>
      </c>
      <c r="Q100" s="337">
        <f si="10" t="shared"/>
        <v>-18.208541213899998</v>
      </c>
    </row>
    <row r="101" spans="13:17" x14ac:dyDescent="0.25">
      <c r="M101" s="296" t="str">
        <f>VLOOKUP(N101,Coeff_Descr!$A:$D,3,FALSE)</f>
        <v>SOCREC</v>
      </c>
      <c r="N101" s="296">
        <f>OtherTourDestination!B109</f>
        <v>110</v>
      </c>
      <c r="O101" s="296" t="str">
        <f>OtherTourDestination!C109</f>
        <v>Gamma110</v>
      </c>
      <c r="P101" s="298">
        <f>OtherTourDestination!E109</f>
        <v>-11.2471450075</v>
      </c>
      <c r="Q101" s="337">
        <f si="10" t="shared"/>
        <v>-11.2471450075</v>
      </c>
    </row>
    <row r="102" spans="13:17" x14ac:dyDescent="0.25">
      <c r="M102" s="296" t="str">
        <f>VLOOKUP(N102,Coeff_Descr!$A:$D,3,FALSE)</f>
        <v>SOCREC</v>
      </c>
      <c r="N102" s="296">
        <f>OtherTourDestination!B110</f>
        <v>111</v>
      </c>
      <c r="O102" s="296" t="str">
        <f>OtherTourDestination!C110</f>
        <v>Gamma111</v>
      </c>
      <c r="P102" s="298">
        <f>OtherTourDestination!E110</f>
        <v>-10.0807778908</v>
      </c>
      <c r="Q102" s="337">
        <f si="10" t="shared"/>
        <v>-10.0807778908</v>
      </c>
    </row>
    <row r="103" spans="13:17" x14ac:dyDescent="0.25">
      <c r="M103" s="296" t="str">
        <f>VLOOKUP(N103,Coeff_Descr!$A:$D,3,FALSE)</f>
        <v>SOCREC</v>
      </c>
      <c r="N103" s="296">
        <f>OtherTourDestination!B111</f>
        <v>112</v>
      </c>
      <c r="O103" s="296" t="str">
        <f>OtherTourDestination!C111</f>
        <v>Gamma112</v>
      </c>
      <c r="P103" s="298">
        <f>OtherTourDestination!E111</f>
        <v>-5.6623999999999999</v>
      </c>
      <c r="Q103" s="337">
        <f si="10" t="shared"/>
        <v>-5.6623999999999999</v>
      </c>
    </row>
    <row r="104" spans="13:17" x14ac:dyDescent="0.25">
      <c r="M104" s="296" t="str">
        <f>VLOOKUP(N104,Coeff_Descr!$A:$D,3,FALSE)</f>
        <v>SOCREC</v>
      </c>
      <c r="N104" s="296">
        <f>OtherTourDestination!B112</f>
        <v>113</v>
      </c>
      <c r="O104" s="296" t="str">
        <f>OtherTourDestination!C112</f>
        <v>Gamma113</v>
      </c>
      <c r="P104" s="298">
        <f>OtherTourDestination!E112</f>
        <v>-12.0597581892</v>
      </c>
      <c r="Q104" s="337">
        <f si="10" t="shared"/>
        <v>-12.0597581892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activeCell="H29" sqref="H29"/>
    </sheetView>
  </sheetViews>
  <sheetFormatPr defaultRowHeight="15" x14ac:dyDescent="0.25"/>
  <sheetData>
    <row r="1" spans="1:2" x14ac:dyDescent="0.25">
      <c r="A1" t="s">
        <v>278</v>
      </c>
      <c r="B1" t="s">
        <v>279</v>
      </c>
    </row>
    <row r="2" spans="1:2" x14ac:dyDescent="0.25">
      <c r="A2">
        <v>1</v>
      </c>
      <c r="B2" t="s">
        <v>280</v>
      </c>
    </row>
    <row r="3" spans="1:2" x14ac:dyDescent="0.25">
      <c r="A3">
        <v>2</v>
      </c>
      <c r="B3" t="s">
        <v>281</v>
      </c>
    </row>
    <row r="4" spans="1:2" x14ac:dyDescent="0.25">
      <c r="A4">
        <v>3</v>
      </c>
      <c r="B4" t="s">
        <v>282</v>
      </c>
    </row>
    <row r="5" spans="1:2" x14ac:dyDescent="0.25">
      <c r="A5">
        <v>4</v>
      </c>
      <c r="B5" t="s">
        <v>283</v>
      </c>
    </row>
    <row r="6" spans="1:2" x14ac:dyDescent="0.25">
      <c r="A6">
        <v>5</v>
      </c>
      <c r="B6" t="s">
        <v>284</v>
      </c>
    </row>
    <row r="7" spans="1:2" x14ac:dyDescent="0.25">
      <c r="A7">
        <v>6</v>
      </c>
      <c r="B7" t="s">
        <v>285</v>
      </c>
    </row>
    <row r="8" spans="1:2" x14ac:dyDescent="0.25">
      <c r="A8">
        <v>7</v>
      </c>
      <c r="B8" t="s">
        <v>286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2020-03-25T20:58:37Z</dcterms:modified>
</cp:coreProperties>
</file>