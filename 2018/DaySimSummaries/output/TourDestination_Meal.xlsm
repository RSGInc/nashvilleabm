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  <sheet name="County Code" r:id="rId8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7"/>
  <c i="1" r="N26"/>
  <c i="1" r="O26"/>
  <c i="1" r="P26"/>
  <c i="1" r="Q26"/>
  <c i="1" r="R26"/>
  <c i="1" r="S26"/>
  <c i="1" r="T26"/>
  <c i="1" r="M26"/>
  <c i="1" r="C26"/>
  <c i="1" r="D26"/>
  <c i="1" r="E26"/>
  <c i="1" r="U13"/>
  <c i="1" r="F26" s="1"/>
  <c i="1" r="S15"/>
  <c i="1" r="S28" s="1"/>
  <c i="1" r="J13"/>
  <c i="1" r="H15"/>
  <c i="1" l="1" r="U26"/>
  <c i="1" r="B26"/>
  <c i="1" r="I26"/>
  <c i="1" r="J26"/>
  <c i="1" r="H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r="U14"/>
  <c i="1" l="1" r="U27"/>
  <c i="7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l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7" l="1" r="Q55"/>
  <c i="7" r="Q49"/>
  <c i="7" r="Q53"/>
  <c i="7" r="Q47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H23" s="1"/>
  <c i="1" r="J11"/>
  <c i="1" r="H24" s="1"/>
  <c i="1" r="J12"/>
  <c i="1" r="H25" s="1"/>
  <c i="1" l="1" r="E25"/>
  <c i="1" r="B25"/>
  <c i="1" r="D25"/>
  <c i="1" r="I25"/>
  <c i="1" r="F25"/>
  <c i="1" r="G25"/>
  <c i="1" r="C25"/>
  <c i="1" r="D24"/>
  <c i="1" r="F24"/>
  <c i="1" r="C24"/>
  <c i="1" r="E24"/>
  <c i="1" r="G24"/>
  <c i="1" r="B24"/>
  <c i="1" r="I24"/>
  <c i="1" r="E23"/>
  <c i="1" r="D23"/>
  <c i="1" r="G23"/>
  <c i="1" r="B23"/>
  <c i="1" r="F23"/>
  <c i="1" r="C23"/>
  <c i="1" r="I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H22" s="1"/>
  <c i="1" r="J8"/>
  <c i="1" r="H21" s="1"/>
  <c i="1" r="J7"/>
  <c i="1" r="H20" s="1"/>
  <c i="4" r="F102"/>
  <c i="4" r="G101" s="1"/>
  <c i="4" r="B102"/>
  <c i="4" r="C102" s="1"/>
  <c i="3" r="F102"/>
  <c i="3" r="G101" s="1"/>
  <c i="3" r="B102"/>
  <c i="3" r="C13" s="1"/>
  <c i="1" l="1" r="H28"/>
  <c i="1" r="D22"/>
  <c i="1" r="G22"/>
  <c i="1" r="B22"/>
  <c i="1" r="F22"/>
  <c i="1" r="E22"/>
  <c i="1" r="C22"/>
  <c i="1" r="I22"/>
  <c i="1" r="C21"/>
  <c i="1" r="D21"/>
  <c i="1" r="G21"/>
  <c i="1" r="F21"/>
  <c i="1" r="I21"/>
  <c i="1" r="B21"/>
  <c i="1" r="E21"/>
  <c i="1" r="I27"/>
  <c i="1" r="C27"/>
  <c i="1" r="G27"/>
  <c i="1" r="E27"/>
  <c i="1" r="B27"/>
  <c i="1" r="F27"/>
  <c i="1" r="D27"/>
  <c i="1" r="I20"/>
  <c i="1" r="G20"/>
  <c i="1" r="B20"/>
  <c i="1" r="C20"/>
  <c i="1" r="D20"/>
  <c i="1" r="E20"/>
  <c i="1" r="F20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P39"/>
  <c i="1" r="S39"/>
  <c i="1" r="Q39"/>
  <c i="1" r="R39"/>
  <c i="1" r="M39"/>
  <c i="1" r="S41"/>
  <c i="1" r="S38"/>
  <c i="1" r="N39"/>
  <c i="1" r="S40"/>
  <c i="1" r="S35"/>
  <c i="1" r="S36"/>
  <c i="1" r="S33"/>
  <c i="1" r="T39"/>
  <c i="1" r="S37"/>
  <c i="1" r="S34"/>
  <c i="1" r="O39"/>
  <c i="1" r="U39"/>
  <c i="1" r="I28"/>
  <c i="1" r="J27"/>
  <c i="1" r="P38"/>
  <c i="1" r="R38"/>
  <c i="1" r="M38"/>
  <c i="1" r="Q38"/>
  <c i="1" r="T36"/>
  <c i="1" r="T37"/>
  <c i="1" r="R37"/>
  <c i="1" r="T38"/>
  <c i="1" r="R34"/>
  <c i="1" r="T33"/>
  <c i="1" r="R36"/>
  <c i="1" r="M40"/>
  <c i="1" r="P35"/>
  <c i="1" r="T35"/>
  <c i="1" r="N40"/>
  <c i="1" r="Q36"/>
  <c i="1" r="O40"/>
  <c i="1" r="Q33"/>
  <c i="1" r="M35"/>
  <c i="1" r="P36"/>
  <c i="1" r="M37"/>
  <c i="1" r="N38"/>
  <c i="1" r="P40"/>
  <c i="1" r="Q40"/>
  <c i="1" r="N36"/>
  <c i="1" r="P37"/>
  <c i="1" r="O38"/>
  <c i="1" r="M34"/>
  <c i="1" r="R40"/>
  <c i="1" r="P33"/>
  <c i="1" r="R33"/>
  <c i="1" r="M33"/>
  <c i="1" r="R35"/>
  <c i="1" r="N37"/>
  <c i="1" r="N34"/>
  <c i="1" r="T40"/>
  <c i="1" r="N33"/>
  <c i="1" r="O33"/>
  <c i="1" r="O35"/>
  <c i="1" r="O34"/>
  <c i="1" r="T34"/>
  <c i="1" r="N35"/>
  <c i="1" r="O36"/>
  <c i="1" r="O37"/>
  <c i="1" r="P34"/>
  <c i="1" r="M36"/>
  <c i="1" r="Q34"/>
  <c i="1" r="Q37"/>
  <c i="1" r="Q35"/>
  <c i="1" r="U40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F39"/>
  <c i="1" r="AB39" s="1"/>
  <c i="1" r="D39"/>
  <c i="1" r="Z39" s="1"/>
  <c i="1" r="E39"/>
  <c i="1" r="AA39" s="1"/>
  <c i="1" r="C39"/>
  <c i="1" r="Y39" s="1"/>
  <c i="1" r="H39"/>
  <c i="1" r="AD39" s="1"/>
  <c i="1" r="I39"/>
  <c i="1" r="AE39" s="1"/>
  <c i="1" r="J39"/>
  <c i="1" r="AF39" s="1"/>
  <c i="1" r="G39"/>
  <c i="1" r="AC39" s="1"/>
  <c i="1" r="B39"/>
  <c i="1" r="X39" s="1"/>
  <c i="1" r="H37"/>
  <c i="1" r="AD37" s="1"/>
  <c i="1" r="H38"/>
  <c i="1" r="AD38" s="1"/>
  <c i="1" r="H36"/>
  <c i="1" r="AD36" s="1"/>
  <c i="1" r="H40"/>
  <c i="1" r="AD40" s="1"/>
  <c i="1" r="H35"/>
  <c i="1" r="AD35" s="1"/>
  <c i="1" r="H33"/>
  <c i="1" r="AD33" s="1"/>
  <c i="1" r="H34"/>
  <c i="1" r="AD34" s="1"/>
  <c i="1" r="H41"/>
  <c i="1" r="AD41" s="1"/>
  <c i="1" r="I37"/>
  <c i="1" r="AE37" s="1"/>
  <c i="1" r="C38"/>
  <c i="1" r="Y38" s="1"/>
  <c i="1" r="F38"/>
  <c i="1" r="I38"/>
  <c i="1" r="AE38" s="1"/>
  <c i="1" r="D38"/>
  <c i="1" r="B38"/>
  <c i="1" r="X38" s="1"/>
  <c i="1" r="D37"/>
  <c i="1" r="G36"/>
  <c i="1" r="D36"/>
  <c i="1" r="Z36" s="1"/>
  <c i="1" r="G37"/>
  <c i="1" r="E38"/>
  <c i="1" r="C36"/>
  <c i="1" r="Y36" s="1"/>
  <c i="1" r="B36"/>
  <c i="1" r="G38"/>
  <c i="1" r="AC38" s="1"/>
  <c i="1" r="E37"/>
  <c i="1" r="AA37" s="1"/>
  <c i="1" r="C37"/>
  <c i="1" r="F36"/>
  <c i="1" r="AB36" s="1"/>
  <c i="1" r="I36"/>
  <c i="1" r="AE36" s="1"/>
  <c i="1" r="B37"/>
  <c i="1" r="X37" s="1"/>
  <c i="1" r="E36"/>
  <c i="1" r="AA36" s="1"/>
  <c i="1" r="F37"/>
  <c i="1" r="AB37" s="1"/>
  <c i="1" r="F34"/>
  <c i="1" r="AB34" s="1"/>
  <c i="1" r="B40"/>
  <c i="1" r="X40" s="1"/>
  <c i="1" r="G34"/>
  <c i="1" r="B33"/>
  <c i="1" r="I33"/>
  <c i="1" r="AE33" s="1"/>
  <c i="1" r="E35"/>
  <c i="1" r="AA35" s="1"/>
  <c i="1" r="F33"/>
  <c i="1" r="AB33" s="1"/>
  <c i="1" r="E40"/>
  <c i="1" r="AA40" s="1"/>
  <c i="1" r="I40"/>
  <c i="1" r="AE40" s="1"/>
  <c i="1" r="G33"/>
  <c i="1" r="AC33" s="1"/>
  <c i="1" r="B34"/>
  <c i="1" r="X34" s="1"/>
  <c i="1" r="I34"/>
  <c i="1" r="AE34" s="1"/>
  <c i="1" r="I35"/>
  <c i="1" r="AE35" s="1"/>
  <c i="1" r="D34"/>
  <c i="1" r="Z34" s="1"/>
  <c i="1" r="E34"/>
  <c i="1" r="AA34" s="1"/>
  <c i="1" r="D33"/>
  <c i="1" r="Z33" s="1"/>
  <c i="1" r="F40"/>
  <c i="1" r="AB40" s="1"/>
  <c i="1" r="C34"/>
  <c i="1" r="Y34" s="1"/>
  <c i="1" r="D40"/>
  <c i="1" r="Z40" s="1"/>
  <c i="1" r="G40"/>
  <c i="1" r="AC40" s="1"/>
  <c i="1" r="C33"/>
  <c i="1" r="Y33" s="1"/>
  <c i="1" r="C40"/>
  <c i="1" r="Y40" s="1"/>
  <c i="1" r="F35"/>
  <c i="1" r="AB35" s="1"/>
  <c i="1" r="G35"/>
  <c i="1" r="AC35" s="1"/>
  <c i="1" r="C35"/>
  <c i="1" r="Y35" s="1"/>
  <c i="1" r="B35"/>
  <c i="1" r="X35" s="1"/>
  <c i="1" r="E33"/>
  <c i="1" r="AA33" s="1"/>
  <c i="1" r="D35"/>
  <c i="1" r="Z35" s="1"/>
  <c i="1" r="J40"/>
  <c i="1" r="AF40" s="1"/>
  <c i="1" r="C41"/>
  <c i="1" r="Y41" s="1"/>
  <c i="1" r="G41"/>
  <c i="1" r="AC41" s="1"/>
  <c i="1" r="F41"/>
  <c i="1" r="AB41" s="1"/>
  <c i="1" r="J33"/>
  <c i="1" r="AF33" s="1"/>
  <c i="1" r="J35"/>
  <c i="1" r="AF35" s="1"/>
  <c i="1" r="AB38"/>
  <c i="1" r="AA38"/>
  <c i="1" r="Z38"/>
  <c i="1" r="AC37"/>
  <c i="1" r="Y37"/>
  <c i="1" r="X36"/>
  <c i="1" r="Z37"/>
  <c i="1" r="AC36"/>
  <c i="1" r="J41"/>
  <c i="1" r="AF41" s="1"/>
  <c i="1" r="X33"/>
  <c i="1" r="AC34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<sst xmlns="http://schemas.openxmlformats.org/spreadsheetml/2006/main" count="721" uniqueCount="291">
  <si>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</si>
  <si>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</si>
  <si>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</si>
  <si>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</si>
  <si>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</si>
  <si>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</si>
  <si>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</si>
  <si>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</si>
  <si>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</si>
  <si>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</si>
  <si>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</si>
  <si>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</si>
  <si>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</si>
  <si>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</si>
  <si>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</si>
  <si>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</si>
  <si>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</si>
  <si>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</si>
  <si>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</si>
  <si>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</si>
  <si>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</si>
  <si>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</si>
  <si>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</si>
  <si>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</si>
  <si>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</si>
  <si>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</si>
  <si>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</si>
  <si>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</si>
  <si>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</si>
  <si>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</si>
  <si>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</si>
  <si>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</si>
  <si>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</si>
  <si>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</si>
  <si>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</si>
  <si>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</si>
  <si>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</si>
  <si>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</si>
  <si>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</si>
  <si>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</si>
  <si>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</si>
  <si>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</si>
  <si>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</si>
  <si>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</si>
  <si>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</si>
  <si>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</si>
  <si>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</si>
  <si>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</si>
  <si>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</si>
  <si>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</si>
  <si>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</si>
  <si>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</si>
  <si>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</si>
  <si>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</si>
  <si>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</si>
  <si>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</si>
  <si>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</si>
  <si>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</si>
  <si>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</si>
  <si>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</si>
  <si>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</si>
  <si>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</si>
  <si>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</si>
  <si>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</si>
  <si>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</si>
  <si>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</si>
  <si>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</si>
  <si>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</si>
  <si>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</si>
  <si>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</si>
  <si>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</si>
  <si>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</si>
  <si>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</si>
  <si>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</si>
  <si>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</si>
  <si>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</si>
  <si>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</si>
  <si>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</si>
  <si>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</si>
  <si>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</si>
  <si>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</si>
  <si>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</si>
  <si>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</si>
  <si>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</si>
  <si>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</si>
  <si>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</si>
  <si>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</si>
  <si>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</si>
  <si>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</si>
  <si>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</si>
  <si>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</si>
  <si>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</si>
  <si>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</si>
  <si>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</si>
  <si>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</si>
  <si>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</si>
  <si>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</si>
  <si>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</si>
  <si>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</si>
  <si>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</si>
  <si>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</si>
  <si>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</si>
  <si>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</si>
  <si>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</si>
  <si>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</si>
  <si>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</si>
  <si>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</si>
  <si>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</si>
  <si>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</si>
  <si>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</si>
  <si>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</si>
  <si>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</si>
  <si>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</si>
  <si>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</si>
  <si>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</si>
  <si>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</si>
  <si>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</si>
  <si>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</si>
  <si>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</si>
  <si>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</si>
  <si>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</si>
  <si>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</si>
  <si>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</si>
  <si>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</si>
  <si>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</si>
  <si>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</si>
  <si>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</si>
  <si>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</si>
  <si>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</si>
  <si>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</si>
  <si>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</si>
  <si>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</si>
  <si>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</si>
  <si>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</si>
  <si>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</si>
  <si>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</si>
  <si>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</si>
  <si>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</si>
  <si>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</si>
  <si>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</si>
  <si>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</si>
  <si>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</si>
  <si>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</si>
  <si>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</si>
  <si>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</si>
  <si>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</si>
  <si>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</si>
  <si>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</si>
  <si>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</si>
  <si>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</si>
  <si>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</si>
  <si>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</si>
  <si>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</si>
  <si>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</si>
  <si>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</si>
  <si>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</si>
  <si>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</si>
  <si>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</si>
  <si>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</si>
  <si>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</si>
  <si>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</si>
  <si>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</si>
  <si>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</si>
  <si>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</si>
  <si>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</si>
  <si>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</si>
  <si>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</si>
  <si>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</si>
  <si>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</si>
  <si>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</si>
  <si>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</si>
  <si>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</si>
  <si>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</si>
  <si>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</si>
  <si>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</si>
  <si>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</si>
  <si>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</si>
  <si>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</si>
  <si>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</si>
  <si>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</si>
  <si>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</si>
  <si>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</si>
  <si>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</si>
  <si>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</si>
  <si>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</si>
  <si>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</si>
  <si>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</si>
  <si>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</si>
  <si>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</si>
  <si>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</si>
  <si>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</si>
  <si>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</si>
  <si>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</si>
  <si>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</si>
  <si>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</si>
  <si>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</si>
  <si>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</si>
  <si>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</si>
  <si>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</si>
  <si>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</si>
  <si>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</si>
  <si>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</si>
  <si>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</si>
  <si>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</si>
  <si>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</si>
  <si>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</si>
  <si>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</si>
  <si>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</si>
  <si>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</si>
  <si>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</si>
  <si>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</si>
  <si>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</si>
  <si>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</si>
  <si>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</si>
  <si>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</si>
  <si>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</si>
  <si>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</si>
  <si>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</si>
  <si>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</si>
  <si>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</si>
  <si>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</si>
  <si>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</si>
  <si>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</si>
  <si>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</si>
  <si>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</si>
  <si>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</si>
  <si>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</si>
  <si>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</si>
  <si>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</si>
  <si>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</si>
  <si>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</si>
  <si>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</si>
  <si>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</si>
  <si>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</si>
  <si>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</si>
  <si>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</si>
  <si>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</si>
  <si>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</si>
  <si>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</si>
  <si>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</si>
  <si>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</si>
  <si>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</si>
  <si>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</si>
  <si>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</si>
  <si>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</si>
  <si>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</si>
  <si>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</si>
  <si>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</si>
  <si>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</si>
  <si>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</si>
  <si>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</si>
  <si>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</si>
  <si>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</si>
  <si>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</si>
  <si>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</si>
  <si>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</si>
  <si>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</si>
  <si>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</si>
  <si>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</si>
  <si>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</si>
  <si>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</si>
  <si>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</si>
  <si>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</si>
  <si>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</si>
  <si>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</si>
  <si>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</si>
  <si>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</si>
  <si>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</si>
  <si>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</si>
  <si>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</si>
  <si>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</si>
  <si>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</si>
  <si>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</si>
  <si>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</si>
  <si>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</si>
  <si>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</si>
  <si>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</si>
  <si>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</si>
  <si>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May</t>
  </si>
  <si>
    <t>Gamma120</t>
  </si>
  <si>
    <t>011:39:57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</si>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</sst>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8.3293981814855103E-2</c:v>
                </c:pt>
                <c:pt idx="1">
                  <c:v>0.13714132649484312</c:v>
                </c:pt>
                <c:pt idx="2">
                  <c:v>0.15140564824299588</c:v>
                </c:pt>
                <c:pt idx="3">
                  <c:v>0.10087624818414268</c:v>
                </c:pt>
                <c:pt idx="4">
                  <c:v>8.5375337969337009E-2</c:v>
                </c:pt>
                <c:pt idx="5">
                  <c:v>7.2479935476179716E-2</c:v>
                </c:pt>
                <c:pt idx="6">
                  <c:v>2.5188908985535965E-2</c:v>
                </c:pt>
                <c:pt idx="7">
                  <c:v>8.6268838114680821E-2</c:v>
                </c:pt>
                <c:pt idx="8">
                  <c:v>3.3856706671374553E-2</c:v>
                </c:pt>
                <c:pt idx="9">
                  <c:v>6.1729705473246625E-2</c:v>
                </c:pt>
                <c:pt idx="10">
                  <c:v>7.1719239839737135E-3</c:v>
                </c:pt>
                <c:pt idx="11">
                  <c:v>7.7885276465253818E-3</c:v>
                </c:pt>
                <c:pt idx="12">
                  <c:v>1.8778204751873313E-2</c:v>
                </c:pt>
                <c:pt idx="13">
                  <c:v>1.0169825517841893E-2</c:v>
                </c:pt>
                <c:pt idx="14">
                  <c:v>2.1178801033422973E-2</c:v>
                </c:pt>
                <c:pt idx="15">
                  <c:v>1.8361924008381393E-3</c:v>
                </c:pt>
                <c:pt idx="16">
                  <c:v>2.8212088902238781E-3</c:v>
                </c:pt>
                <c:pt idx="17">
                  <c:v>1.7500585027430678E-2</c:v>
                </c:pt>
                <c:pt idx="18">
                  <c:v>1.9055814696078175E-2</c:v>
                </c:pt>
                <c:pt idx="19">
                  <c:v>0</c:v>
                </c:pt>
                <c:pt idx="20">
                  <c:v>2.2939161568272561E-3</c:v>
                </c:pt>
                <c:pt idx="21">
                  <c:v>3.5418541045636365E-3</c:v>
                </c:pt>
                <c:pt idx="22">
                  <c:v>2.3652272321269541E-2</c:v>
                </c:pt>
                <c:pt idx="23">
                  <c:v>3.3350469616013553E-3</c:v>
                </c:pt>
                <c:pt idx="24">
                  <c:v>4.6131637191607466E-3</c:v>
                </c:pt>
                <c:pt idx="25">
                  <c:v>1.9968857966524809E-3</c:v>
                </c:pt>
                <c:pt idx="26">
                  <c:v>0</c:v>
                </c:pt>
                <c:pt idx="27">
                  <c:v>1.1684681503613624E-3</c:v>
                </c:pt>
                <c:pt idx="28">
                  <c:v>1.1993680584695709E-3</c:v>
                </c:pt>
                <c:pt idx="29">
                  <c:v>0</c:v>
                </c:pt>
                <c:pt idx="30">
                  <c:v>0</c:v>
                </c:pt>
                <c:pt idx="31">
                  <c:v>7.8654112404841138E-4</c:v>
                </c:pt>
                <c:pt idx="32">
                  <c:v>0</c:v>
                </c:pt>
                <c:pt idx="33">
                  <c:v>1.8969297874143968E-3</c:v>
                </c:pt>
                <c:pt idx="34">
                  <c:v>9.2828895323486659E-3</c:v>
                </c:pt>
                <c:pt idx="35">
                  <c:v>0</c:v>
                </c:pt>
                <c:pt idx="36">
                  <c:v>0</c:v>
                </c:pt>
                <c:pt idx="37">
                  <c:v>2.314942911883138E-3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0.11227976807372342</c:v>
                </c:pt>
                <c:pt idx="1">
                  <c:v>0.11950645640178147</c:v>
                </c:pt>
                <c:pt idx="2">
                  <c:v>0.10390465253074144</c:v>
                </c:pt>
                <c:pt idx="3">
                  <c:v>8.827483823982521E-2</c:v>
                </c:pt>
                <c:pt idx="4">
                  <c:v>8.0053780006162298E-2</c:v>
                </c:pt>
                <c:pt idx="5">
                  <c:v>6.9843981961289603E-2</c:v>
                </c:pt>
                <c:pt idx="6">
                  <c:v>6.2085095655583879E-2</c:v>
                </c:pt>
                <c:pt idx="7">
                  <c:v>6.0306433993445561E-2</c:v>
                </c:pt>
                <c:pt idx="8">
                  <c:v>4.6875437662810562E-2</c:v>
                </c:pt>
                <c:pt idx="9">
                  <c:v>3.8654379429147644E-2</c:v>
                </c:pt>
                <c:pt idx="10">
                  <c:v>3.1455701520965801E-2</c:v>
                </c:pt>
                <c:pt idx="11">
                  <c:v>2.789837819668917E-2</c:v>
                </c:pt>
                <c:pt idx="12">
                  <c:v>2.3318674546931459E-2</c:v>
                </c:pt>
                <c:pt idx="13">
                  <c:v>2.1694070194112208E-2</c:v>
                </c:pt>
                <c:pt idx="14">
                  <c:v>1.9033080305873785E-2</c:v>
                </c:pt>
                <c:pt idx="15">
                  <c:v>1.5881908069801966E-2</c:v>
                </c:pt>
                <c:pt idx="16">
                  <c:v>1.2884793143049215E-2</c:v>
                </c:pt>
                <c:pt idx="17">
                  <c:v>1.0882048121901347E-2</c:v>
                </c:pt>
                <c:pt idx="18">
                  <c:v>8.9073135206296748E-3</c:v>
                </c:pt>
                <c:pt idx="19">
                  <c:v>7.4507716870675887E-3</c:v>
                </c:pt>
                <c:pt idx="20">
                  <c:v>6.862552869667516E-3</c:v>
                </c:pt>
                <c:pt idx="21">
                  <c:v>5.574073555362595E-3</c:v>
                </c:pt>
                <c:pt idx="22">
                  <c:v>4.5096776000672252E-3</c:v>
                </c:pt>
                <c:pt idx="23">
                  <c:v>3.8514327329766673E-3</c:v>
                </c:pt>
                <c:pt idx="24">
                  <c:v>3.3052295453908855E-3</c:v>
                </c:pt>
                <c:pt idx="25">
                  <c:v>2.7870367776812975E-3</c:v>
                </c:pt>
                <c:pt idx="26">
                  <c:v>1.9747346012716732E-3</c:v>
                </c:pt>
                <c:pt idx="27">
                  <c:v>1.7506512422621216E-3</c:v>
                </c:pt>
                <c:pt idx="28">
                  <c:v>1.456541833562085E-3</c:v>
                </c:pt>
                <c:pt idx="29">
                  <c:v>1.1064115851096609E-3</c:v>
                </c:pt>
                <c:pt idx="30">
                  <c:v>1.2184532646144365E-3</c:v>
                </c:pt>
                <c:pt idx="31">
                  <c:v>7.5628133665723652E-4</c:v>
                </c:pt>
                <c:pt idx="32">
                  <c:v>1.022380325481079E-3</c:v>
                </c:pt>
                <c:pt idx="33">
                  <c:v>3.361250385143273E-4</c:v>
                </c:pt>
                <c:pt idx="34">
                  <c:v>4.6217192795720006E-4</c:v>
                </c:pt>
                <c:pt idx="35">
                  <c:v>3.2211982857623036E-4</c:v>
                </c:pt>
                <c:pt idx="36">
                  <c:v>2.3808856894764853E-4</c:v>
                </c:pt>
                <c:pt idx="37">
                  <c:v>2.3808856894764853E-4</c:v>
                </c:pt>
                <c:pt idx="38">
                  <c:v>1.8206772919526063E-4</c:v>
                </c:pt>
                <c:pt idx="39">
                  <c:v>1.540573093190667E-4</c:v>
                </c:pt>
                <c:pt idx="40">
                  <c:v>9.8036469566678802E-5</c:v>
                </c:pt>
                <c:pt idx="41">
                  <c:v>9.8036469566678802E-5</c:v>
                </c:pt>
                <c:pt idx="42">
                  <c:v>1.1204167950477578E-4</c:v>
                </c:pt>
                <c:pt idx="43">
                  <c:v>5.6020839752387889E-5</c:v>
                </c:pt>
                <c:pt idx="44">
                  <c:v>1.2604688944287275E-4</c:v>
                </c:pt>
                <c:pt idx="45">
                  <c:v>4.2015629814290913E-5</c:v>
                </c:pt>
                <c:pt idx="46">
                  <c:v>4.2015629814290913E-5</c:v>
                </c:pt>
                <c:pt idx="47">
                  <c:v>2.8010419876193944E-5</c:v>
                </c:pt>
                <c:pt idx="48">
                  <c:v>0</c:v>
                </c:pt>
                <c:pt idx="49">
                  <c:v>1.4005209938096972E-5</c:v>
                </c:pt>
                <c:pt idx="50">
                  <c:v>2.8010419876193944E-5</c:v>
                </c:pt>
                <c:pt idx="51">
                  <c:v>0</c:v>
                </c:pt>
                <c:pt idx="52">
                  <c:v>1.4005209938096972E-5</c:v>
                </c:pt>
                <c:pt idx="53">
                  <c:v>0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2.2031021119710718E-2</c:v>
                </c:pt>
                <c:pt idx="1">
                  <c:v>4.2622715190363508E-2</c:v>
                </c:pt>
                <c:pt idx="2">
                  <c:v>9.7461209136778304E-2</c:v>
                </c:pt>
                <c:pt idx="3">
                  <c:v>0.1251705093162854</c:v>
                </c:pt>
                <c:pt idx="4">
                  <c:v>8.8563117391396107E-2</c:v>
                </c:pt>
                <c:pt idx="5">
                  <c:v>7.6657097501500279E-2</c:v>
                </c:pt>
                <c:pt idx="6">
                  <c:v>5.9326893812031295E-2</c:v>
                </c:pt>
                <c:pt idx="7">
                  <c:v>8.0406111485447296E-2</c:v>
                </c:pt>
                <c:pt idx="8">
                  <c:v>3.9491810940607892E-2</c:v>
                </c:pt>
                <c:pt idx="9">
                  <c:v>1.6642841489389531E-2</c:v>
                </c:pt>
                <c:pt idx="10">
                  <c:v>8.3637673382099417E-2</c:v>
                </c:pt>
                <c:pt idx="11">
                  <c:v>7.2341172933937825E-2</c:v>
                </c:pt>
                <c:pt idx="12">
                  <c:v>4.2751584566257887E-3</c:v>
                </c:pt>
                <c:pt idx="13">
                  <c:v>2.6521016539005581E-2</c:v>
                </c:pt>
                <c:pt idx="14">
                  <c:v>1.869619324926218E-2</c:v>
                </c:pt>
                <c:pt idx="15">
                  <c:v>1.7271305415861374E-2</c:v>
                </c:pt>
                <c:pt idx="16">
                  <c:v>7.0409402829937255E-3</c:v>
                </c:pt>
                <c:pt idx="17">
                  <c:v>5.2804651615619928E-3</c:v>
                </c:pt>
                <c:pt idx="18">
                  <c:v>7.1148156525944264E-3</c:v>
                </c:pt>
                <c:pt idx="19">
                  <c:v>1.6568276992533347E-2</c:v>
                </c:pt>
                <c:pt idx="20">
                  <c:v>1.6571620535884019E-3</c:v>
                </c:pt>
                <c:pt idx="21">
                  <c:v>1.3410016125778917E-3</c:v>
                </c:pt>
                <c:pt idx="22">
                  <c:v>1.4943764745943585E-2</c:v>
                </c:pt>
                <c:pt idx="23">
                  <c:v>1.1914582515437794E-3</c:v>
                </c:pt>
                <c:pt idx="24">
                  <c:v>2.3821069979549754E-2</c:v>
                </c:pt>
                <c:pt idx="25">
                  <c:v>1.1982380860516004E-3</c:v>
                </c:pt>
                <c:pt idx="26">
                  <c:v>1.8590869674255293E-2</c:v>
                </c:pt>
                <c:pt idx="27">
                  <c:v>2.6722901282223602E-3</c:v>
                </c:pt>
                <c:pt idx="28">
                  <c:v>5.2274086934552058E-3</c:v>
                </c:pt>
                <c:pt idx="29">
                  <c:v>1.1993680584695707E-3</c:v>
                </c:pt>
                <c:pt idx="30">
                  <c:v>2.8664497729937563E-3</c:v>
                </c:pt>
                <c:pt idx="31">
                  <c:v>0</c:v>
                </c:pt>
                <c:pt idx="32">
                  <c:v>0</c:v>
                </c:pt>
                <c:pt idx="33">
                  <c:v>1.3172159670016921E-2</c:v>
                </c:pt>
                <c:pt idx="34">
                  <c:v>7.8654112404841128E-4</c:v>
                </c:pt>
                <c:pt idx="35">
                  <c:v>1.8969297874143966E-3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2.3149429118831375E-3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3.7912103302428501E-2</c:v>
                </c:pt>
                <c:pt idx="1">
                  <c:v>7.7981008935323934E-2</c:v>
                </c:pt>
                <c:pt idx="2">
                  <c:v>7.5656144085599841E-2</c:v>
                </c:pt>
                <c:pt idx="3">
                  <c:v>7.4507716870675894E-2</c:v>
                </c:pt>
                <c:pt idx="4">
                  <c:v>7.286910730791854E-2</c:v>
                </c:pt>
                <c:pt idx="5">
                  <c:v>6.3569647909022156E-2</c:v>
                </c:pt>
                <c:pt idx="6">
                  <c:v>6.4073835466793641E-2</c:v>
                </c:pt>
                <c:pt idx="7">
                  <c:v>6.0502506932578921E-2</c:v>
                </c:pt>
                <c:pt idx="8">
                  <c:v>5.516652194616397E-2</c:v>
                </c:pt>
                <c:pt idx="9">
                  <c:v>4.8976219153525111E-2</c:v>
                </c:pt>
                <c:pt idx="10">
                  <c:v>4.695946892243915E-2</c:v>
                </c:pt>
                <c:pt idx="11">
                  <c:v>4.3948348785748298E-2</c:v>
                </c:pt>
                <c:pt idx="12">
                  <c:v>3.7575978263914178E-2</c:v>
                </c:pt>
                <c:pt idx="13">
                  <c:v>3.151172236071819E-2</c:v>
                </c:pt>
                <c:pt idx="14">
                  <c:v>2.9312904400436962E-2</c:v>
                </c:pt>
                <c:pt idx="15">
                  <c:v>2.5993669645107981E-2</c:v>
                </c:pt>
                <c:pt idx="16">
                  <c:v>2.0307554410240611E-2</c:v>
                </c:pt>
                <c:pt idx="17">
                  <c:v>1.8907033416430911E-2</c:v>
                </c:pt>
                <c:pt idx="18">
                  <c:v>1.6624184196521105E-2</c:v>
                </c:pt>
                <c:pt idx="19">
                  <c:v>1.5391725721968572E-2</c:v>
                </c:pt>
                <c:pt idx="20">
                  <c:v>1.2366600375339626E-2</c:v>
                </c:pt>
                <c:pt idx="21">
                  <c:v>1.054592308338702E-2</c:v>
                </c:pt>
                <c:pt idx="22">
                  <c:v>8.6972353715582193E-3</c:v>
                </c:pt>
                <c:pt idx="23">
                  <c:v>8.0670009243438562E-3</c:v>
                </c:pt>
                <c:pt idx="24">
                  <c:v>6.0082350634436009E-3</c:v>
                </c:pt>
                <c:pt idx="25">
                  <c:v>5.9101985938769218E-3</c:v>
                </c:pt>
                <c:pt idx="26">
                  <c:v>5.4900422957340133E-3</c:v>
                </c:pt>
                <c:pt idx="27">
                  <c:v>4.2295734013052854E-3</c:v>
                </c:pt>
                <c:pt idx="28">
                  <c:v>2.9550992969384609E-3</c:v>
                </c:pt>
                <c:pt idx="29">
                  <c:v>2.8010419876193945E-3</c:v>
                </c:pt>
                <c:pt idx="30">
                  <c:v>2.2828492199098065E-3</c:v>
                </c:pt>
                <c:pt idx="31">
                  <c:v>2.0727710708383518E-3</c:v>
                </c:pt>
                <c:pt idx="32">
                  <c:v>1.6806251925716366E-3</c:v>
                </c:pt>
                <c:pt idx="33">
                  <c:v>1.3725105739335033E-3</c:v>
                </c:pt>
                <c:pt idx="34">
                  <c:v>1.1624324248620487E-3</c:v>
                </c:pt>
                <c:pt idx="35">
                  <c:v>1.0503907453572729E-3</c:v>
                </c:pt>
                <c:pt idx="36">
                  <c:v>7.8429175653343041E-4</c:v>
                </c:pt>
                <c:pt idx="37">
                  <c:v>7.4227612671913957E-4</c:v>
                </c:pt>
                <c:pt idx="38">
                  <c:v>6.3023444721436376E-4</c:v>
                </c:pt>
                <c:pt idx="39">
                  <c:v>5.8821881740007281E-4</c:v>
                </c:pt>
                <c:pt idx="40">
                  <c:v>4.9018234783339406E-4</c:v>
                </c:pt>
                <c:pt idx="41">
                  <c:v>3.6413545839052126E-4</c:v>
                </c:pt>
                <c:pt idx="42">
                  <c:v>2.9410940870003641E-4</c:v>
                </c:pt>
                <c:pt idx="43">
                  <c:v>3.2211982857623036E-4</c:v>
                </c:pt>
                <c:pt idx="44">
                  <c:v>3.0811461863813341E-4</c:v>
                </c:pt>
                <c:pt idx="45">
                  <c:v>1.540573093190667E-4</c:v>
                </c:pt>
                <c:pt idx="46">
                  <c:v>1.4005209938096973E-4</c:v>
                </c:pt>
                <c:pt idx="47">
                  <c:v>1.4005209938096973E-4</c:v>
                </c:pt>
                <c:pt idx="48">
                  <c:v>8.4031259628581826E-5</c:v>
                </c:pt>
                <c:pt idx="49">
                  <c:v>9.8036469566678802E-5</c:v>
                </c:pt>
                <c:pt idx="50">
                  <c:v>9.8036469566678802E-5</c:v>
                </c:pt>
                <c:pt idx="51">
                  <c:v>7.0026049690484864E-5</c:v>
                </c:pt>
                <c:pt idx="52">
                  <c:v>4.2015629814290913E-5</c:v>
                </c:pt>
                <c:pt idx="53">
                  <c:v>9.8036469566678802E-5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3828.384462</v>
      </c>
      <c r="C11" s="10">
        <f>B11/B$102</f>
        <v>8.3293981814855103E-2</v>
      </c>
      <c r="E11" s="18">
        <v>0</v>
      </c>
      <c r="F11" s="248" t="n">
        <v>6690.0</v>
      </c>
      <c r="G11" s="10">
        <f>F11/F$102</f>
        <v>0.11227976807372342</v>
      </c>
      <c r="K11" s="8" t="n">
        <v>5.827856220560188</v>
      </c>
      <c r="L11" s="8" t="n">
        <v>6.02762875160246</v>
      </c>
    </row>
    <row r="12" spans="1:12" x14ac:dyDescent="0.25">
      <c r="A12">
        <v>1</v>
      </c>
      <c r="B12" s="246" t="n">
        <v>14830.095094</v>
      </c>
      <c r="C12" s="10">
        <f>B12/B$102</f>
        <v>0.13714132649484312</v>
      </c>
      <c r="E12" s="19">
        <v>1</v>
      </c>
      <c r="F12" s="248" t="n">
        <v>9874.0</v>
      </c>
      <c r="G12" s="10">
        <f>F12/F$102</f>
        <v>0.11950645640178147</v>
      </c>
      <c r="K12" s="8"/>
      <c r="L12" s="198"/>
    </row>
    <row r="13" spans="1:12" x14ac:dyDescent="0.25">
      <c r="A13">
        <v>2</v>
      </c>
      <c r="B13" s="246" t="n">
        <v>9080.136513</v>
      </c>
      <c r="C13" s="10">
        <f ref="C13:C76" si="0" t="shared">B13/B$102</f>
        <v>0.15140564824299588</v>
      </c>
      <c r="E13" s="20">
        <v>2</v>
      </c>
      <c r="F13" s="248" t="n">
        <v>13645.0</v>
      </c>
      <c r="G13" s="10">
        <f ref="G13:G76" si="1" t="shared">F13/F$102</f>
        <v>0.10390465253074144</v>
      </c>
    </row>
    <row r="14" spans="1:12" x14ac:dyDescent="0.25">
      <c r="A14">
        <v>3</v>
      </c>
      <c r="B14" s="246" t="n">
        <v>10918.82721</v>
      </c>
      <c r="C14" s="10">
        <f si="0" t="shared"/>
        <v>0.10087624818414268</v>
      </c>
      <c r="E14" s="21">
        <v>3</v>
      </c>
      <c r="F14" s="248" t="n">
        <v>16119.0</v>
      </c>
      <c r="G14" s="10">
        <f si="1" t="shared"/>
        <v>8.827483823982521E-2</v>
      </c>
    </row>
    <row r="15" spans="1:12" x14ac:dyDescent="0.25">
      <c r="A15">
        <v>4</v>
      </c>
      <c r="B15" s="246" t="n">
        <v>7595.61502</v>
      </c>
      <c r="C15" s="10">
        <f si="0" t="shared"/>
        <v>8.5375337969337009E-2</v>
      </c>
      <c r="E15" s="22">
        <v>4</v>
      </c>
      <c r="F15" s="248" t="n">
        <v>13703.0</v>
      </c>
      <c r="G15" s="10">
        <f si="1" t="shared"/>
        <v>8.0053780006162298E-2</v>
      </c>
    </row>
    <row r="16" spans="1:12" x14ac:dyDescent="0.25">
      <c r="A16">
        <v>5</v>
      </c>
      <c r="B16" s="246" t="n">
        <v>7595.30482</v>
      </c>
      <c r="C16" s="10">
        <f si="0" t="shared"/>
        <v>7.2479935476179716E-2</v>
      </c>
      <c r="E16" s="23">
        <v>5</v>
      </c>
      <c r="F16" s="248" t="n">
        <v>10971.0</v>
      </c>
      <c r="G16" s="10">
        <f si="1" t="shared"/>
        <v>6.9843981961289603E-2</v>
      </c>
    </row>
    <row r="17" spans="1:7" x14ac:dyDescent="0.25">
      <c r="A17">
        <v>6</v>
      </c>
      <c r="B17" s="246" t="n">
        <v>6687.383069</v>
      </c>
      <c r="C17" s="10">
        <f si="0" t="shared"/>
        <v>2.5188908985535965E-2</v>
      </c>
      <c r="E17" s="24">
        <v>6</v>
      </c>
      <c r="F17" s="248" t="n">
        <v>8701.0</v>
      </c>
      <c r="G17" s="10">
        <f si="1" t="shared"/>
        <v>6.2085095655583879E-2</v>
      </c>
    </row>
    <row r="18" spans="1:7" x14ac:dyDescent="0.25">
      <c r="A18">
        <v>7</v>
      </c>
      <c r="B18" s="246" t="n">
        <v>1063.164117</v>
      </c>
      <c r="C18" s="10">
        <f si="0" t="shared"/>
        <v>8.6268838114680821E-2</v>
      </c>
      <c r="E18" s="25">
        <v>7</v>
      </c>
      <c r="F18" s="248" t="n">
        <v>6584.0</v>
      </c>
      <c r="G18" s="10">
        <f si="1" t="shared"/>
        <v>6.0306433993445561E-2</v>
      </c>
    </row>
    <row r="19" spans="1:7" x14ac:dyDescent="0.25">
      <c r="A19">
        <v>8</v>
      </c>
      <c r="B19" s="246" t="n">
        <v>2811.792132</v>
      </c>
      <c r="C19" s="10">
        <f si="0" t="shared"/>
        <v>3.3856706671374553E-2</v>
      </c>
      <c r="E19" s="26">
        <v>8</v>
      </c>
      <c r="F19" s="248" t="n">
        <v>5269.0</v>
      </c>
      <c r="G19" s="10">
        <f si="1" t="shared"/>
        <v>4.6875437662810562E-2</v>
      </c>
    </row>
    <row r="20" spans="1:7" x14ac:dyDescent="0.25">
      <c r="A20">
        <v>9</v>
      </c>
      <c r="B20" s="246" t="n">
        <v>3093.231918</v>
      </c>
      <c r="C20" s="10">
        <f si="0" t="shared"/>
        <v>6.1729705473246625E-2</v>
      </c>
      <c r="E20" s="27">
        <v>9</v>
      </c>
      <c r="F20" s="248" t="n">
        <v>4229.0</v>
      </c>
      <c r="G20" s="10">
        <f si="1" t="shared"/>
        <v>3.8654379429147644E-2</v>
      </c>
    </row>
    <row r="21" spans="1:7" x14ac:dyDescent="0.25">
      <c r="A21">
        <v>10</v>
      </c>
      <c r="B21" s="246" t="n">
        <v>2364.416587</v>
      </c>
      <c r="C21" s="10">
        <f si="0" t="shared"/>
        <v>7.1719239839737135E-3</v>
      </c>
      <c r="E21" s="28">
        <v>10</v>
      </c>
      <c r="F21" s="248" t="n">
        <v>3440.0</v>
      </c>
      <c r="G21" s="10">
        <f si="1" t="shared"/>
        <v>3.1455701520965801E-2</v>
      </c>
    </row>
    <row r="22" spans="1:7" x14ac:dyDescent="0.25">
      <c r="A22">
        <v>11</v>
      </c>
      <c r="B22" s="246" t="n">
        <v>1213.896763</v>
      </c>
      <c r="C22" s="10">
        <f si="0" t="shared"/>
        <v>7.7885276465253818E-3</v>
      </c>
      <c r="E22" s="29">
        <v>11</v>
      </c>
      <c r="F22" s="248" t="n">
        <v>2748.0</v>
      </c>
      <c r="G22" s="10">
        <f si="1" t="shared"/>
        <v>2.789837819668917E-2</v>
      </c>
    </row>
    <row r="23" spans="1:7" x14ac:dyDescent="0.25">
      <c r="A23">
        <v>12</v>
      </c>
      <c r="B23" s="246" t="n">
        <v>545.4455700000001</v>
      </c>
      <c r="C23" s="10">
        <f si="0" t="shared"/>
        <v>1.8778204751873313E-2</v>
      </c>
      <c r="E23" s="30">
        <v>12</v>
      </c>
      <c r="F23" s="248" t="n">
        <v>2494.0</v>
      </c>
      <c r="G23" s="10">
        <f si="1" t="shared"/>
        <v>2.3318674546931459E-2</v>
      </c>
    </row>
    <row r="24" spans="1:7" x14ac:dyDescent="0.25">
      <c r="A24">
        <v>13</v>
      </c>
      <c r="B24" s="246" t="n">
        <v>322.923604</v>
      </c>
      <c r="C24" s="10">
        <f si="0" t="shared"/>
        <v>1.0169825517841893E-2</v>
      </c>
      <c r="E24" s="31">
        <v>13</v>
      </c>
      <c r="F24" s="248" t="n">
        <v>1731.0</v>
      </c>
      <c r="G24" s="10">
        <f si="1" t="shared"/>
        <v>2.1694070194112208E-2</v>
      </c>
    </row>
    <row r="25" spans="1:7" x14ac:dyDescent="0.25">
      <c r="A25">
        <v>14</v>
      </c>
      <c r="B25" s="246" t="n">
        <v>1098.780834</v>
      </c>
      <c r="C25" s="10">
        <f si="0" t="shared"/>
        <v>2.1178801033422973E-2</v>
      </c>
      <c r="E25" s="32">
        <v>14</v>
      </c>
      <c r="F25" s="248" t="n">
        <v>1330.0</v>
      </c>
      <c r="G25" s="10">
        <f si="1" t="shared"/>
        <v>1.9033080305873785E-2</v>
      </c>
    </row>
    <row r="26" spans="1:7" x14ac:dyDescent="0.25">
      <c r="A26">
        <v>15</v>
      </c>
      <c r="B26" s="246" t="n">
        <v>330.324087</v>
      </c>
      <c r="C26" s="10">
        <f si="0" t="shared"/>
        <v>1.8361924008381393E-3</v>
      </c>
      <c r="E26" s="33">
        <v>15</v>
      </c>
      <c r="F26" s="248" t="n">
        <v>963.0</v>
      </c>
      <c r="G26" s="10">
        <f si="1" t="shared"/>
        <v>1.5881908069801966E-2</v>
      </c>
    </row>
    <row r="27" spans="1:7" x14ac:dyDescent="0.25">
      <c r="A27">
        <v>16</v>
      </c>
      <c r="B27" s="246" t="n">
        <v>653.2362469999999</v>
      </c>
      <c r="C27" s="10">
        <f si="0" t="shared"/>
        <v>2.8212088902238781E-3</v>
      </c>
      <c r="E27" s="34">
        <v>16</v>
      </c>
      <c r="F27" s="248" t="n">
        <v>819.0</v>
      </c>
      <c r="G27" s="10">
        <f si="1" t="shared"/>
        <v>1.2884793143049215E-2</v>
      </c>
    </row>
    <row r="28" spans="1:7" x14ac:dyDescent="0.25">
      <c r="A28">
        <v>17</v>
      </c>
      <c r="B28" s="246" t="n">
        <v>1096.479746</v>
      </c>
      <c r="C28" s="10">
        <f si="0" t="shared"/>
        <v>1.7500585027430678E-2</v>
      </c>
      <c r="E28" s="35">
        <v>17</v>
      </c>
      <c r="F28" s="248" t="n">
        <v>542.0</v>
      </c>
      <c r="G28" s="10">
        <f si="1" t="shared"/>
        <v>1.0882048121901347E-2</v>
      </c>
    </row>
    <row r="29" spans="1:7" x14ac:dyDescent="0.25">
      <c r="A29">
        <v>18</v>
      </c>
      <c r="B29" s="246" t="n">
        <v>1696.805151</v>
      </c>
      <c r="C29" s="10">
        <f si="0" t="shared"/>
        <v>1.9055814696078175E-2</v>
      </c>
      <c r="E29" s="36">
        <v>18</v>
      </c>
      <c r="F29" s="248" t="n">
        <v>447.0</v>
      </c>
      <c r="G29" s="10">
        <f si="1" t="shared"/>
        <v>8.9073135206296748E-3</v>
      </c>
    </row>
    <row r="30" spans="1:7" x14ac:dyDescent="0.25">
      <c r="A30">
        <v>19</v>
      </c>
      <c r="B30" s="246" t="n">
        <v>500.346235</v>
      </c>
      <c r="C30" s="10">
        <f si="0" t="shared"/>
        <v>0</v>
      </c>
      <c r="E30" s="37">
        <v>19</v>
      </c>
      <c r="F30" s="248" t="n">
        <v>366.0</v>
      </c>
      <c r="G30" s="10">
        <f si="1" t="shared"/>
        <v>7.4507716870675887E-3</v>
      </c>
    </row>
    <row r="31" spans="1:7" x14ac:dyDescent="0.25">
      <c r="A31">
        <v>20</v>
      </c>
      <c r="B31" s="246" t="n">
        <v>499.930883</v>
      </c>
      <c r="C31" s="10">
        <f si="0" t="shared"/>
        <v>2.2939161568272561E-3</v>
      </c>
      <c r="E31" s="38">
        <v>20</v>
      </c>
      <c r="F31" s="248" t="n">
        <v>276.0</v>
      </c>
      <c r="G31" s="10">
        <f si="1" t="shared"/>
        <v>6.862552869667516E-3</v>
      </c>
    </row>
    <row r="32" spans="1:7" x14ac:dyDescent="0.25">
      <c r="A32">
        <v>21</v>
      </c>
      <c r="B32" s="246" t="n">
        <v>0.0</v>
      </c>
      <c r="C32" s="10">
        <f si="0" t="shared"/>
        <v>3.5418541045636365E-3</v>
      </c>
      <c r="E32" s="39">
        <v>21</v>
      </c>
      <c r="F32" s="248" t="n">
        <v>279.0</v>
      </c>
      <c r="G32" s="10">
        <f si="1" t="shared"/>
        <v>5.574073555362595E-3</v>
      </c>
    </row>
    <row r="33" spans="1:7" x14ac:dyDescent="0.25">
      <c r="A33">
        <v>22</v>
      </c>
      <c r="B33" s="246" t="n">
        <v>678.026519</v>
      </c>
      <c r="C33" s="10">
        <f si="0" t="shared"/>
        <v>2.3652272321269541E-2</v>
      </c>
      <c r="E33" s="40">
        <v>22</v>
      </c>
      <c r="F33" s="248" t="n">
        <v>181.0</v>
      </c>
      <c r="G33" s="10">
        <f si="1" t="shared"/>
        <v>4.5096776000672252E-3</v>
      </c>
    </row>
    <row r="34" spans="1:7" x14ac:dyDescent="0.25">
      <c r="A34">
        <v>23</v>
      </c>
      <c r="B34" s="246" t="n">
        <v>0.0</v>
      </c>
      <c r="C34" s="10">
        <f si="0" t="shared"/>
        <v>3.3350469616013553E-3</v>
      </c>
      <c r="E34" s="41">
        <v>23</v>
      </c>
      <c r="F34" s="248" t="n">
        <v>145.0</v>
      </c>
      <c r="G34" s="10">
        <f si="1" t="shared"/>
        <v>3.8514327329766673E-3</v>
      </c>
    </row>
    <row r="35" spans="1:7" x14ac:dyDescent="0.25">
      <c r="A35">
        <v>24</v>
      </c>
      <c r="B35" s="246" t="n">
        <v>104.200761</v>
      </c>
      <c r="C35" s="10">
        <f si="0" t="shared"/>
        <v>4.6131637191607466E-3</v>
      </c>
      <c r="E35" s="42">
        <v>24</v>
      </c>
      <c r="F35" s="248" t="n">
        <v>132.0</v>
      </c>
      <c r="G35" s="10">
        <f si="1" t="shared"/>
        <v>3.3052295453908855E-3</v>
      </c>
    </row>
    <row r="36" spans="1:7" x14ac:dyDescent="0.25">
      <c r="A36">
        <v>25</v>
      </c>
      <c r="B36" s="246" t="n">
        <v>0.0</v>
      </c>
      <c r="C36" s="10">
        <f si="0" t="shared"/>
        <v>1.9968857966524809E-3</v>
      </c>
      <c r="E36" s="43">
        <v>25</v>
      </c>
      <c r="F36" s="248" t="n">
        <v>111.0</v>
      </c>
      <c r="G36" s="10">
        <f si="1" t="shared"/>
        <v>2.7870367776812975E-3</v>
      </c>
    </row>
    <row r="37" spans="1:7" x14ac:dyDescent="0.25">
      <c r="A37">
        <v>26</v>
      </c>
      <c r="B37" s="246" t="n">
        <v>318.972118</v>
      </c>
      <c r="C37" s="10">
        <f si="0" t="shared"/>
        <v>0</v>
      </c>
      <c r="E37" s="44">
        <v>26</v>
      </c>
      <c r="F37" s="248" t="n">
        <v>72.0</v>
      </c>
      <c r="G37" s="10">
        <f si="1" t="shared"/>
        <v>1.9747346012716732E-3</v>
      </c>
    </row>
    <row r="38" spans="1:7" x14ac:dyDescent="0.25">
      <c r="A38">
        <v>27</v>
      </c>
      <c r="B38" s="246" t="n">
        <v>0.0</v>
      </c>
      <c r="C38" s="10">
        <f si="0" t="shared"/>
        <v>1.1684681503613624E-3</v>
      </c>
      <c r="E38" s="45">
        <v>27</v>
      </c>
      <c r="F38" s="248" t="n">
        <v>67.0</v>
      </c>
      <c r="G38" s="10">
        <f si="1" t="shared"/>
        <v>1.7506512422621216E-3</v>
      </c>
    </row>
    <row r="39" spans="1:7" x14ac:dyDescent="0.25">
      <c r="A39">
        <v>28</v>
      </c>
      <c r="B39" s="246" t="n">
        <v>0.0</v>
      </c>
      <c r="C39" s="10">
        <f si="0" t="shared"/>
        <v>1.1993680584695709E-3</v>
      </c>
      <c r="E39" s="46">
        <v>28</v>
      </c>
      <c r="F39" s="248" t="n">
        <v>53.0</v>
      </c>
      <c r="G39" s="10">
        <f si="1" t="shared"/>
        <v>1.456541833562085E-3</v>
      </c>
    </row>
    <row r="40" spans="1:7" x14ac:dyDescent="0.25">
      <c r="A40">
        <v>29</v>
      </c>
      <c r="B40" s="246" t="n">
        <v>700.872868</v>
      </c>
      <c r="C40" s="10">
        <f si="0" t="shared"/>
        <v>0</v>
      </c>
      <c r="E40" s="47">
        <v>29</v>
      </c>
      <c r="F40" s="248" t="n">
        <v>36.0</v>
      </c>
      <c r="G40" s="10">
        <f si="1" t="shared"/>
        <v>1.1064115851096609E-3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43.0</v>
      </c>
      <c r="G41" s="10">
        <f si="1" t="shared"/>
        <v>1.2184532646144365E-3</v>
      </c>
    </row>
    <row r="42" spans="1:7" x14ac:dyDescent="0.25">
      <c r="A42">
        <v>31</v>
      </c>
      <c r="B42" s="246" t="n">
        <v>0.0</v>
      </c>
      <c r="C42" s="10">
        <f si="0" t="shared"/>
        <v>7.8654112404841138E-4</v>
      </c>
      <c r="E42" s="49">
        <v>31</v>
      </c>
      <c r="F42" s="248" t="n">
        <v>86.0</v>
      </c>
      <c r="G42" s="10">
        <f si="1" t="shared"/>
        <v>7.5628133665723652E-4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31.0</v>
      </c>
      <c r="G43" s="10">
        <f si="1" t="shared"/>
        <v>1.022380325481079E-3</v>
      </c>
    </row>
    <row r="44" spans="1:7" x14ac:dyDescent="0.25">
      <c r="A44">
        <v>33</v>
      </c>
      <c r="B44" s="246" t="n">
        <v>0.0</v>
      </c>
      <c r="C44" s="10">
        <f si="0" t="shared"/>
        <v>1.8969297874143968E-3</v>
      </c>
      <c r="E44" s="51">
        <v>33</v>
      </c>
      <c r="F44" s="248" t="n">
        <v>34.0</v>
      </c>
      <c r="G44" s="10">
        <f si="1" t="shared"/>
        <v>3.361250385143273E-4</v>
      </c>
    </row>
    <row r="45" spans="1:7" x14ac:dyDescent="0.25">
      <c r="A45">
        <v>34</v>
      </c>
      <c r="B45" s="246" t="n">
        <v>0.0</v>
      </c>
      <c r="C45" s="10">
        <f si="0" t="shared"/>
        <v>9.2828895323486659E-3</v>
      </c>
      <c r="E45" s="52">
        <v>34</v>
      </c>
      <c r="F45" s="248" t="n">
        <v>20.0</v>
      </c>
      <c r="G45" s="10">
        <f si="1" t="shared"/>
        <v>4.6217192795720006E-4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52.0</v>
      </c>
      <c r="G46" s="10">
        <f si="1" t="shared"/>
        <v>3.2211982857623036E-4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29.0</v>
      </c>
      <c r="G47" s="10">
        <f si="1" t="shared"/>
        <v>2.3808856894764853E-4</v>
      </c>
    </row>
    <row r="48" spans="1:7" x14ac:dyDescent="0.25">
      <c r="A48">
        <v>37</v>
      </c>
      <c r="B48" s="246" t="n">
        <v>0.0</v>
      </c>
      <c r="C48" s="10">
        <f si="0" t="shared"/>
        <v>2.314942911883138E-3</v>
      </c>
      <c r="E48" s="55">
        <v>37</v>
      </c>
      <c r="F48" s="248" t="n">
        <v>11.0</v>
      </c>
      <c r="G48" s="10">
        <f si="1" t="shared"/>
        <v>2.3808856894764853E-4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19.0</v>
      </c>
      <c r="G49" s="10">
        <f si="1" t="shared"/>
        <v>1.8206772919526063E-4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13.0</v>
      </c>
      <c r="G50" s="10">
        <f si="1" t="shared"/>
        <v>1.540573093190667E-4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31.0</v>
      </c>
      <c r="G51" s="10">
        <f si="1" t="shared"/>
        <v>9.8036469566678802E-5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14.0</v>
      </c>
      <c r="G52" s="10">
        <f si="1" t="shared"/>
        <v>9.8036469566678802E-5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29.0</v>
      </c>
      <c r="G53" s="10">
        <f si="1" t="shared"/>
        <v>1.1204167950477578E-4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6.0</v>
      </c>
      <c r="G54" s="10">
        <f si="1" t="shared"/>
        <v>5.6020839752387889E-5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4.0</v>
      </c>
      <c r="G55" s="10">
        <f si="1" t="shared"/>
        <v>1.2604688944287275E-4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19.0</v>
      </c>
      <c r="G56" s="10">
        <f si="1" t="shared"/>
        <v>4.2015629814290913E-5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1.0</v>
      </c>
      <c r="G57" s="10">
        <f si="1" t="shared"/>
        <v>4.2015629814290913E-5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10.0</v>
      </c>
      <c r="G58" s="10">
        <f si="1" t="shared"/>
        <v>2.8010419876193944E-5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3.0</v>
      </c>
      <c r="G59" s="10">
        <f si="1" t="shared"/>
        <v>0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3.0</v>
      </c>
      <c r="G60" s="10">
        <f si="1" t="shared"/>
        <v>1.4005209938096972E-5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8.0</v>
      </c>
      <c r="G61" s="10">
        <f si="1" t="shared"/>
        <v>2.8010419876193944E-5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3.0</v>
      </c>
      <c r="G62" s="10">
        <f si="1" t="shared"/>
        <v>0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36.0</v>
      </c>
      <c r="G63" s="10">
        <f si="1" t="shared"/>
        <v>1.4005209938096972E-5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13.0</v>
      </c>
      <c r="G64" s="10">
        <f si="1" t="shared"/>
        <v>0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12.0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4.0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12.0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19.0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8.0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1.0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6.0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4.0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0.0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1.0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6.0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2.0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15.0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13.0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3.0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1.0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1.0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7.0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1.0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2.0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1.0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7.0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1.0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1.0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3.0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2.0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1.0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38.0</v>
      </c>
      <c r="G101" s="10">
        <f si="3" t="shared"/>
        <v>0</v>
      </c>
    </row>
    <row r="102" spans="1:7" x14ac:dyDescent="0.25">
      <c r="B102" s="246">
        <f>SUM(B11:B101)</f>
        <v>59710.307018999993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2.2031021119710718E-2</v>
      </c>
      <c r="E11" s="108">
        <v>0</v>
      </c>
      <c r="F11" s="248" t="n">
        <v>1453.0</v>
      </c>
      <c r="G11" s="10">
        <f>F11/F$102</f>
        <v>3.7912103302428501E-2</v>
      </c>
      <c r="K11" s="8" t="n">
        <v>13.539136215483229</v>
      </c>
      <c r="L11" s="8" t="n">
        <v>15.575142674853645</v>
      </c>
    </row>
    <row r="12" spans="1:12" x14ac:dyDescent="0.25">
      <c r="A12">
        <v>1</v>
      </c>
      <c r="B12" s="246" t="n">
        <v>0.0</v>
      </c>
      <c r="C12" s="10">
        <f>B12/B$102</f>
        <v>4.2622715190363508E-2</v>
      </c>
      <c r="E12" s="109">
        <v>1</v>
      </c>
      <c r="F12" s="248" t="n">
        <v>801.0</v>
      </c>
      <c r="G12" s="10">
        <f>F12/F$102</f>
        <v>7.7981008935323934E-2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9.7461209136778304E-2</v>
      </c>
      <c r="E13" s="110">
        <v>2</v>
      </c>
      <c r="F13" s="248" t="n">
        <v>1054.0</v>
      </c>
      <c r="G13" s="10">
        <f ref="G13:G76" si="1" t="shared">F13/F$102</f>
        <v>7.5656144085599841E-2</v>
      </c>
    </row>
    <row r="14" spans="1:12" x14ac:dyDescent="0.25">
      <c r="A14">
        <v>3</v>
      </c>
      <c r="B14" s="246" t="n">
        <v>854.907143</v>
      </c>
      <c r="C14" s="10">
        <f si="0" t="shared"/>
        <v>0.1251705093162854</v>
      </c>
      <c r="E14" s="111">
        <v>3</v>
      </c>
      <c r="F14" s="248" t="n">
        <v>1628.0</v>
      </c>
      <c r="G14" s="10">
        <f si="1" t="shared"/>
        <v>7.4507716870675894E-2</v>
      </c>
    </row>
    <row r="15" spans="1:12" x14ac:dyDescent="0.25">
      <c r="A15">
        <v>4</v>
      </c>
      <c r="B15" s="246" t="n">
        <v>6430.995641</v>
      </c>
      <c r="C15" s="10">
        <f si="0" t="shared"/>
        <v>8.8563117391396107E-2</v>
      </c>
      <c r="E15" s="112">
        <v>4</v>
      </c>
      <c r="F15" s="248" t="n">
        <v>2682.0</v>
      </c>
      <c r="G15" s="10">
        <f si="1" t="shared"/>
        <v>7.286910730791854E-2</v>
      </c>
    </row>
    <row r="16" spans="1:12" x14ac:dyDescent="0.25">
      <c r="A16">
        <v>5</v>
      </c>
      <c r="B16" s="246" t="n">
        <v>7748.253992</v>
      </c>
      <c r="C16" s="10">
        <f si="0" t="shared"/>
        <v>7.6657097501500279E-2</v>
      </c>
      <c r="E16" s="113">
        <v>5</v>
      </c>
      <c r="F16" s="248" t="n">
        <v>4096.0</v>
      </c>
      <c r="G16" s="10">
        <f si="1" t="shared"/>
        <v>6.3569647909022156E-2</v>
      </c>
    </row>
    <row r="17" spans="1:7" x14ac:dyDescent="0.25">
      <c r="A17">
        <v>6</v>
      </c>
      <c r="B17" s="246" t="n">
        <v>3477.433163</v>
      </c>
      <c r="C17" s="10">
        <f si="0" t="shared"/>
        <v>5.9326893812031295E-2</v>
      </c>
      <c r="E17" s="114">
        <v>6</v>
      </c>
      <c r="F17" s="248" t="n">
        <v>5212.0</v>
      </c>
      <c r="G17" s="10">
        <f si="1" t="shared"/>
        <v>6.4073835466793641E-2</v>
      </c>
    </row>
    <row r="18" spans="1:7" x14ac:dyDescent="0.25">
      <c r="A18">
        <v>7</v>
      </c>
      <c r="B18" s="246" t="n">
        <v>5441.396178</v>
      </c>
      <c r="C18" s="10">
        <f si="0" t="shared"/>
        <v>8.0406111485447296E-2</v>
      </c>
      <c r="E18" s="115">
        <v>7</v>
      </c>
      <c r="F18" s="248" t="n">
        <v>6160.0</v>
      </c>
      <c r="G18" s="10">
        <f si="1" t="shared"/>
        <v>6.0502506932578921E-2</v>
      </c>
    </row>
    <row r="19" spans="1:7" x14ac:dyDescent="0.25">
      <c r="A19">
        <v>8</v>
      </c>
      <c r="B19" s="246" t="n">
        <v>7308.843676</v>
      </c>
      <c r="C19" s="10">
        <f si="0" t="shared"/>
        <v>3.9491810940607892E-2</v>
      </c>
      <c r="E19" s="116">
        <v>8</v>
      </c>
      <c r="F19" s="248" t="n">
        <v>7037.0</v>
      </c>
      <c r="G19" s="10">
        <f si="1" t="shared"/>
        <v>5.516652194616397E-2</v>
      </c>
    </row>
    <row r="20" spans="1:7" x14ac:dyDescent="0.25">
      <c r="A20">
        <v>9</v>
      </c>
      <c r="B20" s="246" t="n">
        <v>6602.47195</v>
      </c>
      <c r="C20" s="10">
        <f si="0" t="shared"/>
        <v>1.6642841489389531E-2</v>
      </c>
      <c r="E20" s="117">
        <v>9</v>
      </c>
      <c r="F20" s="248" t="n">
        <v>7262.0</v>
      </c>
      <c r="G20" s="10">
        <f si="1" t="shared"/>
        <v>4.8976219153525111E-2</v>
      </c>
    </row>
    <row r="21" spans="1:7" x14ac:dyDescent="0.25">
      <c r="A21">
        <v>10</v>
      </c>
      <c r="B21" s="246" t="n">
        <v>3705.17828</v>
      </c>
      <c r="C21" s="10">
        <f si="0" t="shared"/>
        <v>8.3637673382099417E-2</v>
      </c>
      <c r="E21" s="118">
        <v>10</v>
      </c>
      <c r="F21" s="248" t="n">
        <v>7036.0</v>
      </c>
      <c r="G21" s="10">
        <f si="1" t="shared"/>
        <v>4.695946892243915E-2</v>
      </c>
    </row>
    <row r="22" spans="1:7" x14ac:dyDescent="0.25">
      <c r="A22">
        <v>11</v>
      </c>
      <c r="B22" s="246" t="n">
        <v>2986.424569</v>
      </c>
      <c r="C22" s="10">
        <f si="0" t="shared"/>
        <v>7.2341172933937825E-2</v>
      </c>
      <c r="E22" s="119">
        <v>11</v>
      </c>
      <c r="F22" s="248" t="n">
        <v>6677.0</v>
      </c>
      <c r="G22" s="10">
        <f si="1" t="shared"/>
        <v>4.3948348785748298E-2</v>
      </c>
    </row>
    <row r="23" spans="1:7" x14ac:dyDescent="0.25">
      <c r="A23">
        <v>12</v>
      </c>
      <c r="B23" s="246" t="n">
        <v>4199.657028</v>
      </c>
      <c r="C23" s="10">
        <f si="0" t="shared"/>
        <v>4.2751584566257887E-3</v>
      </c>
      <c r="E23" s="120">
        <v>12</v>
      </c>
      <c r="F23" s="248" t="n">
        <v>6449.0</v>
      </c>
      <c r="G23" s="10">
        <f si="1" t="shared"/>
        <v>3.7575978263914178E-2</v>
      </c>
    </row>
    <row r="24" spans="1:7" x14ac:dyDescent="0.25">
      <c r="A24">
        <v>13</v>
      </c>
      <c r="B24" s="246" t="n">
        <v>3409.931529</v>
      </c>
      <c r="C24" s="10">
        <f si="0" t="shared"/>
        <v>2.6521016539005581E-2</v>
      </c>
      <c r="E24" s="121">
        <v>13</v>
      </c>
      <c r="F24" s="248" t="n">
        <v>5996.0</v>
      </c>
      <c r="G24" s="10">
        <f si="1" t="shared"/>
        <v>3.151172236071819E-2</v>
      </c>
    </row>
    <row r="25" spans="1:7" x14ac:dyDescent="0.25">
      <c r="A25">
        <v>14</v>
      </c>
      <c r="B25" s="246" t="n">
        <v>2213.012647</v>
      </c>
      <c r="C25" s="10">
        <f si="0" t="shared"/>
        <v>1.869619324926218E-2</v>
      </c>
      <c r="E25" s="122">
        <v>14</v>
      </c>
      <c r="F25" s="248" t="n">
        <v>5208.0</v>
      </c>
      <c r="G25" s="10">
        <f si="1" t="shared"/>
        <v>2.9312904400436962E-2</v>
      </c>
    </row>
    <row r="26" spans="1:7" x14ac:dyDescent="0.25">
      <c r="A26">
        <v>15</v>
      </c>
      <c r="B26" s="246" t="n">
        <v>2717.873969</v>
      </c>
      <c r="C26" s="10">
        <f si="0" t="shared"/>
        <v>1.7271305415861374E-2</v>
      </c>
      <c r="E26" s="123">
        <v>15</v>
      </c>
      <c r="F26" s="248" t="n">
        <v>4962.0</v>
      </c>
      <c r="G26" s="10">
        <f si="1" t="shared"/>
        <v>2.5993669645107981E-2</v>
      </c>
    </row>
    <row r="27" spans="1:7" x14ac:dyDescent="0.25">
      <c r="A27">
        <v>16</v>
      </c>
      <c r="B27" s="246" t="n">
        <v>2048.222032</v>
      </c>
      <c r="C27" s="10">
        <f si="0" t="shared"/>
        <v>7.0409402829937255E-3</v>
      </c>
      <c r="E27" s="124">
        <v>16</v>
      </c>
      <c r="F27" s="248" t="n">
        <v>4321.0</v>
      </c>
      <c r="G27" s="10">
        <f si="1" t="shared"/>
        <v>2.0307554410240611E-2</v>
      </c>
    </row>
    <row r="28" spans="1:7" x14ac:dyDescent="0.25">
      <c r="A28">
        <v>17</v>
      </c>
      <c r="B28" s="246" t="n">
        <v>3655.165692</v>
      </c>
      <c r="C28" s="10">
        <f si="0" t="shared"/>
        <v>5.2804651615619928E-3</v>
      </c>
      <c r="E28" s="125">
        <v>17</v>
      </c>
      <c r="F28" s="248" t="n">
        <v>3991.0</v>
      </c>
      <c r="G28" s="10">
        <f si="1" t="shared"/>
        <v>1.8907033416430911E-2</v>
      </c>
    </row>
    <row r="29" spans="1:7" x14ac:dyDescent="0.25">
      <c r="A29">
        <v>18</v>
      </c>
      <c r="B29" s="246" t="n">
        <v>1178.3957149999999</v>
      </c>
      <c r="C29" s="10">
        <f si="0" t="shared"/>
        <v>7.1148156525944264E-3</v>
      </c>
      <c r="E29" s="126">
        <v>18</v>
      </c>
      <c r="F29" s="248" t="n">
        <v>3373.0</v>
      </c>
      <c r="G29" s="10">
        <f si="1" t="shared"/>
        <v>1.6624184196521105E-2</v>
      </c>
    </row>
    <row r="30" spans="1:7" x14ac:dyDescent="0.25">
      <c r="A30">
        <v>19</v>
      </c>
      <c r="B30" s="246" t="n">
        <v>1704.283262</v>
      </c>
      <c r="C30" s="10">
        <f si="0" t="shared"/>
        <v>1.6568276992533347E-2</v>
      </c>
      <c r="E30" s="127">
        <v>19</v>
      </c>
      <c r="F30" s="248" t="n">
        <v>3140.0</v>
      </c>
      <c r="G30" s="10">
        <f si="1" t="shared"/>
        <v>1.5391725721968572E-2</v>
      </c>
    </row>
    <row r="31" spans="1:7" x14ac:dyDescent="0.25">
      <c r="A31">
        <v>20</v>
      </c>
      <c r="B31" s="246" t="n">
        <v>1364.8219179999999</v>
      </c>
      <c r="C31" s="10">
        <f si="0" t="shared"/>
        <v>1.6571620535884019E-3</v>
      </c>
      <c r="E31" s="128">
        <v>20</v>
      </c>
      <c r="F31" s="248" t="n">
        <v>2832.0</v>
      </c>
      <c r="G31" s="10">
        <f si="1" t="shared"/>
        <v>1.2366600375339626E-2</v>
      </c>
    </row>
    <row r="32" spans="1:7" x14ac:dyDescent="0.25">
      <c r="A32">
        <v>21</v>
      </c>
      <c r="B32" s="246" t="n">
        <v>1319.910909</v>
      </c>
      <c r="C32" s="10">
        <f si="0" t="shared"/>
        <v>1.3410016125778917E-3</v>
      </c>
      <c r="E32" s="129">
        <v>21</v>
      </c>
      <c r="F32" s="248" t="n">
        <v>2472.0</v>
      </c>
      <c r="G32" s="10">
        <f si="1" t="shared"/>
        <v>1.054592308338702E-2</v>
      </c>
    </row>
    <row r="33" spans="1:7" x14ac:dyDescent="0.25">
      <c r="A33">
        <v>22</v>
      </c>
      <c r="B33" s="246" t="n">
        <v>944.945336</v>
      </c>
      <c r="C33" s="10">
        <f si="0" t="shared"/>
        <v>1.4943764745943585E-2</v>
      </c>
      <c r="E33" s="130">
        <v>22</v>
      </c>
      <c r="F33" s="248" t="n">
        <v>2193.0</v>
      </c>
      <c r="G33" s="10">
        <f si="1" t="shared"/>
        <v>8.6972353715582193E-3</v>
      </c>
    </row>
    <row r="34" spans="1:7" x14ac:dyDescent="0.25">
      <c r="A34">
        <v>23</v>
      </c>
      <c r="B34" s="246" t="n">
        <v>472.59208</v>
      </c>
      <c r="C34" s="10">
        <f si="0" t="shared"/>
        <v>1.1914582515437794E-3</v>
      </c>
      <c r="E34" s="131">
        <v>23</v>
      </c>
      <c r="F34" s="248" t="n">
        <v>1865.0</v>
      </c>
      <c r="G34" s="10">
        <f si="1" t="shared"/>
        <v>8.0670009243438562E-3</v>
      </c>
    </row>
    <row r="35" spans="1:7" x14ac:dyDescent="0.25">
      <c r="A35">
        <v>24</v>
      </c>
      <c r="B35" s="246" t="n">
        <v>593.57439</v>
      </c>
      <c r="C35" s="10">
        <f si="0" t="shared"/>
        <v>2.3821069979549754E-2</v>
      </c>
      <c r="E35" s="132">
        <v>24</v>
      </c>
      <c r="F35" s="248" t="n">
        <v>1689.0</v>
      </c>
      <c r="G35" s="10">
        <f si="1" t="shared"/>
        <v>6.0082350634436009E-3</v>
      </c>
    </row>
    <row r="36" spans="1:7" x14ac:dyDescent="0.25">
      <c r="A36">
        <v>25</v>
      </c>
      <c r="B36" s="246" t="n">
        <v>433.23071</v>
      </c>
      <c r="C36" s="10">
        <f si="0" t="shared"/>
        <v>1.1982380860516004E-3</v>
      </c>
      <c r="E36" s="133">
        <v>25</v>
      </c>
      <c r="F36" s="248" t="n">
        <v>1479.0</v>
      </c>
      <c r="G36" s="10">
        <f si="1" t="shared"/>
        <v>5.9101985938769218E-3</v>
      </c>
    </row>
    <row r="37" spans="1:7" x14ac:dyDescent="0.25">
      <c r="A37">
        <v>26</v>
      </c>
      <c r="B37" s="246" t="n">
        <v>552.554464</v>
      </c>
      <c r="C37" s="10">
        <f si="0" t="shared"/>
        <v>1.8590869674255293E-2</v>
      </c>
      <c r="E37" s="134">
        <v>26</v>
      </c>
      <c r="F37" s="248" t="n">
        <v>1345.0</v>
      </c>
      <c r="G37" s="10">
        <f si="1" t="shared"/>
        <v>5.4900422957340133E-3</v>
      </c>
    </row>
    <row r="38" spans="1:7" x14ac:dyDescent="0.25">
      <c r="A38">
        <v>27</v>
      </c>
      <c r="B38" s="246" t="n">
        <v>1276.225058</v>
      </c>
      <c r="C38" s="10">
        <f si="0" t="shared"/>
        <v>2.6722901282223602E-3</v>
      </c>
      <c r="E38" s="135">
        <v>27</v>
      </c>
      <c r="F38" s="248" t="n">
        <v>1132.0</v>
      </c>
      <c r="G38" s="10">
        <f si="1" t="shared"/>
        <v>4.2295734013052854E-3</v>
      </c>
    </row>
    <row r="39" spans="1:7" x14ac:dyDescent="0.25">
      <c r="A39">
        <v>28</v>
      </c>
      <c r="B39" s="246" t="n">
        <v>495.785239</v>
      </c>
      <c r="C39" s="10">
        <f si="0" t="shared"/>
        <v>5.2274086934552058E-3</v>
      </c>
      <c r="E39" s="136">
        <v>28</v>
      </c>
      <c r="F39" s="248" t="n">
        <v>925.0</v>
      </c>
      <c r="G39" s="10">
        <f si="1" t="shared"/>
        <v>2.9550992969384609E-3</v>
      </c>
    </row>
    <row r="40" spans="1:7" x14ac:dyDescent="0.25">
      <c r="A40">
        <v>29</v>
      </c>
      <c r="B40" s="246" t="n">
        <v>925.2138050000001</v>
      </c>
      <c r="C40" s="10">
        <f si="0" t="shared"/>
        <v>1.1993680584695707E-3</v>
      </c>
      <c r="E40" s="137">
        <v>29</v>
      </c>
      <c r="F40" s="248" t="n">
        <v>825.0</v>
      </c>
      <c r="G40" s="10">
        <f si="1" t="shared"/>
        <v>2.8010419876193945E-3</v>
      </c>
    </row>
    <row r="41" spans="1:7" x14ac:dyDescent="0.25">
      <c r="A41">
        <v>30</v>
      </c>
      <c r="B41" s="246" t="n">
        <v>444.75293300000004</v>
      </c>
      <c r="C41" s="10">
        <f si="0" t="shared"/>
        <v>2.8664497729937563E-3</v>
      </c>
      <c r="E41" s="138">
        <v>30</v>
      </c>
      <c r="F41" s="248" t="n">
        <v>765.0</v>
      </c>
      <c r="G41" s="10">
        <f si="1" t="shared"/>
        <v>2.2828492199098065E-3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139">
        <v>31</v>
      </c>
      <c r="F42" s="248" t="n">
        <v>692.0</v>
      </c>
      <c r="G42" s="10">
        <f si="1" t="shared"/>
        <v>2.0727710708383518E-3</v>
      </c>
    </row>
    <row r="43" spans="1:7" x14ac:dyDescent="0.25">
      <c r="A43">
        <v>32</v>
      </c>
      <c r="B43" s="246" t="n">
        <v>606.279874</v>
      </c>
      <c r="C43" s="10">
        <f si="0" t="shared"/>
        <v>0</v>
      </c>
      <c r="E43" s="140">
        <v>32</v>
      </c>
      <c r="F43" s="248" t="n">
        <v>552.0</v>
      </c>
      <c r="G43" s="10">
        <f si="1" t="shared"/>
        <v>1.6806251925716366E-3</v>
      </c>
    </row>
    <row r="44" spans="1:7" x14ac:dyDescent="0.25">
      <c r="A44">
        <v>33</v>
      </c>
      <c r="B44" s="246" t="n">
        <v>1195.4009429999999</v>
      </c>
      <c r="C44" s="10">
        <f si="0" t="shared"/>
        <v>1.3172159670016921E-2</v>
      </c>
      <c r="E44" s="141">
        <v>33</v>
      </c>
      <c r="F44" s="248" t="n">
        <v>511.0</v>
      </c>
      <c r="G44" s="10">
        <f si="1" t="shared"/>
        <v>1.3725105739335033E-3</v>
      </c>
    </row>
    <row r="45" spans="1:7" x14ac:dyDescent="0.25">
      <c r="A45">
        <v>34</v>
      </c>
      <c r="B45" s="246" t="n">
        <v>470.83029</v>
      </c>
      <c r="C45" s="10">
        <f si="0" t="shared"/>
        <v>7.8654112404841128E-4</v>
      </c>
      <c r="E45" s="142">
        <v>34</v>
      </c>
      <c r="F45" s="248" t="n">
        <v>489.0</v>
      </c>
      <c r="G45" s="10">
        <f si="1" t="shared"/>
        <v>1.1624324248620487E-3</v>
      </c>
    </row>
    <row r="46" spans="1:7" x14ac:dyDescent="0.25">
      <c r="A46">
        <v>35</v>
      </c>
      <c r="B46" s="246" t="n">
        <v>0.0</v>
      </c>
      <c r="C46" s="10">
        <f si="0" t="shared"/>
        <v>1.8969297874143966E-3</v>
      </c>
      <c r="E46" s="143">
        <v>35</v>
      </c>
      <c r="F46" s="248" t="n">
        <v>363.0</v>
      </c>
      <c r="G46" s="10">
        <f si="1" t="shared"/>
        <v>1.0503907453572729E-3</v>
      </c>
    </row>
    <row r="47" spans="1:7" x14ac:dyDescent="0.25">
      <c r="A47">
        <v>36</v>
      </c>
      <c r="B47" s="246" t="n">
        <v>892.570551</v>
      </c>
      <c r="C47" s="10">
        <f si="0" t="shared"/>
        <v>0</v>
      </c>
      <c r="E47" s="144">
        <v>36</v>
      </c>
      <c r="F47" s="248" t="n">
        <v>382.0</v>
      </c>
      <c r="G47" s="10">
        <f si="1" t="shared"/>
        <v>7.8429175653343041E-4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145">
        <v>37</v>
      </c>
      <c r="F48" s="248" t="n">
        <v>319.0</v>
      </c>
      <c r="G48" s="10">
        <f si="1" t="shared"/>
        <v>7.4227612671913957E-4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146">
        <v>38</v>
      </c>
      <c r="F49" s="248" t="n">
        <v>264.0</v>
      </c>
      <c r="G49" s="10">
        <f si="1" t="shared"/>
        <v>6.3023444721436376E-4</v>
      </c>
    </row>
    <row r="50" spans="1:7" x14ac:dyDescent="0.25">
      <c r="A50">
        <v>39</v>
      </c>
      <c r="B50" s="246" t="n">
        <v>25.036661</v>
      </c>
      <c r="C50" s="10">
        <f si="0" t="shared"/>
        <v>0</v>
      </c>
      <c r="E50" s="147">
        <v>39</v>
      </c>
      <c r="F50" s="248" t="n">
        <v>253.0</v>
      </c>
      <c r="G50" s="10">
        <f si="1" t="shared"/>
        <v>5.8821881740007281E-4</v>
      </c>
    </row>
    <row r="51" spans="1:7" x14ac:dyDescent="0.25">
      <c r="A51">
        <v>40</v>
      </c>
      <c r="B51" s="246" t="n">
        <v>212.673344</v>
      </c>
      <c r="C51" s="10">
        <f si="0" t="shared"/>
        <v>0</v>
      </c>
      <c r="E51" s="148">
        <v>40</v>
      </c>
      <c r="F51" s="248" t="n">
        <v>214.0</v>
      </c>
      <c r="G51" s="10">
        <f si="1" t="shared"/>
        <v>4.9018234783339406E-4</v>
      </c>
    </row>
    <row r="52" spans="1:7" x14ac:dyDescent="0.25">
      <c r="A52">
        <v>41</v>
      </c>
      <c r="B52" s="246" t="n">
        <v>137.011743</v>
      </c>
      <c r="C52" s="10">
        <f si="0" t="shared"/>
        <v>0</v>
      </c>
      <c r="E52" s="149">
        <v>41</v>
      </c>
      <c r="F52" s="248" t="n">
        <v>210.0</v>
      </c>
      <c r="G52" s="10">
        <f si="1" t="shared"/>
        <v>3.6413545839052126E-4</v>
      </c>
    </row>
    <row r="53" spans="1:7" x14ac:dyDescent="0.25">
      <c r="A53">
        <v>42</v>
      </c>
      <c r="B53" s="246" t="n">
        <v>0.0</v>
      </c>
      <c r="C53" s="10">
        <f si="0" t="shared"/>
        <v>2.3149429118831375E-3</v>
      </c>
      <c r="E53" s="150">
        <v>42</v>
      </c>
      <c r="F53" s="248" t="n">
        <v>132.0</v>
      </c>
      <c r="G53" s="10">
        <f si="1" t="shared"/>
        <v>2.9410940870003641E-4</v>
      </c>
    </row>
    <row r="54" spans="1:7" x14ac:dyDescent="0.25">
      <c r="A54">
        <v>43</v>
      </c>
      <c r="B54" s="246" t="n">
        <v>466.083609</v>
      </c>
      <c r="C54" s="10">
        <f si="0" t="shared"/>
        <v>0</v>
      </c>
      <c r="E54" s="151">
        <v>43</v>
      </c>
      <c r="F54" s="248" t="n">
        <v>158.0</v>
      </c>
      <c r="G54" s="10">
        <f si="1" t="shared"/>
        <v>3.2211982857623036E-4</v>
      </c>
    </row>
    <row r="55" spans="1:7" x14ac:dyDescent="0.25">
      <c r="A55">
        <v>44</v>
      </c>
      <c r="B55" s="246" t="n">
        <v>157.439393</v>
      </c>
      <c r="C55" s="10">
        <f si="0" t="shared"/>
        <v>0</v>
      </c>
      <c r="E55" s="152">
        <v>44</v>
      </c>
      <c r="F55" s="248" t="n">
        <v>127.0</v>
      </c>
      <c r="G55" s="10">
        <f si="1" t="shared"/>
        <v>3.0811461863813341E-4</v>
      </c>
    </row>
    <row r="56" spans="1:7" x14ac:dyDescent="0.25">
      <c r="A56">
        <v>45</v>
      </c>
      <c r="B56" s="246" t="n">
        <v>154.138983</v>
      </c>
      <c r="C56" s="10">
        <f si="0" t="shared"/>
        <v>0</v>
      </c>
      <c r="E56" s="153">
        <v>45</v>
      </c>
      <c r="F56" s="248" t="n">
        <v>98.0</v>
      </c>
      <c r="G56" s="10">
        <f si="1" t="shared"/>
        <v>1.540573093190667E-4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106.0</v>
      </c>
      <c r="G57" s="10">
        <f si="1" t="shared"/>
        <v>1.4005209938096973E-4</v>
      </c>
    </row>
    <row r="58" spans="1:7" x14ac:dyDescent="0.25">
      <c r="A58">
        <v>47</v>
      </c>
      <c r="B58" s="246" t="n">
        <v>775.500654</v>
      </c>
      <c r="C58" s="10">
        <f si="0" t="shared"/>
        <v>0</v>
      </c>
      <c r="E58" s="155">
        <v>47</v>
      </c>
      <c r="F58" s="248" t="n">
        <v>77.0</v>
      </c>
      <c r="G58" s="10">
        <f si="1" t="shared"/>
        <v>1.4005209938096973E-4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76.0</v>
      </c>
      <c r="G59" s="10">
        <f si="1" t="shared"/>
        <v>8.4031259628581826E-5</v>
      </c>
    </row>
    <row r="60" spans="1:7" x14ac:dyDescent="0.25">
      <c r="A60">
        <v>49</v>
      </c>
      <c r="B60" s="246" t="n">
        <v>29.572975</v>
      </c>
      <c r="C60" s="10">
        <f si="0" t="shared"/>
        <v>0</v>
      </c>
      <c r="E60" s="157">
        <v>49</v>
      </c>
      <c r="F60" s="248" t="n">
        <v>68.0</v>
      </c>
      <c r="G60" s="10">
        <f si="1" t="shared"/>
        <v>9.8036469566678802E-5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66.0</v>
      </c>
      <c r="G61" s="10">
        <f si="1" t="shared"/>
        <v>9.8036469566678802E-5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43.0</v>
      </c>
      <c r="G62" s="10">
        <f si="1" t="shared"/>
        <v>7.0026049690484864E-5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50.0</v>
      </c>
      <c r="G63" s="10">
        <f si="1" t="shared"/>
        <v>4.2015629814290913E-5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46.0</v>
      </c>
      <c r="G64" s="10">
        <f si="1" t="shared"/>
        <v>9.8036469566678802E-5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38.0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40.0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42.0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30.0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25.0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31.0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27.0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22.0</v>
      </c>
      <c r="G72" s="10">
        <f si="1" t="shared"/>
        <v>1.4005209938096972E-5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11.0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17.0</v>
      </c>
      <c r="G74" s="10">
        <f si="1" t="shared"/>
        <v>2.8010419876193944E-5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13.0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8.0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22.0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12.0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7.0</v>
      </c>
      <c r="G79" s="10">
        <f si="3" t="shared"/>
        <v>1.4005209938096972E-5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10.0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8.0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16.0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12.0</v>
      </c>
      <c r="G83" s="10">
        <f si="3" t="shared"/>
        <v>1.4005209938096972E-5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13.0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8.0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6.0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14.0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8.0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2.0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9.0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5.0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7.0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6.0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6.0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12.0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8.0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7.0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9.0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5.0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3.0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832.0</v>
      </c>
      <c r="G101" s="10">
        <f si="3" t="shared"/>
        <v>0</v>
      </c>
    </row>
    <row r="102" spans="1:7" x14ac:dyDescent="0.25">
      <c r="B102" s="246">
        <f>SUM(B11:B101)</f>
        <v>59710.307019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D33" sqref="AD33:AD38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8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28540.95976</v>
      </c>
      <c r="C7" s="11" t="n">
        <v>0.0</v>
      </c>
      <c r="D7" s="11" t="n">
        <v>0.0</v>
      </c>
      <c r="E7" s="11" t="n">
        <v>197.953145</v>
      </c>
      <c r="F7" s="11" t="n">
        <v>566.816316</v>
      </c>
      <c r="G7" s="11" t="n">
        <v>684.600688</v>
      </c>
      <c r="H7" s="11" t="n">
        <v>1602.061606</v>
      </c>
      <c r="I7" s="11"/>
      <c r="J7" s="11">
        <f ref="J7:J14" si="0" t="shared">SUM(B7:I7)</f>
        <v>10799</v>
      </c>
      <c r="K7" s="11"/>
      <c r="L7">
        <f>$A$7</f>
        <v>1</v>
      </c>
      <c r="M7" s="248" t="n">
        <v>27410.0</v>
      </c>
      <c r="N7" s="248" t="n">
        <v>2010.0</v>
      </c>
      <c r="O7" s="248" t="n">
        <v>2366.0</v>
      </c>
      <c r="P7" s="248" t="n">
        <v>2890.0</v>
      </c>
      <c r="Q7" s="248" t="n">
        <v>2655.0</v>
      </c>
      <c r="R7" s="248" t="n">
        <v>3621.0</v>
      </c>
      <c r="S7" s="248" t="n">
        <v>2869.0</v>
      </c>
      <c r="T7" s="248"/>
      <c r="U7" s="246">
        <f ref="U7:U14" si="1" t="shared">SUM(M7:T7)</f>
        <v>9618</v>
      </c>
    </row>
    <row r="8" spans="1:21" x14ac:dyDescent="0.25">
      <c r="A8">
        <v>2</v>
      </c>
      <c r="B8" s="11" t="n">
        <v>0.0</v>
      </c>
      <c r="C8" s="11" t="n">
        <v>2128.421501</v>
      </c>
      <c r="D8" s="11" t="n">
        <v>0.0</v>
      </c>
      <c r="E8" s="11" t="n">
        <v>0.0</v>
      </c>
      <c r="F8" s="11" t="n">
        <v>0.0</v>
      </c>
      <c r="G8" s="11" t="n">
        <v>1754.27898</v>
      </c>
      <c r="H8" s="11" t="n">
        <v>0.0</v>
      </c>
      <c r="I8" s="11"/>
      <c r="J8" s="11">
        <f si="0" t="shared"/>
        <v>12743</v>
      </c>
      <c r="K8" s="11"/>
      <c r="L8">
        <f>$A$8</f>
        <v>2</v>
      </c>
      <c r="M8" s="248" t="n">
        <v>4134.0</v>
      </c>
      <c r="N8" s="248" t="n">
        <v>910.0</v>
      </c>
      <c r="O8" s="248" t="n">
        <v>807.0</v>
      </c>
      <c r="P8" s="248" t="n">
        <v>800.0</v>
      </c>
      <c r="Q8" s="248" t="n">
        <v>765.0</v>
      </c>
      <c r="R8" s="248" t="n">
        <v>453.0</v>
      </c>
      <c r="S8" s="248" t="n">
        <v>679.0</v>
      </c>
      <c r="T8" s="248"/>
      <c r="U8" s="246">
        <f si="1" t="shared"/>
        <v>13590</v>
      </c>
    </row>
    <row r="9" spans="1:21" x14ac:dyDescent="0.25">
      <c r="A9" s="202">
        <v>3</v>
      </c>
      <c r="B9" s="11" t="n">
        <v>308.830147</v>
      </c>
      <c r="C9" s="11" t="n">
        <v>0.0</v>
      </c>
      <c r="D9" s="11" t="n">
        <v>1822.061017</v>
      </c>
      <c r="E9" s="11" t="n">
        <v>0.0</v>
      </c>
      <c r="F9" s="11" t="n">
        <v>74.627786</v>
      </c>
      <c r="G9" s="11" t="n">
        <v>0.0</v>
      </c>
      <c r="H9" s="11" t="n">
        <v>0.0</v>
      </c>
      <c r="I9" s="11"/>
      <c r="J9" s="11">
        <f si="0" t="shared"/>
        <v>9385</v>
      </c>
      <c r="K9" s="12"/>
      <c r="L9">
        <f>$A$9</f>
        <v>3</v>
      </c>
      <c r="M9" s="248" t="n">
        <v>2856.0</v>
      </c>
      <c r="N9" s="248" t="n">
        <v>542.0</v>
      </c>
      <c r="O9" s="248" t="n">
        <v>1708.0</v>
      </c>
      <c r="P9" s="248" t="n">
        <v>1075.0</v>
      </c>
      <c r="Q9" s="248" t="n">
        <v>718.0</v>
      </c>
      <c r="R9" s="248" t="n">
        <v>318.0</v>
      </c>
      <c r="S9" s="248" t="n">
        <v>189.0</v>
      </c>
      <c r="T9" s="248"/>
      <c r="U9" s="246">
        <f si="1" t="shared"/>
        <v>8649</v>
      </c>
    </row>
    <row r="10" spans="1:21" x14ac:dyDescent="0.25">
      <c r="A10">
        <v>4</v>
      </c>
      <c r="B10" s="11" t="n">
        <v>109.689346</v>
      </c>
      <c r="C10" s="11" t="n">
        <v>0.0</v>
      </c>
      <c r="D10" s="11" t="n">
        <v>0.0</v>
      </c>
      <c r="E10" s="11" t="n">
        <v>12864.400168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2192</v>
      </c>
      <c r="K10" s="12"/>
      <c r="L10">
        <f>$A$10</f>
        <v>4</v>
      </c>
      <c r="M10" s="248" t="n">
        <v>6032.0</v>
      </c>
      <c r="N10" s="248" t="n">
        <v>830.0</v>
      </c>
      <c r="O10" s="248" t="n">
        <v>1972.0</v>
      </c>
      <c r="P10" s="248" t="n">
        <v>3292.0</v>
      </c>
      <c r="Q10" s="248" t="n">
        <v>1567.0</v>
      </c>
      <c r="R10" s="248" t="n">
        <v>851.0</v>
      </c>
      <c r="S10" s="248" t="n">
        <v>622.0</v>
      </c>
      <c r="T10" s="248"/>
      <c r="U10" s="246">
        <f si="1" t="shared"/>
        <v>3429</v>
      </c>
    </row>
    <row r="11" spans="1:21" x14ac:dyDescent="0.25">
      <c r="A11" s="202">
        <v>5</v>
      </c>
      <c r="B11" s="11" t="n">
        <v>2678.399254</v>
      </c>
      <c r="C11" s="11" t="n">
        <v>0.0</v>
      </c>
      <c r="D11" s="11" t="n">
        <v>680.117986</v>
      </c>
      <c r="E11" s="11" t="n">
        <v>0.0</v>
      </c>
      <c r="F11" s="11" t="n">
        <v>6126.001729</v>
      </c>
      <c r="G11" s="11" t="n">
        <v>0.0</v>
      </c>
      <c r="H11" s="11" t="n">
        <v>0.0</v>
      </c>
      <c r="I11" s="11"/>
      <c r="J11" s="11">
        <f si="0" t="shared"/>
        <v>32294</v>
      </c>
      <c r="K11" s="12"/>
      <c r="L11">
        <f>$A$11</f>
        <v>5</v>
      </c>
      <c r="M11" s="248" t="n">
        <v>5088.0</v>
      </c>
      <c r="N11" s="248" t="n">
        <v>543.0</v>
      </c>
      <c r="O11" s="248" t="n">
        <v>865.0</v>
      </c>
      <c r="P11" s="248" t="n">
        <v>882.0</v>
      </c>
      <c r="Q11" s="248" t="n">
        <v>2183.0</v>
      </c>
      <c r="R11" s="248" t="n">
        <v>1252.0</v>
      </c>
      <c r="S11" s="248" t="n">
        <v>645.0</v>
      </c>
      <c r="T11" s="248"/>
      <c r="U11" s="246">
        <f si="1" t="shared"/>
        <v>36132</v>
      </c>
    </row>
    <row r="12" spans="1:21" x14ac:dyDescent="0.25">
      <c r="A12">
        <v>6</v>
      </c>
      <c r="B12" s="11" t="n">
        <v>2412.202126</v>
      </c>
      <c r="C12" s="11" t="n">
        <v>596.595204</v>
      </c>
      <c r="D12" s="11" t="n">
        <v>0.0</v>
      </c>
      <c r="E12" s="11" t="n">
        <v>0.0</v>
      </c>
      <c r="F12" s="11" t="n">
        <v>0.0</v>
      </c>
      <c r="G12" s="11" t="n">
        <v>8204.937993</v>
      </c>
      <c r="H12" s="11" t="n">
        <v>0.0</v>
      </c>
      <c r="I12" s="11"/>
      <c r="J12" s="11">
        <f si="0" t="shared"/>
        <v>3342</v>
      </c>
      <c r="K12" s="12"/>
      <c r="L12">
        <f>$A$12</f>
        <v>6</v>
      </c>
      <c r="M12" s="248" t="n">
        <v>5998.0</v>
      </c>
      <c r="N12" s="248" t="n">
        <v>339.0</v>
      </c>
      <c r="O12" s="248" t="n">
        <v>412.0</v>
      </c>
      <c r="P12" s="248" t="n">
        <v>786.0</v>
      </c>
      <c r="Q12" s="248" t="n">
        <v>953.0</v>
      </c>
      <c r="R12" s="248" t="n">
        <v>2631.0</v>
      </c>
      <c r="S12" s="248" t="n">
        <v>1106.0</v>
      </c>
      <c r="T12" s="248"/>
      <c r="U12" s="246">
        <f si="1" t="shared"/>
        <v>4543</v>
      </c>
    </row>
    <row r="13" spans="1:21" x14ac:dyDescent="0.25">
      <c r="A13" s="202">
        <v>7</v>
      </c>
      <c r="B13" s="11" t="n">
        <v>2003.422897</v>
      </c>
      <c r="C13" s="11" t="n">
        <v>0.0</v>
      </c>
      <c r="D13" s="11" t="n">
        <v>0.0</v>
      </c>
      <c r="E13" s="11" t="n">
        <v>27.094128</v>
      </c>
      <c r="F13" s="11" t="n">
        <v>160.573969</v>
      </c>
      <c r="G13" s="11" t="n">
        <v>0.0</v>
      </c>
      <c r="H13" s="11" t="n">
        <v>6084.546582</v>
      </c>
      <c r="I13" s="11"/>
      <c r="J13" s="11">
        <f si="0" t="shared"/>
        <v>7903</v>
      </c>
      <c r="K13" s="12"/>
      <c r="L13">
        <v>7</v>
      </c>
      <c r="M13" s="248" t="n">
        <v>3620.0</v>
      </c>
      <c r="N13" s="248" t="n">
        <v>343.0</v>
      </c>
      <c r="O13" s="248" t="n">
        <v>471.0</v>
      </c>
      <c r="P13" s="248" t="n">
        <v>647.0</v>
      </c>
      <c r="Q13" s="248" t="n">
        <v>455.0</v>
      </c>
      <c r="R13" s="248" t="n">
        <v>783.0</v>
      </c>
      <c r="S13" s="248" t="n">
        <v>1648.0</v>
      </c>
      <c r="T13" s="248"/>
      <c r="U13" s="246">
        <f si="1" t="shared"/>
        <v>6188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9978</v>
      </c>
      <c r="C15" s="14">
        <f si="2" t="shared"/>
        <v>12874</v>
      </c>
      <c r="D15" s="14">
        <f si="2" t="shared"/>
        <v>6904</v>
      </c>
      <c r="E15" s="14">
        <f si="2" t="shared"/>
        <v>2392</v>
      </c>
      <c r="F15" s="14">
        <f si="2" t="shared"/>
        <v>36757</v>
      </c>
      <c r="G15" s="14">
        <f si="2" t="shared"/>
        <v>2533</v>
      </c>
      <c r="H15" s="14">
        <f si="2" t="shared"/>
        <v>7220</v>
      </c>
      <c r="I15" s="14">
        <f si="2" t="shared"/>
        <v>0</v>
      </c>
      <c r="J15" s="14">
        <f si="2" t="shared"/>
        <v>78658</v>
      </c>
      <c r="K15" s="11"/>
      <c r="L15" s="14" t="s">
        <v>4</v>
      </c>
      <c r="M15" s="14">
        <f ref="M15:U15" si="3" t="shared">SUM(M7:M14)</f>
        <v>9011</v>
      </c>
      <c r="N15" s="14">
        <f si="3" t="shared"/>
        <v>13726</v>
      </c>
      <c r="O15" s="14">
        <f si="3" t="shared"/>
        <v>7497</v>
      </c>
      <c r="P15" s="14">
        <f si="3" t="shared"/>
        <v>3583</v>
      </c>
      <c r="Q15" s="14">
        <f si="3" t="shared"/>
        <v>38425</v>
      </c>
      <c r="R15" s="14">
        <f si="3" t="shared"/>
        <v>4845</v>
      </c>
      <c r="S15" s="14">
        <f si="3" t="shared"/>
        <v>5062</v>
      </c>
      <c r="T15" s="14">
        <f si="3" t="shared"/>
        <v>0</v>
      </c>
      <c r="U15" s="14">
        <f si="3" t="shared"/>
        <v>82149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IFERROR(($U7/$J7)*B7,0)</f>
        <v>7142.0262987313645</v>
      </c>
      <c r="C20" s="11">
        <f si="4" t="shared"/>
        <v>0</v>
      </c>
      <c r="D20" s="11">
        <f si="4" t="shared"/>
        <v>0</v>
      </c>
      <c r="E20" s="11">
        <f si="4" t="shared"/>
        <v>0</v>
      </c>
      <c r="F20" s="11">
        <f si="4" t="shared"/>
        <v>2001.2636355218076</v>
      </c>
      <c r="G20" s="11">
        <f si="4" t="shared"/>
        <v>474.71006574682843</v>
      </c>
      <c r="H20" s="11">
        <f si="4" t="shared"/>
        <v>0</v>
      </c>
      <c r="I20" s="11">
        <f si="4" t="shared"/>
        <v>0</v>
      </c>
      <c r="J20" s="11">
        <f ref="J20:J27" si="5" t="shared">SUM(B20:I20)</f>
        <v>9618.0000000000018</v>
      </c>
      <c r="K20" s="11"/>
      <c r="L20">
        <f>$A$7</f>
        <v>1</v>
      </c>
      <c r="M20" s="11">
        <f>M7</f>
        <v>7423</v>
      </c>
      <c r="N20" s="11">
        <f ref="N20:T20" si="6" t="shared">N7</f>
        <v>173</v>
      </c>
      <c r="O20" s="11">
        <f si="6" t="shared"/>
        <v>0</v>
      </c>
      <c r="P20" s="11">
        <f si="6" t="shared"/>
        <v>0</v>
      </c>
      <c r="Q20" s="11">
        <f si="6" t="shared"/>
        <v>1505</v>
      </c>
      <c r="R20" s="11">
        <f si="6" t="shared"/>
        <v>517</v>
      </c>
      <c r="S20" s="11">
        <f si="6" t="shared"/>
        <v>0</v>
      </c>
      <c r="T20" s="11">
        <f si="6" t="shared"/>
        <v>0</v>
      </c>
      <c r="U20" s="11">
        <f ref="U20:U25" si="7" t="shared">U7</f>
        <v>9618</v>
      </c>
    </row>
    <row r="21" spans="1:32" x14ac:dyDescent="0.25">
      <c r="A21">
        <f>$A$8</f>
        <v>2</v>
      </c>
      <c r="B21" s="11">
        <f ref="B21:G25" si="8" t="shared">IFERROR(($U8/$J8)*B8,0)</f>
        <v>0</v>
      </c>
      <c r="C21" s="11">
        <f si="8" t="shared"/>
        <v>13495.084360040808</v>
      </c>
      <c r="D21" s="11">
        <f si="8" t="shared"/>
        <v>0</v>
      </c>
      <c r="E21" s="11">
        <f si="8" t="shared"/>
        <v>0</v>
      </c>
      <c r="F21" s="11">
        <f si="8" t="shared"/>
        <v>94.915639959193285</v>
      </c>
      <c r="G21" s="11">
        <f si="8" t="shared"/>
        <v>0</v>
      </c>
      <c r="H21" s="11">
        <f ref="H21:H25" si="9" t="shared">IFERROR(($U8/$J8)*H8,0)</f>
        <v>0</v>
      </c>
      <c r="I21" s="11">
        <f>IFERROR(($U8/$J8)*I8,0)</f>
        <v>0</v>
      </c>
      <c r="J21" s="11">
        <f si="5" t="shared"/>
        <v>13590.000000000002</v>
      </c>
      <c r="K21" s="11"/>
      <c r="L21">
        <f>$A$8</f>
        <v>2</v>
      </c>
      <c r="M21" s="11">
        <f ref="M21:T21" si="10" t="shared">M8</f>
        <v>113</v>
      </c>
      <c r="N21" s="11">
        <f si="10" t="shared"/>
        <v>12908</v>
      </c>
      <c r="O21" s="11">
        <f si="10" t="shared"/>
        <v>0</v>
      </c>
      <c r="P21" s="11">
        <f si="10" t="shared"/>
        <v>0</v>
      </c>
      <c r="Q21" s="11">
        <f si="10" t="shared"/>
        <v>527</v>
      </c>
      <c r="R21" s="11">
        <f si="10" t="shared"/>
        <v>2</v>
      </c>
      <c r="S21" s="11">
        <f si="10" t="shared"/>
        <v>40</v>
      </c>
      <c r="T21" s="11">
        <f si="10" t="shared"/>
        <v>0</v>
      </c>
      <c r="U21" s="11">
        <f si="7" t="shared"/>
        <v>13590</v>
      </c>
    </row>
    <row r="22" spans="1:32" x14ac:dyDescent="0.25">
      <c r="A22">
        <f>$A$9</f>
        <v>3</v>
      </c>
      <c r="B22" s="11">
        <f si="8" t="shared"/>
        <v>0</v>
      </c>
      <c r="C22" s="11">
        <f si="8" t="shared"/>
        <v>0</v>
      </c>
      <c r="D22" s="11">
        <f si="8" t="shared"/>
        <v>5579.2270644645714</v>
      </c>
      <c r="E22" s="11">
        <f si="8" t="shared"/>
        <v>589.80927011188066</v>
      </c>
      <c r="F22" s="11">
        <f si="8" t="shared"/>
        <v>2479.9636654235483</v>
      </c>
      <c r="G22" s="11">
        <f si="8" t="shared"/>
        <v>0</v>
      </c>
      <c r="H22" s="11">
        <f si="9" t="shared"/>
        <v>0</v>
      </c>
      <c r="I22" s="11">
        <f>IFERROR(($U9/$J9)*I9,0)</f>
        <v>0</v>
      </c>
      <c r="J22" s="11">
        <f si="5" t="shared"/>
        <v>8649</v>
      </c>
      <c r="K22" s="12"/>
      <c r="L22">
        <f>$A$9</f>
        <v>3</v>
      </c>
      <c r="M22" s="11">
        <f ref="M22:T22" si="11" t="shared">M9</f>
        <v>0</v>
      </c>
      <c r="N22" s="11">
        <f si="11" t="shared"/>
        <v>0</v>
      </c>
      <c r="O22" s="11">
        <f si="11" t="shared"/>
        <v>6839</v>
      </c>
      <c r="P22" s="11">
        <f si="11" t="shared"/>
        <v>549</v>
      </c>
      <c r="Q22" s="11">
        <f si="11" t="shared"/>
        <v>1222</v>
      </c>
      <c r="R22" s="11">
        <f si="11" t="shared"/>
        <v>0</v>
      </c>
      <c r="S22" s="11">
        <f si="11" t="shared"/>
        <v>39</v>
      </c>
      <c r="T22" s="11">
        <f si="11" t="shared"/>
        <v>0</v>
      </c>
      <c r="U22" s="11">
        <f si="7" t="shared"/>
        <v>8649</v>
      </c>
    </row>
    <row r="23" spans="1:32" x14ac:dyDescent="0.25">
      <c r="A23">
        <f>$A$10</f>
        <v>4</v>
      </c>
      <c r="B23" s="11">
        <f si="8" t="shared"/>
        <v>0</v>
      </c>
      <c r="C23" s="11">
        <f si="8" t="shared"/>
        <v>0</v>
      </c>
      <c r="D23" s="11">
        <f si="8" t="shared"/>
        <v>156.43248175182484</v>
      </c>
      <c r="E23" s="11">
        <f si="8" t="shared"/>
        <v>2740.6970802919709</v>
      </c>
      <c r="F23" s="11">
        <f si="8" t="shared"/>
        <v>531.87043795620446</v>
      </c>
      <c r="G23" s="11">
        <f si="8" t="shared"/>
        <v>0</v>
      </c>
      <c r="H23" s="11">
        <f si="9" t="shared"/>
        <v>0</v>
      </c>
      <c r="I23" s="11">
        <f>IFERROR(($U10/$J10)*I10,0)</f>
        <v>0</v>
      </c>
      <c r="J23" s="11">
        <f si="5" t="shared"/>
        <v>3429.0000000000005</v>
      </c>
      <c r="K23" s="12"/>
      <c r="L23">
        <f>$A$10</f>
        <v>4</v>
      </c>
      <c r="M23" s="11">
        <f ref="M23:T23" si="12" t="shared">M10</f>
        <v>0</v>
      </c>
      <c r="N23" s="11">
        <f si="12" t="shared"/>
        <v>0</v>
      </c>
      <c r="O23" s="11">
        <f si="12" t="shared"/>
        <v>235</v>
      </c>
      <c r="P23" s="11">
        <f si="12" t="shared"/>
        <v>2961</v>
      </c>
      <c r="Q23" s="11">
        <f si="12" t="shared"/>
        <v>233</v>
      </c>
      <c r="R23" s="11">
        <f si="12" t="shared"/>
        <v>0</v>
      </c>
      <c r="S23" s="11">
        <f si="12" t="shared"/>
        <v>0</v>
      </c>
      <c r="T23" s="11">
        <f si="12" t="shared"/>
        <v>0</v>
      </c>
      <c r="U23" s="11">
        <f si="7" t="shared"/>
        <v>3429</v>
      </c>
    </row>
    <row r="24" spans="1:32" x14ac:dyDescent="0.25">
      <c r="A24">
        <f>$A$11</f>
        <v>5</v>
      </c>
      <c r="B24" s="11">
        <f si="8" t="shared"/>
        <v>690.32773889886664</v>
      </c>
      <c r="C24" s="11">
        <f si="8" t="shared"/>
        <v>223.76912119898432</v>
      </c>
      <c r="D24" s="11">
        <f si="8" t="shared"/>
        <v>684.73351086889204</v>
      </c>
      <c r="E24" s="11">
        <f si="8" t="shared"/>
        <v>0</v>
      </c>
      <c r="F24" s="11">
        <f si="8" t="shared"/>
        <v>32869.44621291881</v>
      </c>
      <c r="G24" s="11">
        <f si="8" t="shared"/>
        <v>0</v>
      </c>
      <c r="H24" s="11">
        <f si="9" t="shared"/>
        <v>1663.7234161144486</v>
      </c>
      <c r="I24" s="11">
        <f>IFERROR(($U11/$J11)*I11,0)</f>
        <v>0</v>
      </c>
      <c r="J24" s="11">
        <f si="5" t="shared"/>
        <v>36132.000000000007</v>
      </c>
      <c r="K24" s="12"/>
      <c r="L24">
        <f>$A$11</f>
        <v>5</v>
      </c>
      <c r="M24" s="11">
        <f ref="M24:T24" si="13" t="shared">M11</f>
        <v>1259</v>
      </c>
      <c r="N24" s="11">
        <f si="13" t="shared"/>
        <v>492</v>
      </c>
      <c r="O24" s="11">
        <f si="13" t="shared"/>
        <v>314</v>
      </c>
      <c r="P24" s="11">
        <f si="13" t="shared"/>
        <v>73</v>
      </c>
      <c r="Q24" s="11">
        <f si="13" t="shared"/>
        <v>33616</v>
      </c>
      <c r="R24" s="11">
        <f si="13" t="shared"/>
        <v>0</v>
      </c>
      <c r="S24" s="11">
        <f si="13" t="shared"/>
        <v>378</v>
      </c>
      <c r="T24" s="11">
        <f si="13" t="shared"/>
        <v>0</v>
      </c>
      <c r="U24" s="11">
        <f si="7" t="shared"/>
        <v>36132</v>
      </c>
    </row>
    <row r="25" spans="1:32" x14ac:dyDescent="0.25">
      <c r="A25">
        <f>$A$12</f>
        <v>6</v>
      </c>
      <c r="B25" s="11">
        <f si="8" t="shared"/>
        <v>1824.2687013764214</v>
      </c>
      <c r="C25" s="11">
        <f si="8" t="shared"/>
        <v>0</v>
      </c>
      <c r="D25" s="11">
        <f si="8" t="shared"/>
        <v>0</v>
      </c>
      <c r="E25" s="11">
        <f si="8" t="shared"/>
        <v>0</v>
      </c>
      <c r="F25" s="11">
        <f si="8" t="shared"/>
        <v>0</v>
      </c>
      <c r="G25" s="11">
        <f si="8" t="shared"/>
        <v>2718.7312986235788</v>
      </c>
      <c r="H25" s="11">
        <f si="9" t="shared"/>
        <v>0</v>
      </c>
      <c r="I25" s="11">
        <f>IFERROR(($U12/$J12)*I12,0)</f>
        <v>0</v>
      </c>
      <c r="J25" s="11">
        <f si="5" t="shared"/>
        <v>4543</v>
      </c>
      <c r="K25" s="12"/>
      <c r="L25">
        <f>$A$12</f>
        <v>6</v>
      </c>
      <c r="M25" s="11">
        <f ref="M25:U26" si="14" t="shared">M12</f>
        <v>215</v>
      </c>
      <c r="N25" s="11">
        <f si="14" t="shared"/>
        <v>1</v>
      </c>
      <c r="O25" s="11">
        <f si="14" t="shared"/>
        <v>0</v>
      </c>
      <c r="P25" s="11">
        <f si="14" t="shared"/>
        <v>0</v>
      </c>
      <c r="Q25" s="11">
        <f si="14" t="shared"/>
        <v>1</v>
      </c>
      <c r="R25" s="11">
        <f si="14" t="shared"/>
        <v>4326</v>
      </c>
      <c r="S25" s="11">
        <f si="14" t="shared"/>
        <v>0</v>
      </c>
      <c r="T25" s="11">
        <f si="14" t="shared"/>
        <v>0</v>
      </c>
      <c r="U25" s="11">
        <f si="7" t="shared"/>
        <v>4543</v>
      </c>
    </row>
    <row r="26" spans="1:32" x14ac:dyDescent="0.25">
      <c r="A26">
        <v>7</v>
      </c>
      <c r="B26" s="11">
        <f>IFERROR(($U13/$J13)*B13,0)</f>
        <v>0</v>
      </c>
      <c r="C26" s="11">
        <f ref="C26:J26" si="15" t="shared">IFERROR(($U13/$J13)*C13,0)</f>
        <v>15.659875996457043</v>
      </c>
      <c r="D26" s="11">
        <f si="15" t="shared"/>
        <v>108.05314437555359</v>
      </c>
      <c r="E26" s="11">
        <f si="15" t="shared"/>
        <v>0</v>
      </c>
      <c r="F26" s="11">
        <f si="15" t="shared"/>
        <v>1575.3835252435783</v>
      </c>
      <c r="G26" s="11">
        <f si="15" t="shared"/>
        <v>0</v>
      </c>
      <c r="H26" s="11">
        <f si="15" t="shared"/>
        <v>4488.9034543844109</v>
      </c>
      <c r="I26" s="11">
        <f si="15" t="shared"/>
        <v>0</v>
      </c>
      <c r="J26" s="11">
        <f si="15" t="shared"/>
        <v>6188</v>
      </c>
      <c r="K26" s="12"/>
      <c r="L26">
        <v>7</v>
      </c>
      <c r="M26" s="11">
        <f si="14" t="shared"/>
        <v>1</v>
      </c>
      <c r="N26" s="11">
        <f si="14" t="shared"/>
        <v>152</v>
      </c>
      <c r="O26" s="11">
        <f si="14" t="shared"/>
        <v>109</v>
      </c>
      <c r="P26" s="11">
        <f si="14" t="shared"/>
        <v>0</v>
      </c>
      <c r="Q26" s="11">
        <f si="14" t="shared"/>
        <v>1321</v>
      </c>
      <c r="R26" s="11">
        <f si="14" t="shared"/>
        <v>0</v>
      </c>
      <c r="S26" s="11">
        <f si="14" t="shared"/>
        <v>4605</v>
      </c>
      <c r="T26" s="11">
        <f si="14" t="shared"/>
        <v>0</v>
      </c>
      <c r="U26" s="11">
        <f si="14" t="shared"/>
        <v>6188</v>
      </c>
    </row>
    <row r="27" spans="1:32" x14ac:dyDescent="0.25">
      <c r="A27" s="7" t="s">
        <v>13</v>
      </c>
      <c r="B27" s="13">
        <f>IFERROR(($U14/$J14)*B14,0)</f>
        <v>0</v>
      </c>
      <c r="C27" s="13">
        <f ref="C27:I27" si="16" t="shared">IFERROR(($U14/$J14)*C14,0)</f>
        <v>0</v>
      </c>
      <c r="D27" s="13">
        <f si="16" t="shared"/>
        <v>0</v>
      </c>
      <c r="E27" s="13">
        <f si="16" t="shared"/>
        <v>0</v>
      </c>
      <c r="F27" s="13">
        <f si="16" t="shared"/>
        <v>0</v>
      </c>
      <c r="G27" s="13">
        <f si="16" t="shared"/>
        <v>0</v>
      </c>
      <c r="H27" s="13">
        <f si="16" t="shared"/>
        <v>0</v>
      </c>
      <c r="I27" s="13">
        <f si="16" t="shared"/>
        <v>0</v>
      </c>
      <c r="J27" s="13">
        <f si="5" t="shared"/>
        <v>0</v>
      </c>
      <c r="K27" s="11"/>
      <c r="L27" s="201" t="s">
        <v>13</v>
      </c>
      <c r="M27" s="13">
        <f ref="M27:T27" si="17" t="shared">M14</f>
        <v>0</v>
      </c>
      <c r="N27" s="13">
        <f si="17" t="shared"/>
        <v>0</v>
      </c>
      <c r="O27" s="13">
        <f si="17" t="shared"/>
        <v>0</v>
      </c>
      <c r="P27" s="13">
        <f si="17" t="shared"/>
        <v>0</v>
      </c>
      <c r="Q27" s="13">
        <f si="17" t="shared"/>
        <v>0</v>
      </c>
      <c r="R27" s="13">
        <f si="17" t="shared"/>
        <v>0</v>
      </c>
      <c r="S27" s="13">
        <f si="17" t="shared"/>
        <v>0</v>
      </c>
      <c r="T27" s="13">
        <f si="17" t="shared"/>
        <v>0</v>
      </c>
      <c r="U27" s="13">
        <f ref="U27:U28" si="18" t="shared">U14</f>
        <v>0</v>
      </c>
    </row>
    <row ht="15.75" r="28" spans="1:32" thickBot="1" x14ac:dyDescent="0.3">
      <c r="A28" s="1" t="s">
        <v>4</v>
      </c>
      <c r="B28" s="14">
        <f ref="B28:J28" si="19" t="shared">SUM(B20:B27)</f>
        <v>9656.6227390066524</v>
      </c>
      <c r="C28" s="14">
        <f si="19" t="shared"/>
        <v>13734.513357236248</v>
      </c>
      <c r="D28" s="14">
        <f si="19" t="shared"/>
        <v>6528.4462014608416</v>
      </c>
      <c r="E28" s="14">
        <f si="19" t="shared"/>
        <v>3330.5063504038517</v>
      </c>
      <c r="F28" s="14">
        <f si="19" t="shared"/>
        <v>39552.843117023149</v>
      </c>
      <c r="G28" s="14">
        <f si="19" t="shared"/>
        <v>3193.4413643704074</v>
      </c>
      <c r="H28" s="14">
        <f si="19" t="shared"/>
        <v>6152.6268704988597</v>
      </c>
      <c r="I28" s="14">
        <f si="19" t="shared"/>
        <v>0</v>
      </c>
      <c r="J28" s="14">
        <f si="19" t="shared"/>
        <v>82149.000000000015</v>
      </c>
      <c r="K28" s="11"/>
      <c r="L28" s="14" t="s">
        <v>4</v>
      </c>
      <c r="M28" s="14">
        <f ref="M28:T28" si="20" t="shared">M15</f>
        <v>9011</v>
      </c>
      <c r="N28" s="14">
        <f si="20" t="shared"/>
        <v>13726</v>
      </c>
      <c r="O28" s="14">
        <f si="20" t="shared"/>
        <v>7497</v>
      </c>
      <c r="P28" s="14">
        <f si="20" t="shared"/>
        <v>3583</v>
      </c>
      <c r="Q28" s="14">
        <f si="20" t="shared"/>
        <v>38425</v>
      </c>
      <c r="R28" s="14">
        <f si="20" t="shared"/>
        <v>4845</v>
      </c>
      <c r="S28" s="14">
        <f si="20" t="shared"/>
        <v>5062</v>
      </c>
      <c r="T28" s="14">
        <f si="20" t="shared"/>
        <v>0</v>
      </c>
      <c r="U28" s="14">
        <f si="18" t="shared"/>
        <v>82149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1" t="shared">IFERROR(B20/$J$28,0)</f>
        <v>8.6939905522055813E-2</v>
      </c>
      <c r="C33" s="15">
        <f si="21" t="shared"/>
        <v>0</v>
      </c>
      <c r="D33" s="15">
        <f si="21" t="shared"/>
        <v>0</v>
      </c>
      <c r="E33" s="15">
        <f si="21" t="shared"/>
        <v>0</v>
      </c>
      <c r="F33" s="15">
        <f si="21" t="shared"/>
        <v>2.436138766779641E-2</v>
      </c>
      <c r="G33" s="15">
        <f si="21" t="shared"/>
        <v>5.7786469189744045E-3</v>
      </c>
      <c r="H33" s="15">
        <f si="21" t="shared"/>
        <v>0</v>
      </c>
      <c r="I33" s="15">
        <f si="21" t="shared"/>
        <v>0</v>
      </c>
      <c r="J33" s="15">
        <f ref="J33:J38" si="22" t="shared">J20/$J$28</f>
        <v>0.11707994010882665</v>
      </c>
      <c r="K33" s="11"/>
      <c r="L33">
        <f>$A$7</f>
        <v>1</v>
      </c>
      <c r="M33" s="15">
        <f ref="M33:T33" si="23" t="shared">IFERROR(M20/$U$28,0)</f>
        <v>9.0360199150324408E-2</v>
      </c>
      <c r="N33" s="15">
        <f si="23" t="shared"/>
        <v>2.1059294696222719E-3</v>
      </c>
      <c r="O33" s="15">
        <f si="23" t="shared"/>
        <v>0</v>
      </c>
      <c r="P33" s="15">
        <f si="23" t="shared"/>
        <v>0</v>
      </c>
      <c r="Q33" s="15">
        <f si="23" t="shared"/>
        <v>1.8320369085442306E-2</v>
      </c>
      <c r="R33" s="15">
        <f si="23" t="shared"/>
        <v>6.2934424034376563E-3</v>
      </c>
      <c r="S33" s="15">
        <f si="23" t="shared"/>
        <v>0</v>
      </c>
      <c r="T33" s="15">
        <f si="23" t="shared"/>
        <v>0</v>
      </c>
      <c r="U33" s="15">
        <f ref="U33:U38" si="24" t="shared">U20/$U$28</f>
        <v>0.11707994010882665</v>
      </c>
      <c r="W33">
        <f>$A$7</f>
        <v>1</v>
      </c>
      <c r="X33" s="15">
        <f ref="X33:AF33" si="25" t="shared">M33-B33</f>
        <v>3.4202936282685947E-3</v>
      </c>
      <c r="Y33" s="15">
        <f si="25" t="shared"/>
        <v>2.1059294696222719E-3</v>
      </c>
      <c r="Z33" s="15">
        <f si="25" t="shared"/>
        <v>0</v>
      </c>
      <c r="AA33" s="15">
        <f si="25" t="shared"/>
        <v>0</v>
      </c>
      <c r="AB33" s="15">
        <f si="25" t="shared"/>
        <v>-6.0410185823541046E-3</v>
      </c>
      <c r="AC33" s="15">
        <f si="25" t="shared"/>
        <v>5.1479548446325182E-4</v>
      </c>
      <c r="AD33" s="15">
        <f si="25" t="shared"/>
        <v>0</v>
      </c>
      <c r="AE33" s="15">
        <f si="25" t="shared"/>
        <v>0</v>
      </c>
      <c r="AF33" s="15">
        <f si="25" t="shared"/>
        <v>0</v>
      </c>
    </row>
    <row r="34" spans="1:32" x14ac:dyDescent="0.25">
      <c r="A34">
        <f>$A$8</f>
        <v>2</v>
      </c>
      <c r="B34" s="15">
        <f ref="B34:G38" si="26" t="shared">IFERROR(B21/$J$28,0)</f>
        <v>0</v>
      </c>
      <c r="C34" s="15">
        <f si="26" t="shared"/>
        <v>0.16427569854825749</v>
      </c>
      <c r="D34" s="15">
        <f si="26" t="shared"/>
        <v>0</v>
      </c>
      <c r="E34" s="15">
        <f si="26" t="shared"/>
        <v>0</v>
      </c>
      <c r="F34" s="15">
        <f si="26" t="shared"/>
        <v>1.1554083428793201E-3</v>
      </c>
      <c r="G34" s="15">
        <f si="26" t="shared"/>
        <v>0</v>
      </c>
      <c r="H34" s="15">
        <f ref="H34:H38" si="27" t="shared">IFERROR(H21/$J$28,0)</f>
        <v>0</v>
      </c>
      <c r="I34" s="15">
        <f>IFERROR(I21/$J$28,0)</f>
        <v>0</v>
      </c>
      <c r="J34" s="15">
        <f si="22" t="shared"/>
        <v>0.16543110689113683</v>
      </c>
      <c r="K34" s="11"/>
      <c r="L34">
        <f>$A$8</f>
        <v>2</v>
      </c>
      <c r="M34" s="15">
        <f ref="M34:R38" si="28" t="shared">IFERROR(M21/$U$28,0)</f>
        <v>1.3755493067474955E-3</v>
      </c>
      <c r="N34" s="15">
        <f si="28" t="shared"/>
        <v>0.15712911903979354</v>
      </c>
      <c r="O34" s="15">
        <f si="28" t="shared"/>
        <v>0</v>
      </c>
      <c r="P34" s="15">
        <f si="28" t="shared"/>
        <v>0</v>
      </c>
      <c r="Q34" s="15">
        <f si="28" t="shared"/>
        <v>6.4151724305834519E-3</v>
      </c>
      <c r="R34" s="15">
        <f si="28" t="shared"/>
        <v>2.4346005429159211E-5</v>
      </c>
      <c r="S34" s="15">
        <f ref="S34:S38" si="29" t="shared">IFERROR(S21/$U$28,0)</f>
        <v>4.8692010858318423E-4</v>
      </c>
      <c r="T34" s="15">
        <f>IFERROR(T21/$U$28,0)</f>
        <v>0</v>
      </c>
      <c r="U34" s="15">
        <f si="24" t="shared"/>
        <v>0.16543110689113683</v>
      </c>
      <c r="W34">
        <f>$A$8</f>
        <v>2</v>
      </c>
      <c r="X34" s="15">
        <f ref="X34:AC38" si="30" t="shared">M34-B34</f>
        <v>1.3755493067474955E-3</v>
      </c>
      <c r="Y34" s="15">
        <f si="30" t="shared"/>
        <v>-7.1465795084639516E-3</v>
      </c>
      <c r="Z34" s="15">
        <f si="30" t="shared"/>
        <v>0</v>
      </c>
      <c r="AA34" s="15">
        <f si="30" t="shared"/>
        <v>0</v>
      </c>
      <c r="AB34" s="15">
        <f si="30" t="shared"/>
        <v>5.2597640877041323E-3</v>
      </c>
      <c r="AC34" s="15">
        <f si="30" t="shared"/>
        <v>2.4346005429159211E-5</v>
      </c>
      <c r="AD34" s="15">
        <f ref="AD34:AD38" si="31" t="shared">S34-H34</f>
        <v>4.8692010858318423E-4</v>
      </c>
      <c r="AE34" s="15">
        <f ref="AE34:AF38" si="32" t="shared">T34-I34</f>
        <v>0</v>
      </c>
      <c r="AF34" s="15">
        <f si="32" t="shared"/>
        <v>0</v>
      </c>
    </row>
    <row r="35" spans="1:32" x14ac:dyDescent="0.25">
      <c r="A35">
        <f>$A$9</f>
        <v>3</v>
      </c>
      <c r="B35" s="15">
        <f si="26" t="shared"/>
        <v>0</v>
      </c>
      <c r="C35" s="15">
        <f si="26" t="shared"/>
        <v>0</v>
      </c>
      <c r="D35" s="15">
        <f si="26" t="shared"/>
        <v>6.7915946200983221E-2</v>
      </c>
      <c r="E35" s="15">
        <f si="26" t="shared"/>
        <v>7.1797498461561374E-3</v>
      </c>
      <c r="F35" s="15">
        <f si="26" t="shared"/>
        <v>3.0188604431259636E-2</v>
      </c>
      <c r="G35" s="15">
        <f si="26" t="shared"/>
        <v>0</v>
      </c>
      <c r="H35" s="15">
        <f si="27" t="shared"/>
        <v>0</v>
      </c>
      <c r="I35" s="15">
        <f>IFERROR(I22/$J$28,0)</f>
        <v>0</v>
      </c>
      <c r="J35" s="15">
        <f si="22" t="shared"/>
        <v>0.10528430047839898</v>
      </c>
      <c r="K35" s="12"/>
      <c r="L35">
        <f>$A$9</f>
        <v>3</v>
      </c>
      <c r="M35" s="15">
        <f si="28" t="shared"/>
        <v>0</v>
      </c>
      <c r="N35" s="15">
        <f si="28" t="shared"/>
        <v>0</v>
      </c>
      <c r="O35" s="15">
        <f si="28" t="shared"/>
        <v>8.3251165565009916E-2</v>
      </c>
      <c r="P35" s="15">
        <f si="28" t="shared"/>
        <v>6.6829784903042035E-3</v>
      </c>
      <c r="Q35" s="15">
        <f si="28" t="shared"/>
        <v>1.4875409317216278E-2</v>
      </c>
      <c r="R35" s="15">
        <f si="28" t="shared"/>
        <v>0</v>
      </c>
      <c r="S35" s="15">
        <f si="29" t="shared"/>
        <v>4.747471058686046E-4</v>
      </c>
      <c r="T35" s="15">
        <f>IFERROR(T22/$U$28,0)</f>
        <v>0</v>
      </c>
      <c r="U35" s="15">
        <f si="24" t="shared"/>
        <v>0.10528430047839901</v>
      </c>
      <c r="W35">
        <f>$A$9</f>
        <v>3</v>
      </c>
      <c r="X35" s="15">
        <f si="30" t="shared"/>
        <v>0</v>
      </c>
      <c r="Y35" s="15">
        <f si="30" t="shared"/>
        <v>0</v>
      </c>
      <c r="Z35" s="15">
        <f si="30" t="shared"/>
        <v>1.5335219364026695E-2</v>
      </c>
      <c r="AA35" s="15">
        <f si="30" t="shared"/>
        <v>-4.9677135585193388E-4</v>
      </c>
      <c r="AB35" s="15">
        <f si="30" t="shared"/>
        <v>-1.5313195114043358E-2</v>
      </c>
      <c r="AC35" s="15">
        <f si="30" t="shared"/>
        <v>0</v>
      </c>
      <c r="AD35" s="15">
        <f si="31" t="shared"/>
        <v>4.747471058686046E-4</v>
      </c>
      <c r="AE35" s="15">
        <f si="32" t="shared"/>
        <v>0</v>
      </c>
      <c r="AF35" s="15">
        <f si="32" t="shared"/>
        <v>0</v>
      </c>
    </row>
    <row r="36" spans="1:32" x14ac:dyDescent="0.25">
      <c r="A36">
        <f>$A$10</f>
        <v>4</v>
      </c>
      <c r="B36" s="15">
        <f si="26" t="shared"/>
        <v>0</v>
      </c>
      <c r="C36" s="15">
        <f si="26" t="shared"/>
        <v>0</v>
      </c>
      <c r="D36" s="15">
        <f si="26" t="shared"/>
        <v>1.9042530250133879E-3</v>
      </c>
      <c r="E36" s="15">
        <f si="26" t="shared"/>
        <v>3.3362512998234554E-2</v>
      </c>
      <c r="F36" s="15">
        <f si="26" t="shared"/>
        <v>6.4744602850455189E-3</v>
      </c>
      <c r="G36" s="15">
        <f si="26" t="shared"/>
        <v>0</v>
      </c>
      <c r="H36" s="15">
        <f si="27" t="shared"/>
        <v>0</v>
      </c>
      <c r="I36" s="15">
        <f>IFERROR(I23/$J$28,0)</f>
        <v>0</v>
      </c>
      <c r="J36" s="15">
        <f si="22" t="shared"/>
        <v>4.1741226308293466E-2</v>
      </c>
      <c r="K36" s="12"/>
      <c r="L36">
        <f>$A$10</f>
        <v>4</v>
      </c>
      <c r="M36" s="15">
        <f si="28" t="shared"/>
        <v>0</v>
      </c>
      <c r="N36" s="15">
        <f si="28" t="shared"/>
        <v>0</v>
      </c>
      <c r="O36" s="15">
        <f si="28" t="shared"/>
        <v>2.8606556379262072E-3</v>
      </c>
      <c r="P36" s="15">
        <f si="28" t="shared"/>
        <v>3.6044261037870208E-2</v>
      </c>
      <c r="Q36" s="15">
        <f si="28" t="shared"/>
        <v>2.8363096324970482E-3</v>
      </c>
      <c r="R36" s="15">
        <f si="28" t="shared"/>
        <v>0</v>
      </c>
      <c r="S36" s="15">
        <f si="29" t="shared"/>
        <v>0</v>
      </c>
      <c r="T36" s="15">
        <f>IFERROR(T23/$U$28,0)</f>
        <v>0</v>
      </c>
      <c r="U36" s="15">
        <f si="24" t="shared"/>
        <v>4.1741226308293466E-2</v>
      </c>
      <c r="W36">
        <f>$A$10</f>
        <v>4</v>
      </c>
      <c r="X36" s="15">
        <f si="30" t="shared"/>
        <v>0</v>
      </c>
      <c r="Y36" s="15">
        <f si="30" t="shared"/>
        <v>0</v>
      </c>
      <c r="Z36" s="15">
        <f si="30" t="shared"/>
        <v>9.5640261291281932E-4</v>
      </c>
      <c r="AA36" s="15">
        <f si="30" t="shared"/>
        <v>2.6817480396356536E-3</v>
      </c>
      <c r="AB36" s="15">
        <f si="30" t="shared"/>
        <v>-3.6381506525484707E-3</v>
      </c>
      <c r="AC36" s="15">
        <f si="30" t="shared"/>
        <v>0</v>
      </c>
      <c r="AD36" s="15">
        <f si="31" t="shared"/>
        <v>0</v>
      </c>
      <c r="AE36" s="15">
        <f si="32" t="shared"/>
        <v>0</v>
      </c>
      <c r="AF36" s="15">
        <f si="32" t="shared"/>
        <v>0</v>
      </c>
    </row>
    <row r="37" spans="1:32" x14ac:dyDescent="0.25">
      <c r="A37">
        <f>$A$11</f>
        <v>5</v>
      </c>
      <c r="B37" s="15">
        <f si="26" t="shared"/>
        <v>8.4033614395655036E-3</v>
      </c>
      <c r="C37" s="15">
        <f si="26" t="shared"/>
        <v>2.7239421197943286E-3</v>
      </c>
      <c r="D37" s="15">
        <f si="26" t="shared"/>
        <v>8.3352628865706446E-3</v>
      </c>
      <c r="E37" s="15">
        <f si="26" t="shared"/>
        <v>0</v>
      </c>
      <c r="F37" s="15">
        <f si="26" t="shared"/>
        <v>0.40011985797658894</v>
      </c>
      <c r="G37" s="15">
        <f si="26" t="shared"/>
        <v>0</v>
      </c>
      <c r="H37" s="15">
        <f si="27" t="shared"/>
        <v>2.0252509660670832E-2</v>
      </c>
      <c r="I37" s="15">
        <f>IFERROR(I24/$J$28,0)</f>
        <v>0</v>
      </c>
      <c r="J37" s="15">
        <f si="22" t="shared"/>
        <v>0.4398349340831903</v>
      </c>
      <c r="K37" s="12"/>
      <c r="L37">
        <f>$A$11</f>
        <v>5</v>
      </c>
      <c r="M37" s="15">
        <f si="28" t="shared"/>
        <v>1.5325810417655723E-2</v>
      </c>
      <c r="N37" s="15">
        <f si="28" t="shared"/>
        <v>5.989117335573166E-3</v>
      </c>
      <c r="O37" s="15">
        <f si="28" t="shared"/>
        <v>3.8223228523779963E-3</v>
      </c>
      <c r="P37" s="15">
        <f si="28" t="shared"/>
        <v>8.8862919816431118E-4</v>
      </c>
      <c r="Q37" s="15">
        <f si="28" t="shared"/>
        <v>0.40920765925330799</v>
      </c>
      <c r="R37" s="15">
        <f si="28" t="shared"/>
        <v>0</v>
      </c>
      <c r="S37" s="15">
        <f si="29" t="shared"/>
        <v>4.601395026111091E-3</v>
      </c>
      <c r="T37" s="15">
        <f>IFERROR(T24/$U$28,0)</f>
        <v>0</v>
      </c>
      <c r="U37" s="15">
        <f si="24" t="shared"/>
        <v>0.4398349340831903</v>
      </c>
      <c r="W37">
        <f>$A$11</f>
        <v>5</v>
      </c>
      <c r="X37" s="15">
        <f si="30" t="shared"/>
        <v>6.9224489780902194E-3</v>
      </c>
      <c r="Y37" s="15">
        <f si="30" t="shared"/>
        <v>3.2651752157788374E-3</v>
      </c>
      <c r="Z37" s="15">
        <f si="30" t="shared"/>
        <v>-4.5129400341926487E-3</v>
      </c>
      <c r="AA37" s="15">
        <f si="30" t="shared"/>
        <v>8.8862919816431118E-4</v>
      </c>
      <c r="AB37" s="15">
        <f si="30" t="shared"/>
        <v>9.087801276719043E-3</v>
      </c>
      <c r="AC37" s="15">
        <f si="30" t="shared"/>
        <v>0</v>
      </c>
      <c r="AD37" s="15">
        <f si="31" t="shared"/>
        <v>-1.5651114634559742E-2</v>
      </c>
      <c r="AE37" s="15">
        <f si="32" t="shared"/>
        <v>0</v>
      </c>
      <c r="AF37" s="15">
        <f si="32" t="shared"/>
        <v>0</v>
      </c>
    </row>
    <row r="38" spans="1:32" x14ac:dyDescent="0.25">
      <c r="A38">
        <f>$A$12</f>
        <v>6</v>
      </c>
      <c r="B38" s="15">
        <f si="26" t="shared"/>
        <v>2.2206827853977786E-2</v>
      </c>
      <c r="C38" s="15">
        <f si="26" t="shared"/>
        <v>0</v>
      </c>
      <c r="D38" s="15">
        <f si="26" t="shared"/>
        <v>0</v>
      </c>
      <c r="E38" s="15">
        <f si="26" t="shared"/>
        <v>0</v>
      </c>
      <c r="F38" s="15">
        <f si="26" t="shared"/>
        <v>0</v>
      </c>
      <c r="G38" s="15">
        <f si="26" t="shared"/>
        <v>3.3095123478357358E-2</v>
      </c>
      <c r="H38" s="15">
        <f si="27" t="shared"/>
        <v>0</v>
      </c>
      <c r="I38" s="15">
        <f>IFERROR(I25/$J$28,0)</f>
        <v>0</v>
      </c>
      <c r="J38" s="15">
        <f si="22" t="shared"/>
        <v>5.5301951332335141E-2</v>
      </c>
      <c r="K38" s="12"/>
      <c r="L38">
        <f>$A$12</f>
        <v>6</v>
      </c>
      <c r="M38" s="15">
        <f si="28" t="shared"/>
        <v>2.6171955836346151E-3</v>
      </c>
      <c r="N38" s="15">
        <f si="28" t="shared"/>
        <v>1.2173002714579606E-5</v>
      </c>
      <c r="O38" s="15">
        <f si="28" t="shared"/>
        <v>0</v>
      </c>
      <c r="P38" s="15">
        <f si="28" t="shared"/>
        <v>0</v>
      </c>
      <c r="Q38" s="15">
        <f si="28" t="shared"/>
        <v>1.2173002714579606E-5</v>
      </c>
      <c r="R38" s="15">
        <f si="28" t="shared"/>
        <v>5.2660409743271373E-2</v>
      </c>
      <c r="S38" s="15">
        <f si="29" t="shared"/>
        <v>0</v>
      </c>
      <c r="T38" s="15">
        <f>IFERROR(T25/$U$28,0)</f>
        <v>0</v>
      </c>
      <c r="U38" s="15">
        <f si="24" t="shared"/>
        <v>5.5301951332335147E-2</v>
      </c>
      <c r="W38">
        <f>$A$12</f>
        <v>6</v>
      </c>
      <c r="X38" s="15">
        <f si="30" t="shared"/>
        <v>-1.9589632270343171E-2</v>
      </c>
      <c r="Y38" s="15">
        <f si="30" t="shared"/>
        <v>1.2173002714579606E-5</v>
      </c>
      <c r="Z38" s="15">
        <f si="30" t="shared"/>
        <v>0</v>
      </c>
      <c r="AA38" s="15">
        <f si="30" t="shared"/>
        <v>0</v>
      </c>
      <c r="AB38" s="15">
        <f si="30" t="shared"/>
        <v>1.2173002714579606E-5</v>
      </c>
      <c r="AC38" s="15">
        <f si="30" t="shared"/>
        <v>1.9565286264914016E-2</v>
      </c>
      <c r="AD38" s="15">
        <f si="31" t="shared"/>
        <v>0</v>
      </c>
      <c r="AE38" s="15">
        <f si="32" t="shared"/>
        <v>0</v>
      </c>
      <c r="AF38" s="15">
        <f si="32" t="shared"/>
        <v>0</v>
      </c>
    </row>
    <row r="39" spans="1:32" x14ac:dyDescent="0.25">
      <c r="A39">
        <v>7</v>
      </c>
      <c r="B39" s="15">
        <f>IFERROR(B26/$J$28,0)</f>
        <v>0</v>
      </c>
      <c r="C39" s="15">
        <f ref="C39:J39" si="33" t="shared">IFERROR(C26/$J$28,0)</f>
        <v>1.9062771301485155E-4</v>
      </c>
      <c r="D39" s="15">
        <f si="33" t="shared"/>
        <v>1.3153312198024756E-3</v>
      </c>
      <c r="E39" s="15">
        <f si="33" t="shared"/>
        <v>0</v>
      </c>
      <c r="F39" s="15">
        <f si="33" t="shared"/>
        <v>1.9177147929294064E-2</v>
      </c>
      <c r="G39" s="15">
        <f si="33" t="shared"/>
        <v>0</v>
      </c>
      <c r="H39" s="15">
        <f si="33" t="shared"/>
        <v>5.464343393570719E-2</v>
      </c>
      <c r="I39" s="15">
        <f si="33" t="shared"/>
        <v>0</v>
      </c>
      <c r="J39" s="15">
        <f si="33" t="shared"/>
        <v>7.5326540797818586E-2</v>
      </c>
      <c r="K39" s="12"/>
      <c r="L39">
        <v>7</v>
      </c>
      <c r="M39" s="15">
        <f>IFERROR(M26/$U$28,0)</f>
        <v>1.2173002714579606E-5</v>
      </c>
      <c r="N39" s="15">
        <f ref="N39:U39" si="34" t="shared">IFERROR(N26/$U$28,0)</f>
        <v>1.8502964126161001E-3</v>
      </c>
      <c r="O39" s="15">
        <f si="34" t="shared"/>
        <v>1.326857295889177E-3</v>
      </c>
      <c r="P39" s="15">
        <f si="34" t="shared"/>
        <v>0</v>
      </c>
      <c r="Q39" s="15">
        <f si="34" t="shared"/>
        <v>1.6080536585959659E-2</v>
      </c>
      <c r="R39" s="15">
        <f si="34" t="shared"/>
        <v>0</v>
      </c>
      <c r="S39" s="15">
        <f si="34" t="shared"/>
        <v>5.6056677500639085E-2</v>
      </c>
      <c r="T39" s="15">
        <f si="34" t="shared"/>
        <v>0</v>
      </c>
      <c r="U39" s="15">
        <f si="34" t="shared"/>
        <v>7.53265407978186E-2</v>
      </c>
      <c r="W39">
        <v>7</v>
      </c>
      <c r="X39" s="15">
        <f>M39-B39</f>
        <v>1.2173002714579606E-5</v>
      </c>
      <c r="Y39" s="15">
        <f ref="Y39:AF39" si="35" t="shared">N39-C39</f>
        <v>1.6596686996012485E-3</v>
      </c>
      <c r="Z39" s="15">
        <f si="35" t="shared"/>
        <v>1.1526076086701377E-5</v>
      </c>
      <c r="AA39" s="15">
        <f si="35" t="shared"/>
        <v>0</v>
      </c>
      <c r="AB39" s="15">
        <f si="35" t="shared"/>
        <v>-3.0966113433344052E-3</v>
      </c>
      <c r="AC39" s="15">
        <f si="35" t="shared"/>
        <v>0</v>
      </c>
      <c r="AD39" s="15">
        <f si="35" t="shared"/>
        <v>1.4132435649318945E-3</v>
      </c>
      <c r="AE39" s="15">
        <f si="35" t="shared"/>
        <v>0</v>
      </c>
      <c r="AF39" s="15">
        <f si="35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36" t="shared">IFERROR(C27/$J$28,0)</f>
        <v>0</v>
      </c>
      <c r="D40" s="16">
        <f si="36" t="shared"/>
        <v>0</v>
      </c>
      <c r="E40" s="16">
        <f si="36" t="shared"/>
        <v>0</v>
      </c>
      <c r="F40" s="16">
        <f si="36" t="shared"/>
        <v>0</v>
      </c>
      <c r="G40" s="16">
        <f si="36" t="shared"/>
        <v>0</v>
      </c>
      <c r="H40" s="16">
        <f si="36" t="shared"/>
        <v>0</v>
      </c>
      <c r="I40" s="16">
        <f si="36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37" t="shared">IFERROR(N27/$U$28,0)</f>
        <v>0</v>
      </c>
      <c r="O40" s="16">
        <f si="37" t="shared"/>
        <v>0</v>
      </c>
      <c r="P40" s="16">
        <f si="37" t="shared"/>
        <v>0</v>
      </c>
      <c r="Q40" s="16">
        <f si="37" t="shared"/>
        <v>0</v>
      </c>
      <c r="R40" s="16">
        <f si="37" t="shared"/>
        <v>0</v>
      </c>
      <c r="S40" s="16">
        <f si="37" t="shared"/>
        <v>0</v>
      </c>
      <c r="T40" s="16">
        <f si="37" t="shared"/>
        <v>0</v>
      </c>
      <c r="U40" s="16">
        <f>U27/$U$28</f>
        <v>0</v>
      </c>
      <c r="W40" s="201" t="s">
        <v>13</v>
      </c>
      <c r="X40" s="16">
        <f>M40-B40</f>
        <v>0</v>
      </c>
      <c r="Y40" s="16">
        <f ref="Y40:AF41" si="38" t="shared">N40-C40</f>
        <v>0</v>
      </c>
      <c r="Z40" s="16">
        <f si="38" t="shared"/>
        <v>0</v>
      </c>
      <c r="AA40" s="16">
        <f si="38" t="shared"/>
        <v>0</v>
      </c>
      <c r="AB40" s="16">
        <f si="38" t="shared"/>
        <v>0</v>
      </c>
      <c r="AC40" s="16">
        <f si="38" t="shared"/>
        <v>0</v>
      </c>
      <c r="AD40" s="16">
        <f si="38" t="shared"/>
        <v>0</v>
      </c>
      <c r="AE40" s="16">
        <f si="38" t="shared"/>
        <v>0</v>
      </c>
      <c r="AF40" s="16">
        <f si="38" t="shared"/>
        <v>0</v>
      </c>
    </row>
    <row ht="15.75" r="41" spans="1:32" thickBot="1" x14ac:dyDescent="0.3">
      <c r="A41" s="1" t="s">
        <v>4</v>
      </c>
      <c r="B41" s="17">
        <f ref="B41:I41" si="39" t="shared">B28/$J$28</f>
        <v>0.1175500948155991</v>
      </c>
      <c r="C41" s="17">
        <f si="39" t="shared"/>
        <v>0.16719026838106668</v>
      </c>
      <c r="D41" s="17">
        <f si="39" t="shared"/>
        <v>7.9470793332369727E-2</v>
      </c>
      <c r="E41" s="17">
        <f si="39" t="shared"/>
        <v>4.0542262844390692E-2</v>
      </c>
      <c r="F41" s="17">
        <f si="39" t="shared"/>
        <v>0.48147686663286399</v>
      </c>
      <c r="G41" s="17">
        <f si="39" t="shared"/>
        <v>3.887377039733176E-2</v>
      </c>
      <c r="H41" s="17">
        <f si="39" t="shared"/>
        <v>7.4895943596378023E-2</v>
      </c>
      <c r="I41" s="17">
        <f si="39" t="shared"/>
        <v>0</v>
      </c>
      <c r="J41" s="17">
        <f>J28/$J$28</f>
        <v>1</v>
      </c>
      <c r="K41" s="11"/>
      <c r="L41" s="14" t="s">
        <v>4</v>
      </c>
      <c r="M41" s="17">
        <f ref="M41:T41" si="40" t="shared">M28/$U$28</f>
        <v>0.10969092746107682</v>
      </c>
      <c r="N41" s="17">
        <f si="40" t="shared"/>
        <v>0.16708663526031967</v>
      </c>
      <c r="O41" s="17">
        <f si="40" t="shared"/>
        <v>9.1261001351203297E-2</v>
      </c>
      <c r="P41" s="17">
        <f si="40" t="shared"/>
        <v>4.3615868726338727E-2</v>
      </c>
      <c r="Q41" s="17">
        <f si="40" t="shared"/>
        <v>0.46774762930772135</v>
      </c>
      <c r="R41" s="17">
        <f si="40" t="shared"/>
        <v>5.8978198152138187E-2</v>
      </c>
      <c r="S41" s="17">
        <f si="40" t="shared"/>
        <v>6.1619739741201961E-2</v>
      </c>
      <c r="T41" s="17">
        <f si="40" t="shared"/>
        <v>0</v>
      </c>
      <c r="U41" s="17">
        <f>U28/$U$28</f>
        <v>1</v>
      </c>
      <c r="W41" s="14" t="s">
        <v>4</v>
      </c>
      <c r="X41" s="17">
        <f>M41-B41</f>
        <v>-7.8591673545222729E-3</v>
      </c>
      <c r="Y41" s="17">
        <f si="38" t="shared"/>
        <v>-1.0363312074701536E-4</v>
      </c>
      <c r="Z41" s="17">
        <f si="38" t="shared"/>
        <v>1.179020801883357E-2</v>
      </c>
      <c r="AA41" s="17">
        <f si="38" t="shared"/>
        <v>3.0736058819480355E-3</v>
      </c>
      <c r="AB41" s="17">
        <f si="38" t="shared"/>
        <v>-1.372923732514264E-2</v>
      </c>
      <c r="AC41" s="17">
        <f si="38" t="shared"/>
        <v>2.0104427754806427E-2</v>
      </c>
      <c r="AD41" s="17">
        <f si="38" t="shared"/>
        <v>-1.3276203855176062E-2</v>
      </c>
      <c r="AE41" s="17">
        <f si="38" t="shared"/>
        <v>0</v>
      </c>
      <c r="AF41" s="17">
        <f si="38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9" sqref="K2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281</v>
      </c>
    </row>
    <row r="2" spans="1:4" x14ac:dyDescent="0.25">
      <c r="A2" t="s">
        <v>251</v>
      </c>
      <c r="B2" t="s">
        <v>252</v>
      </c>
      <c r="C2" t="s">
        <v>223</v>
      </c>
      <c r="D2" t="s">
        <v>253</v>
      </c>
    </row>
    <row r="3" spans="1:4" x14ac:dyDescent="0.25">
      <c r="A3">
        <v>1</v>
      </c>
      <c r="B3" t="s">
        <v>40</v>
      </c>
      <c r="C3" t="s">
        <v>254</v>
      </c>
      <c r="D3" t="s">
        <v>146</v>
      </c>
    </row>
    <row r="4" spans="1:4" x14ac:dyDescent="0.25">
      <c r="A4">
        <v>2</v>
      </c>
      <c r="B4" t="s">
        <v>41</v>
      </c>
      <c r="C4" t="s">
        <v>254</v>
      </c>
      <c r="D4" t="s">
        <v>147</v>
      </c>
    </row>
    <row r="5" spans="1:4" x14ac:dyDescent="0.25">
      <c r="A5">
        <v>3</v>
      </c>
      <c r="B5" t="s">
        <v>42</v>
      </c>
      <c r="C5" t="s">
        <v>254</v>
      </c>
      <c r="D5" t="s">
        <v>148</v>
      </c>
    </row>
    <row r="6" spans="1:4" x14ac:dyDescent="0.25">
      <c r="A6">
        <v>4</v>
      </c>
      <c r="B6" t="s">
        <v>43</v>
      </c>
      <c r="C6" t="s">
        <v>254</v>
      </c>
      <c r="D6" t="s">
        <v>149</v>
      </c>
    </row>
    <row r="7" spans="1:4" x14ac:dyDescent="0.25">
      <c r="A7">
        <v>5</v>
      </c>
      <c r="B7" t="s">
        <v>44</v>
      </c>
      <c r="C7" t="s">
        <v>254</v>
      </c>
      <c r="D7" t="s">
        <v>150</v>
      </c>
    </row>
    <row r="8" spans="1:4" x14ac:dyDescent="0.25">
      <c r="A8">
        <v>6</v>
      </c>
      <c r="B8" t="s">
        <v>45</v>
      </c>
      <c r="C8" t="s">
        <v>254</v>
      </c>
      <c r="D8" t="s">
        <v>151</v>
      </c>
    </row>
    <row r="9" spans="1:4" x14ac:dyDescent="0.25">
      <c r="A9">
        <v>7</v>
      </c>
      <c r="B9" t="s">
        <v>46</v>
      </c>
      <c r="C9" t="s">
        <v>254</v>
      </c>
      <c r="D9" t="s">
        <v>152</v>
      </c>
    </row>
    <row r="10" spans="1:4" x14ac:dyDescent="0.25">
      <c r="A10">
        <v>8</v>
      </c>
      <c r="B10" t="s">
        <v>47</v>
      </c>
      <c r="C10" t="s">
        <v>254</v>
      </c>
      <c r="D10" t="s">
        <v>153</v>
      </c>
    </row>
    <row r="11" spans="1:4" x14ac:dyDescent="0.25">
      <c r="A11">
        <v>9</v>
      </c>
      <c r="B11" t="s">
        <v>48</v>
      </c>
      <c r="C11" t="s">
        <v>254</v>
      </c>
      <c r="D11" t="s">
        <v>154</v>
      </c>
    </row>
    <row r="12" spans="1:4" x14ac:dyDescent="0.25">
      <c r="A12">
        <v>10</v>
      </c>
      <c r="B12" t="s">
        <v>49</v>
      </c>
      <c r="C12" t="s">
        <v>254</v>
      </c>
      <c r="D12" t="s">
        <v>155</v>
      </c>
    </row>
    <row r="13" spans="1:4" x14ac:dyDescent="0.25">
      <c r="A13">
        <v>11</v>
      </c>
      <c r="B13" t="s">
        <v>50</v>
      </c>
      <c r="C13" t="s">
        <v>254</v>
      </c>
      <c r="D13" t="s">
        <v>156</v>
      </c>
    </row>
    <row r="14" spans="1:4" x14ac:dyDescent="0.25">
      <c r="A14">
        <v>12</v>
      </c>
      <c r="B14" t="s">
        <v>51</v>
      </c>
      <c r="C14" t="s">
        <v>254</v>
      </c>
      <c r="D14" t="s">
        <v>157</v>
      </c>
    </row>
    <row r="15" spans="1:4" x14ac:dyDescent="0.25">
      <c r="A15">
        <v>13</v>
      </c>
      <c r="B15" t="s">
        <v>52</v>
      </c>
      <c r="C15" t="s">
        <v>254</v>
      </c>
      <c r="D15" t="s">
        <v>158</v>
      </c>
    </row>
    <row r="16" spans="1:4" x14ac:dyDescent="0.25">
      <c r="A16">
        <v>14</v>
      </c>
      <c r="B16" t="s">
        <v>53</v>
      </c>
      <c r="C16" t="s">
        <v>254</v>
      </c>
      <c r="D16" t="s">
        <v>159</v>
      </c>
    </row>
    <row r="17" spans="1:4" x14ac:dyDescent="0.25">
      <c r="A17">
        <v>15</v>
      </c>
      <c r="B17" t="s">
        <v>54</v>
      </c>
      <c r="C17" t="s">
        <v>254</v>
      </c>
      <c r="D17" t="s">
        <v>160</v>
      </c>
    </row>
    <row r="18" spans="1:4" x14ac:dyDescent="0.25">
      <c r="A18">
        <v>16</v>
      </c>
      <c r="B18" t="s">
        <v>55</v>
      </c>
      <c r="C18" t="s">
        <v>254</v>
      </c>
      <c r="D18" t="s">
        <v>161</v>
      </c>
    </row>
    <row r="19" spans="1:4" x14ac:dyDescent="0.25">
      <c r="A19">
        <v>17</v>
      </c>
      <c r="B19" t="s">
        <v>56</v>
      </c>
      <c r="C19" t="s">
        <v>254</v>
      </c>
      <c r="D19" t="s">
        <v>162</v>
      </c>
    </row>
    <row r="20" spans="1:4" x14ac:dyDescent="0.25">
      <c r="A20">
        <v>18</v>
      </c>
      <c r="B20" t="s">
        <v>57</v>
      </c>
      <c r="C20" t="s">
        <v>254</v>
      </c>
      <c r="D20" t="s">
        <v>163</v>
      </c>
    </row>
    <row r="21" spans="1:4" x14ac:dyDescent="0.25">
      <c r="A21">
        <v>19</v>
      </c>
      <c r="B21" t="s">
        <v>58</v>
      </c>
      <c r="C21" t="s">
        <v>254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273" t="s">
        <v>226</v>
      </c>
      <c r="B1" s="274"/>
      <c r="C1" s="274"/>
      <c r="D1" s="274"/>
      <c r="E1" s="274"/>
      <c r="F1" s="274"/>
      <c r="G1" s="274"/>
      <c r="H1" s="274" t="s">
        <v>227</v>
      </c>
      <c r="I1" s="274"/>
      <c r="J1" s="274"/>
      <c r="K1" s="275"/>
    </row>
    <row r="2" spans="1:11" x14ac:dyDescent="0.25">
      <c r="A2" s="276">
        <v>1</v>
      </c>
      <c r="B2" s="277" t="s">
        <v>256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228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229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230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231</v>
      </c>
      <c r="C8" t="s">
        <v>232</v>
      </c>
      <c r="D8" t="s">
        <v>233</v>
      </c>
      <c r="E8" t="s">
        <v>274</v>
      </c>
      <c r="F8" t="s">
        <v>275</v>
      </c>
      <c r="G8" t="s">
        <v>276</v>
      </c>
      <c r="H8" t="s">
        <v>277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242">
        <v>0.48607638888888888</v>
      </c>
      <c r="G9" t="s">
        <v>238</v>
      </c>
      <c r="H9">
        <v>24</v>
      </c>
      <c r="I9" t="s">
        <v>278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40</v>
      </c>
      <c r="D11" t="s">
        <v>240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241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42</v>
      </c>
      <c r="D13" t="s">
        <v>241</v>
      </c>
      <c r="E13" s="243">
        <v>7.0220312730799997E-2</v>
      </c>
      <c r="F13">
        <v>0.25869937796300002</v>
      </c>
    </row>
    <row r="14" spans="1:11" x14ac:dyDescent="0.25">
      <c r="B14">
        <v>4</v>
      </c>
      <c r="C14" t="s">
        <v>43</v>
      </c>
      <c r="D14" t="s">
        <v>241</v>
      </c>
      <c r="E14" s="243">
        <v>-3.3904088920700001E-2</v>
      </c>
      <c r="F14">
        <v>0.29717527652300002</v>
      </c>
    </row>
    <row r="15" spans="1:11" x14ac:dyDescent="0.25">
      <c r="B15">
        <v>5</v>
      </c>
      <c r="C15" t="s">
        <v>44</v>
      </c>
      <c r="D15" t="s">
        <v>241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45</v>
      </c>
      <c r="D16" t="s">
        <v>241</v>
      </c>
      <c r="E16" s="243">
        <v>0.36721258210199997</v>
      </c>
      <c r="F16">
        <v>0.14251816133299999</v>
      </c>
    </row>
    <row r="17" spans="2:6" x14ac:dyDescent="0.25">
      <c r="B17">
        <v>7</v>
      </c>
      <c r="C17" t="s">
        <v>46</v>
      </c>
      <c r="D17" t="s">
        <v>241</v>
      </c>
      <c r="E17">
        <v>-6.4918460355300001</v>
      </c>
      <c r="F17">
        <v>0.28790085567700002</v>
      </c>
    </row>
    <row r="18" spans="2:6" x14ac:dyDescent="0.25">
      <c r="B18">
        <v>8</v>
      </c>
      <c r="C18" t="s">
        <v>47</v>
      </c>
      <c r="D18" t="s">
        <v>241</v>
      </c>
      <c r="E18" s="243">
        <v>1.39963442933</v>
      </c>
      <c r="F18">
        <v>0.219287303381</v>
      </c>
    </row>
    <row r="19" spans="2:6" x14ac:dyDescent="0.25">
      <c r="B19">
        <v>9</v>
      </c>
      <c r="C19" t="s">
        <v>48</v>
      </c>
      <c r="D19" t="s">
        <v>241</v>
      </c>
      <c r="E19" s="243">
        <v>0.66317866364400002</v>
      </c>
      <c r="F19">
        <v>0.26858783017999999</v>
      </c>
    </row>
    <row r="20" spans="2:6" x14ac:dyDescent="0.25">
      <c r="B20">
        <v>10</v>
      </c>
      <c r="C20" t="s">
        <v>49</v>
      </c>
      <c r="D20" t="s">
        <v>241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50</v>
      </c>
      <c r="D21" t="s">
        <v>241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51</v>
      </c>
      <c r="D22" t="s">
        <v>241</v>
      </c>
      <c r="E22">
        <v>-0.913115187153</v>
      </c>
      <c r="F22">
        <v>0.28732544144</v>
      </c>
    </row>
    <row r="23" spans="2:6" x14ac:dyDescent="0.25">
      <c r="B23">
        <v>13</v>
      </c>
      <c r="C23" t="s">
        <v>52</v>
      </c>
      <c r="D23" t="s">
        <v>241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53</v>
      </c>
      <c r="D24" t="s">
        <v>241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54</v>
      </c>
      <c r="D25" t="s">
        <v>241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55</v>
      </c>
      <c r="D26" t="s">
        <v>241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56</v>
      </c>
      <c r="D27" t="s">
        <v>240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240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240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241</v>
      </c>
      <c r="E30">
        <v>0.55927220197000005</v>
      </c>
      <c r="F30" s="243">
        <v>6.3070773371999997E-2</v>
      </c>
    </row>
    <row r="31" spans="2:6" x14ac:dyDescent="0.25">
      <c r="B31">
        <v>21</v>
      </c>
      <c r="C31" t="s">
        <v>60</v>
      </c>
      <c r="D31" t="s">
        <v>241</v>
      </c>
      <c r="E31">
        <v>-10.6100761267462</v>
      </c>
      <c r="F31">
        <v>2.1635731872099999</v>
      </c>
    </row>
    <row r="32" spans="2:6" x14ac:dyDescent="0.25">
      <c r="B32">
        <v>22</v>
      </c>
      <c r="C32" t="s">
        <v>61</v>
      </c>
      <c r="D32" t="s">
        <v>241</v>
      </c>
      <c r="E32">
        <v>-9.3491031588377993</v>
      </c>
      <c r="F32">
        <v>0.48285243031500003</v>
      </c>
    </row>
    <row r="33" spans="2:6" x14ac:dyDescent="0.25">
      <c r="B33">
        <v>23</v>
      </c>
      <c r="C33" t="s">
        <v>62</v>
      </c>
      <c r="D33" t="s">
        <v>241</v>
      </c>
      <c r="E33">
        <v>-4.0525569260302001</v>
      </c>
      <c r="F33">
        <v>0.28097869320699997</v>
      </c>
    </row>
    <row r="34" spans="2:6" x14ac:dyDescent="0.25">
      <c r="B34">
        <v>24</v>
      </c>
      <c r="C34" t="s">
        <v>63</v>
      </c>
      <c r="D34" t="s">
        <v>241</v>
      </c>
      <c r="E34">
        <v>0.21220129380800001</v>
      </c>
      <c r="F34" s="243">
        <v>2.3591368768600001E-2</v>
      </c>
    </row>
    <row r="35" spans="2:6" x14ac:dyDescent="0.25">
      <c r="B35">
        <v>25</v>
      </c>
      <c r="C35" t="s">
        <v>64</v>
      </c>
      <c r="D35" t="s">
        <v>241</v>
      </c>
      <c r="E35">
        <v>-0.156772126135</v>
      </c>
      <c r="F35" s="243">
        <v>2.5404206972699999E-2</v>
      </c>
    </row>
    <row r="36" spans="2:6" x14ac:dyDescent="0.25">
      <c r="B36">
        <v>26</v>
      </c>
      <c r="C36" t="s">
        <v>65</v>
      </c>
      <c r="D36" t="s">
        <v>241</v>
      </c>
      <c r="E36">
        <v>0.78053827557199995</v>
      </c>
      <c r="F36" s="243">
        <v>0.13801392691299999</v>
      </c>
    </row>
    <row r="37" spans="2:6" x14ac:dyDescent="0.25">
      <c r="B37">
        <v>27</v>
      </c>
      <c r="C37" t="s">
        <v>66</v>
      </c>
      <c r="D37" t="s">
        <v>241</v>
      </c>
      <c r="E37">
        <v>-10.801432269311199</v>
      </c>
      <c r="F37">
        <v>2.1635010799400001</v>
      </c>
    </row>
    <row r="38" spans="2:6" x14ac:dyDescent="0.25">
      <c r="B38">
        <v>28</v>
      </c>
      <c r="C38" t="s">
        <v>67</v>
      </c>
      <c r="D38" t="s">
        <v>241</v>
      </c>
      <c r="E38">
        <v>-6.3576746947949996</v>
      </c>
      <c r="F38">
        <v>0.49109078483500002</v>
      </c>
    </row>
    <row r="39" spans="2:6" x14ac:dyDescent="0.25">
      <c r="B39">
        <v>29</v>
      </c>
      <c r="C39" t="s">
        <v>68</v>
      </c>
      <c r="D39" t="s">
        <v>241</v>
      </c>
      <c r="E39">
        <v>-2.8344072250191998</v>
      </c>
      <c r="F39">
        <v>0.23114662533300001</v>
      </c>
    </row>
    <row r="40" spans="2:6" x14ac:dyDescent="0.25">
      <c r="B40">
        <v>30</v>
      </c>
      <c r="C40" t="s">
        <v>69</v>
      </c>
      <c r="D40" t="s">
        <v>241</v>
      </c>
      <c r="E40">
        <v>-1.4822873023622001</v>
      </c>
      <c r="F40" s="243">
        <v>0.15445284496</v>
      </c>
    </row>
    <row r="41" spans="2:6" x14ac:dyDescent="0.25">
      <c r="B41">
        <v>31</v>
      </c>
      <c r="C41" t="s">
        <v>70</v>
      </c>
      <c r="D41" t="s">
        <v>241</v>
      </c>
      <c r="E41" s="243">
        <v>0.161916660248</v>
      </c>
      <c r="F41" s="243">
        <v>2.4598246513100001E-2</v>
      </c>
    </row>
    <row r="42" spans="2:6" x14ac:dyDescent="0.25">
      <c r="B42">
        <v>32</v>
      </c>
      <c r="C42" t="s">
        <v>71</v>
      </c>
      <c r="D42" t="s">
        <v>241</v>
      </c>
      <c r="E42">
        <v>-0.164548260329</v>
      </c>
      <c r="F42" s="243">
        <v>3.0497321424399999E-2</v>
      </c>
    </row>
    <row r="43" spans="2:6" x14ac:dyDescent="0.25">
      <c r="B43">
        <v>33</v>
      </c>
      <c r="C43" t="s">
        <v>72</v>
      </c>
      <c r="D43" t="s">
        <v>241</v>
      </c>
      <c r="E43">
        <v>0.20498917376299999</v>
      </c>
      <c r="F43" s="243">
        <v>2.26070286041E-2</v>
      </c>
    </row>
    <row r="44" spans="2:6" x14ac:dyDescent="0.25">
      <c r="B44">
        <v>34</v>
      </c>
      <c r="C44" t="s">
        <v>73</v>
      </c>
      <c r="D44" t="s">
        <v>241</v>
      </c>
      <c r="E44">
        <v>-0.128001396233</v>
      </c>
      <c r="F44" s="243">
        <v>2.71057179313E-2</v>
      </c>
    </row>
    <row r="45" spans="2:6" x14ac:dyDescent="0.25">
      <c r="B45">
        <v>35</v>
      </c>
      <c r="C45" t="s">
        <v>74</v>
      </c>
      <c r="D45" t="s">
        <v>241</v>
      </c>
      <c r="E45" s="243">
        <v>6.1170505754699997E-2</v>
      </c>
      <c r="F45" s="243">
        <v>1.6417141522400001E-2</v>
      </c>
    </row>
    <row r="46" spans="2:6" x14ac:dyDescent="0.25">
      <c r="B46">
        <v>36</v>
      </c>
      <c r="C46" t="s">
        <v>75</v>
      </c>
      <c r="D46" t="s">
        <v>241</v>
      </c>
      <c r="E46" s="243">
        <v>1.3253567635600001</v>
      </c>
      <c r="F46" s="243">
        <v>0.18997438038600001</v>
      </c>
    </row>
    <row r="47" spans="2:6" x14ac:dyDescent="0.25">
      <c r="B47">
        <v>37</v>
      </c>
      <c r="C47" t="s">
        <v>76</v>
      </c>
      <c r="D47" t="s">
        <v>241</v>
      </c>
      <c r="E47">
        <v>-6.8051932741582997</v>
      </c>
      <c r="F47">
        <v>2.2590324693200001</v>
      </c>
    </row>
    <row r="48" spans="2:6" x14ac:dyDescent="0.25">
      <c r="B48">
        <v>38</v>
      </c>
      <c r="C48" t="s">
        <v>77</v>
      </c>
      <c r="D48" t="s">
        <v>241</v>
      </c>
      <c r="E48">
        <v>-8.2040601552336003</v>
      </c>
      <c r="F48">
        <v>0.534114739916</v>
      </c>
    </row>
    <row r="49" spans="2:6" x14ac:dyDescent="0.25">
      <c r="B49">
        <v>39</v>
      </c>
      <c r="C49" t="s">
        <v>78</v>
      </c>
      <c r="D49" t="s">
        <v>241</v>
      </c>
      <c r="E49">
        <v>-7.9091539026991002</v>
      </c>
      <c r="F49">
        <v>0.29434692441299998</v>
      </c>
    </row>
    <row r="50" spans="2:6" x14ac:dyDescent="0.25">
      <c r="B50">
        <v>40</v>
      </c>
      <c r="C50" t="s">
        <v>79</v>
      </c>
      <c r="D50" t="s">
        <v>241</v>
      </c>
      <c r="E50">
        <v>-5.6394867063158003</v>
      </c>
      <c r="F50">
        <v>0.21098361657199999</v>
      </c>
    </row>
    <row r="51" spans="2:6" x14ac:dyDescent="0.25">
      <c r="B51">
        <v>41</v>
      </c>
      <c r="C51" t="s">
        <v>80</v>
      </c>
      <c r="D51" t="s">
        <v>241</v>
      </c>
      <c r="E51">
        <v>-0.149205194047</v>
      </c>
      <c r="F51" s="243">
        <v>2.2183697722899999E-2</v>
      </c>
    </row>
    <row r="52" spans="2:6" x14ac:dyDescent="0.25">
      <c r="B52">
        <v>42</v>
      </c>
      <c r="C52" t="s">
        <v>81</v>
      </c>
      <c r="D52" t="s">
        <v>241</v>
      </c>
      <c r="E52">
        <v>0.517393579278</v>
      </c>
      <c r="F52" s="243">
        <v>3.32158540558E-2</v>
      </c>
    </row>
    <row r="53" spans="2:6" x14ac:dyDescent="0.25">
      <c r="B53">
        <v>43</v>
      </c>
      <c r="C53" t="s">
        <v>82</v>
      </c>
      <c r="D53" t="s">
        <v>241</v>
      </c>
      <c r="E53">
        <v>0.84374741070500003</v>
      </c>
      <c r="F53" s="243">
        <v>0.178687822675</v>
      </c>
    </row>
    <row r="54" spans="2:6" x14ac:dyDescent="0.25">
      <c r="B54">
        <v>44</v>
      </c>
      <c r="C54" t="s">
        <v>83</v>
      </c>
      <c r="D54" t="s">
        <v>241</v>
      </c>
      <c r="E54">
        <v>-17.092202073927201</v>
      </c>
      <c r="F54">
        <v>2.7220288019000001</v>
      </c>
    </row>
    <row r="55" spans="2:6" x14ac:dyDescent="0.25">
      <c r="B55">
        <v>45</v>
      </c>
      <c r="C55" t="s">
        <v>84</v>
      </c>
      <c r="D55" t="s">
        <v>241</v>
      </c>
      <c r="E55">
        <v>-4.6499214915950997</v>
      </c>
      <c r="F55">
        <v>0.678544989012</v>
      </c>
    </row>
    <row r="56" spans="2:6" x14ac:dyDescent="0.25">
      <c r="B56">
        <v>46</v>
      </c>
      <c r="C56" t="s">
        <v>85</v>
      </c>
      <c r="D56" t="s">
        <v>241</v>
      </c>
      <c r="E56">
        <v>0.11007373396759999</v>
      </c>
      <c r="F56">
        <v>0.316542075087</v>
      </c>
    </row>
    <row r="57" spans="2:6" x14ac:dyDescent="0.25">
      <c r="B57">
        <v>47</v>
      </c>
      <c r="C57" t="s">
        <v>86</v>
      </c>
      <c r="D57" t="s">
        <v>241</v>
      </c>
      <c r="E57">
        <v>-2.6006433832395999</v>
      </c>
      <c r="F57">
        <v>0.198666198524</v>
      </c>
    </row>
    <row r="58" spans="2:6" x14ac:dyDescent="0.25">
      <c r="B58">
        <v>48</v>
      </c>
      <c r="C58" t="s">
        <v>87</v>
      </c>
      <c r="D58" t="s">
        <v>241</v>
      </c>
      <c r="E58">
        <v>0.16683062839400001</v>
      </c>
      <c r="F58" s="243">
        <v>3.6092162993199998E-2</v>
      </c>
    </row>
    <row r="59" spans="2:6" x14ac:dyDescent="0.25">
      <c r="B59">
        <v>49</v>
      </c>
      <c r="C59" t="s">
        <v>88</v>
      </c>
      <c r="D59" t="s">
        <v>241</v>
      </c>
      <c r="E59">
        <v>0.80686039286800004</v>
      </c>
      <c r="F59" s="243">
        <v>0.18430849226599999</v>
      </c>
    </row>
    <row r="60" spans="2:6" x14ac:dyDescent="0.25">
      <c r="B60">
        <v>50</v>
      </c>
      <c r="C60" t="s">
        <v>89</v>
      </c>
      <c r="D60" t="s">
        <v>241</v>
      </c>
      <c r="E60">
        <v>-10.020777192745999</v>
      </c>
      <c r="F60">
        <v>2.32184701625</v>
      </c>
    </row>
    <row r="61" spans="2:6" x14ac:dyDescent="0.25">
      <c r="B61">
        <v>51</v>
      </c>
      <c r="C61" t="s">
        <v>90</v>
      </c>
      <c r="D61" t="s">
        <v>241</v>
      </c>
      <c r="E61">
        <v>-4.7109881624506</v>
      </c>
      <c r="F61">
        <v>0.59301229503800001</v>
      </c>
    </row>
    <row r="62" spans="2:6" x14ac:dyDescent="0.25">
      <c r="B62">
        <v>52</v>
      </c>
      <c r="C62" t="s">
        <v>91</v>
      </c>
      <c r="D62" t="s">
        <v>241</v>
      </c>
      <c r="E62">
        <v>-1.2671613377644</v>
      </c>
      <c r="F62">
        <v>0.29029353811199998</v>
      </c>
    </row>
    <row r="63" spans="2:6" x14ac:dyDescent="0.25">
      <c r="B63">
        <v>53</v>
      </c>
      <c r="C63" t="s">
        <v>92</v>
      </c>
      <c r="D63" t="s">
        <v>241</v>
      </c>
      <c r="E63">
        <v>-1.1289015585513</v>
      </c>
      <c r="F63">
        <v>0.18935293258499999</v>
      </c>
    </row>
    <row r="64" spans="2:6" x14ac:dyDescent="0.25">
      <c r="B64">
        <v>54</v>
      </c>
      <c r="C64" t="s">
        <v>93</v>
      </c>
      <c r="D64" t="s">
        <v>241</v>
      </c>
      <c r="E64">
        <v>0.21306405683599999</v>
      </c>
      <c r="F64" s="243">
        <v>4.0484886653700002E-2</v>
      </c>
    </row>
    <row r="65" spans="2:6" x14ac:dyDescent="0.25">
      <c r="B65">
        <v>55</v>
      </c>
      <c r="C65" t="s">
        <v>94</v>
      </c>
      <c r="D65" t="s">
        <v>241</v>
      </c>
      <c r="E65">
        <v>0.49322187999099998</v>
      </c>
      <c r="F65" s="243">
        <v>4.4144582285800003E-2</v>
      </c>
    </row>
    <row r="66" spans="2:6" x14ac:dyDescent="0.25">
      <c r="B66">
        <v>56</v>
      </c>
      <c r="C66" t="s">
        <v>95</v>
      </c>
      <c r="D66" t="s">
        <v>241</v>
      </c>
      <c r="E66">
        <v>-0.81297460986500003</v>
      </c>
      <c r="F66" s="243">
        <v>4.4146608637300001E-2</v>
      </c>
    </row>
    <row r="67" spans="2:6" x14ac:dyDescent="0.25">
      <c r="B67">
        <v>57</v>
      </c>
      <c r="C67" t="s">
        <v>96</v>
      </c>
      <c r="D67" t="s">
        <v>241</v>
      </c>
      <c r="E67" s="243">
        <v>8.0759501397E-2</v>
      </c>
      <c r="F67" s="243">
        <v>2.06933444566E-2</v>
      </c>
    </row>
    <row r="68" spans="2:6" x14ac:dyDescent="0.25">
      <c r="B68">
        <v>70</v>
      </c>
      <c r="C68" t="s">
        <v>97</v>
      </c>
      <c r="D68" t="s">
        <v>241</v>
      </c>
      <c r="E68" s="243">
        <v>0.29053029913700001</v>
      </c>
      <c r="F68" s="243">
        <v>1.13080873111E-2</v>
      </c>
    </row>
    <row r="69" spans="2:6" x14ac:dyDescent="0.25">
      <c r="B69">
        <v>71</v>
      </c>
      <c r="C69" t="s">
        <v>98</v>
      </c>
      <c r="D69" t="s">
        <v>240</v>
      </c>
      <c r="E69">
        <v>0</v>
      </c>
      <c r="F69" s="243">
        <v>0</v>
      </c>
    </row>
    <row r="70" spans="2:6" x14ac:dyDescent="0.25">
      <c r="B70">
        <v>72</v>
      </c>
      <c r="C70" t="s">
        <v>99</v>
      </c>
      <c r="D70" t="s">
        <v>241</v>
      </c>
      <c r="E70">
        <v>-3.51218611463</v>
      </c>
      <c r="F70">
        <v>1.10016104602</v>
      </c>
    </row>
    <row r="71" spans="2:6" x14ac:dyDescent="0.25">
      <c r="B71">
        <v>73</v>
      </c>
      <c r="C71" t="s">
        <v>100</v>
      </c>
      <c r="D71" t="s">
        <v>241</v>
      </c>
      <c r="E71">
        <v>-1.9512398226400001</v>
      </c>
      <c r="F71">
        <v>1.3061635869799999</v>
      </c>
    </row>
    <row r="72" spans="2:6" x14ac:dyDescent="0.25">
      <c r="B72">
        <v>74</v>
      </c>
      <c r="C72" t="s">
        <v>101</v>
      </c>
      <c r="D72" t="s">
        <v>241</v>
      </c>
      <c r="E72">
        <v>-2.2875988415099999</v>
      </c>
      <c r="F72">
        <v>0.68287455172</v>
      </c>
    </row>
    <row r="73" spans="2:6" x14ac:dyDescent="0.25">
      <c r="B73">
        <v>75</v>
      </c>
      <c r="C73" t="s">
        <v>102</v>
      </c>
      <c r="D73" t="s">
        <v>241</v>
      </c>
      <c r="E73">
        <v>-2.97270473739</v>
      </c>
      <c r="F73">
        <v>0.801285272145</v>
      </c>
    </row>
    <row r="74" spans="2:6" x14ac:dyDescent="0.25">
      <c r="B74">
        <v>76</v>
      </c>
      <c r="C74" t="s">
        <v>103</v>
      </c>
      <c r="D74" t="s">
        <v>241</v>
      </c>
      <c r="E74">
        <v>-2.2065775626700002</v>
      </c>
      <c r="F74">
        <v>0.71288966547400001</v>
      </c>
    </row>
    <row r="75" spans="2:6" x14ac:dyDescent="0.25">
      <c r="B75">
        <v>77</v>
      </c>
      <c r="C75" t="s">
        <v>104</v>
      </c>
      <c r="D75" t="s">
        <v>241</v>
      </c>
      <c r="E75">
        <v>-1.91608314575</v>
      </c>
      <c r="F75">
        <v>0.89189817863900001</v>
      </c>
    </row>
    <row r="76" spans="2:6" x14ac:dyDescent="0.25">
      <c r="B76">
        <v>78</v>
      </c>
      <c r="C76" t="s">
        <v>105</v>
      </c>
      <c r="D76" t="s">
        <v>241</v>
      </c>
      <c r="E76">
        <v>-2.9941803696</v>
      </c>
      <c r="F76">
        <v>0.73230805856600001</v>
      </c>
    </row>
    <row r="77" spans="2:6" x14ac:dyDescent="0.25">
      <c r="B77">
        <v>79</v>
      </c>
      <c r="C77" t="s">
        <v>106</v>
      </c>
      <c r="D77" t="s">
        <v>241</v>
      </c>
      <c r="E77">
        <v>-20.893048808300001</v>
      </c>
      <c r="F77">
        <v>1.3318572224</v>
      </c>
    </row>
    <row r="78" spans="2:6" x14ac:dyDescent="0.25">
      <c r="B78">
        <v>80</v>
      </c>
      <c r="C78" t="s">
        <v>107</v>
      </c>
      <c r="D78" t="s">
        <v>241</v>
      </c>
      <c r="E78">
        <v>-0.340851234339</v>
      </c>
      <c r="F78">
        <v>0.73993441747499999</v>
      </c>
    </row>
    <row r="79" spans="2:6" x14ac:dyDescent="0.25">
      <c r="B79">
        <v>81</v>
      </c>
      <c r="C79" t="s">
        <v>108</v>
      </c>
      <c r="D79" t="s">
        <v>241</v>
      </c>
      <c r="E79">
        <v>-3.5548804977600001</v>
      </c>
      <c r="F79">
        <v>1.7924879455</v>
      </c>
    </row>
    <row r="80" spans="2:6" x14ac:dyDescent="0.25">
      <c r="B80">
        <v>82</v>
      </c>
      <c r="C80" t="s">
        <v>109</v>
      </c>
      <c r="D80" t="s">
        <v>241</v>
      </c>
      <c r="E80">
        <v>-2.04042829643</v>
      </c>
      <c r="F80">
        <v>0.57123076706499998</v>
      </c>
    </row>
    <row r="81" spans="2:6" x14ac:dyDescent="0.25">
      <c r="B81">
        <v>83</v>
      </c>
      <c r="C81" t="s">
        <v>110</v>
      </c>
      <c r="D81" t="s">
        <v>241</v>
      </c>
      <c r="E81">
        <v>-3.1291070048599998</v>
      </c>
      <c r="F81">
        <v>0.70960900603900001</v>
      </c>
    </row>
    <row r="82" spans="2:6" x14ac:dyDescent="0.25">
      <c r="B82">
        <v>84</v>
      </c>
      <c r="C82" t="s">
        <v>111</v>
      </c>
      <c r="D82" t="s">
        <v>241</v>
      </c>
      <c r="E82">
        <v>-1.36058822067</v>
      </c>
      <c r="F82">
        <v>0.54117102218500002</v>
      </c>
    </row>
    <row r="83" spans="2:6" x14ac:dyDescent="0.25">
      <c r="B83">
        <v>85</v>
      </c>
      <c r="C83" t="s">
        <v>112</v>
      </c>
      <c r="D83" t="s">
        <v>241</v>
      </c>
      <c r="E83">
        <v>-3.7593502074299998</v>
      </c>
      <c r="F83">
        <v>0.90517580077699999</v>
      </c>
    </row>
    <row r="84" spans="2:6" x14ac:dyDescent="0.25">
      <c r="B84">
        <v>86</v>
      </c>
      <c r="C84" t="s">
        <v>113</v>
      </c>
      <c r="D84" t="s">
        <v>241</v>
      </c>
      <c r="E84">
        <v>-2.6162258391100002</v>
      </c>
      <c r="F84">
        <v>0.60159109194399996</v>
      </c>
    </row>
    <row r="85" spans="2:6" x14ac:dyDescent="0.25">
      <c r="B85">
        <v>87</v>
      </c>
      <c r="C85" t="s">
        <v>114</v>
      </c>
      <c r="D85" t="s">
        <v>241</v>
      </c>
      <c r="E85">
        <v>-18.920608679800001</v>
      </c>
      <c r="F85">
        <v>1.15389556702</v>
      </c>
    </row>
    <row r="86" spans="2:6" x14ac:dyDescent="0.25">
      <c r="B86">
        <v>88</v>
      </c>
      <c r="C86" t="s">
        <v>115</v>
      </c>
      <c r="D86" t="s">
        <v>240</v>
      </c>
      <c r="E86">
        <v>0</v>
      </c>
      <c r="F86">
        <v>0</v>
      </c>
    </row>
    <row r="87" spans="2:6" x14ac:dyDescent="0.25">
      <c r="B87">
        <v>89</v>
      </c>
      <c r="C87" t="s">
        <v>116</v>
      </c>
      <c r="D87" t="s">
        <v>241</v>
      </c>
      <c r="E87">
        <v>-6.14284833482</v>
      </c>
      <c r="F87">
        <v>0.878821332959</v>
      </c>
    </row>
    <row r="88" spans="2:6" x14ac:dyDescent="0.25">
      <c r="B88">
        <v>90</v>
      </c>
      <c r="C88" t="s">
        <v>117</v>
      </c>
      <c r="D88" t="s">
        <v>241</v>
      </c>
      <c r="E88">
        <v>-16.4745846271</v>
      </c>
      <c r="F88">
        <v>3.4758476738100001</v>
      </c>
    </row>
    <row r="89" spans="2:6" x14ac:dyDescent="0.25">
      <c r="B89">
        <v>91</v>
      </c>
      <c r="C89" t="s">
        <v>118</v>
      </c>
      <c r="D89" t="s">
        <v>241</v>
      </c>
      <c r="E89">
        <v>-9.3272520902899991</v>
      </c>
      <c r="F89">
        <v>0.81194250572399995</v>
      </c>
    </row>
    <row r="90" spans="2:6" x14ac:dyDescent="0.25">
      <c r="B90">
        <v>92</v>
      </c>
      <c r="C90" t="s">
        <v>119</v>
      </c>
      <c r="D90" t="s">
        <v>241</v>
      </c>
      <c r="E90">
        <v>-0.748114378523</v>
      </c>
      <c r="F90">
        <v>0.37548664507700003</v>
      </c>
    </row>
    <row r="91" spans="2:6" x14ac:dyDescent="0.25">
      <c r="B91">
        <v>93</v>
      </c>
      <c r="C91" t="s">
        <v>120</v>
      </c>
      <c r="D91" t="s">
        <v>241</v>
      </c>
      <c r="E91">
        <v>-0.29100107664500002</v>
      </c>
      <c r="F91">
        <v>0.38141528568499999</v>
      </c>
    </row>
    <row r="92" spans="2:6" x14ac:dyDescent="0.25">
      <c r="B92">
        <v>94</v>
      </c>
      <c r="C92" t="s">
        <v>121</v>
      </c>
      <c r="D92" t="s">
        <v>240</v>
      </c>
      <c r="E92">
        <v>0</v>
      </c>
      <c r="F92">
        <v>0</v>
      </c>
    </row>
    <row r="93" spans="2:6" x14ac:dyDescent="0.25">
      <c r="B93">
        <v>95</v>
      </c>
      <c r="C93" t="s">
        <v>122</v>
      </c>
      <c r="D93" t="s">
        <v>241</v>
      </c>
      <c r="E93">
        <v>-10.3298280696</v>
      </c>
      <c r="F93">
        <v>0.93444956582399996</v>
      </c>
    </row>
    <row r="94" spans="2:6" x14ac:dyDescent="0.25">
      <c r="B94">
        <v>96</v>
      </c>
      <c r="C94" t="s">
        <v>123</v>
      </c>
      <c r="D94" t="s">
        <v>241</v>
      </c>
      <c r="E94">
        <v>-16.742935323400001</v>
      </c>
      <c r="F94">
        <v>0.87728587361400001</v>
      </c>
    </row>
    <row r="95" spans="2:6" x14ac:dyDescent="0.25">
      <c r="B95">
        <v>97</v>
      </c>
      <c r="C95" t="s">
        <v>124</v>
      </c>
      <c r="D95" t="s">
        <v>241</v>
      </c>
      <c r="E95">
        <v>-6.97234539975</v>
      </c>
      <c r="F95">
        <v>0.84429798985799998</v>
      </c>
    </row>
    <row r="96" spans="2:6" x14ac:dyDescent="0.25">
      <c r="B96">
        <v>98</v>
      </c>
      <c r="C96" t="s">
        <v>125</v>
      </c>
      <c r="D96" t="s">
        <v>241</v>
      </c>
      <c r="E96">
        <v>-10.7755348742</v>
      </c>
      <c r="F96">
        <v>1.10642531916</v>
      </c>
    </row>
    <row r="97" spans="2:6" x14ac:dyDescent="0.25">
      <c r="B97">
        <v>99</v>
      </c>
      <c r="C97" t="s">
        <v>126</v>
      </c>
      <c r="D97" t="s">
        <v>241</v>
      </c>
      <c r="E97">
        <v>-11.547846395100001</v>
      </c>
      <c r="F97">
        <v>0.74733147077399997</v>
      </c>
    </row>
    <row r="98" spans="2:6" x14ac:dyDescent="0.25">
      <c r="B98">
        <v>100</v>
      </c>
      <c r="C98" t="s">
        <v>127</v>
      </c>
      <c r="D98" t="s">
        <v>240</v>
      </c>
      <c r="E98">
        <v>0</v>
      </c>
      <c r="F98">
        <v>0</v>
      </c>
    </row>
    <row r="99" spans="2:6" x14ac:dyDescent="0.25">
      <c r="B99">
        <v>101</v>
      </c>
      <c r="C99" t="s">
        <v>128</v>
      </c>
      <c r="D99" t="s">
        <v>241</v>
      </c>
      <c r="E99">
        <v>-11.0962758301</v>
      </c>
      <c r="F99">
        <v>0.74556172273099997</v>
      </c>
    </row>
    <row r="100" spans="2:6" x14ac:dyDescent="0.25">
      <c r="B100">
        <v>102</v>
      </c>
      <c r="C100" t="s">
        <v>129</v>
      </c>
      <c r="D100" t="s">
        <v>240</v>
      </c>
      <c r="E100">
        <v>0</v>
      </c>
      <c r="F100">
        <v>0</v>
      </c>
    </row>
    <row r="101" spans="2:6" x14ac:dyDescent="0.25">
      <c r="B101">
        <v>103</v>
      </c>
      <c r="C101" t="s">
        <v>130</v>
      </c>
      <c r="D101" t="s">
        <v>241</v>
      </c>
      <c r="E101">
        <v>-12.7257909892</v>
      </c>
      <c r="F101">
        <v>1.5440284820600001</v>
      </c>
    </row>
    <row r="102" spans="2:6" x14ac:dyDescent="0.25">
      <c r="B102">
        <v>104</v>
      </c>
      <c r="C102" t="s">
        <v>131</v>
      </c>
      <c r="D102" t="s">
        <v>241</v>
      </c>
      <c r="E102">
        <v>-12.5271034041</v>
      </c>
      <c r="F102">
        <v>0.667513404915</v>
      </c>
    </row>
    <row r="103" spans="2:6" x14ac:dyDescent="0.25">
      <c r="B103">
        <v>105</v>
      </c>
      <c r="C103" t="s">
        <v>132</v>
      </c>
      <c r="D103" t="s">
        <v>241</v>
      </c>
      <c r="E103">
        <v>-21.008822510800002</v>
      </c>
      <c r="F103">
        <v>2.1748440765799999</v>
      </c>
    </row>
    <row r="104" spans="2:6" x14ac:dyDescent="0.25">
      <c r="B104">
        <v>106</v>
      </c>
      <c r="C104" t="s">
        <v>133</v>
      </c>
      <c r="D104" t="s">
        <v>241</v>
      </c>
      <c r="E104">
        <v>-1.63176275226</v>
      </c>
      <c r="F104">
        <v>0.967651109555</v>
      </c>
    </row>
    <row r="105" spans="2:6" x14ac:dyDescent="0.25">
      <c r="B105">
        <v>107</v>
      </c>
      <c r="C105" t="s">
        <v>134</v>
      </c>
      <c r="D105" t="s">
        <v>241</v>
      </c>
      <c r="E105">
        <v>-4.6653914733199997</v>
      </c>
      <c r="F105">
        <v>2.61248252668</v>
      </c>
    </row>
    <row r="106" spans="2:6" x14ac:dyDescent="0.25">
      <c r="B106">
        <v>108</v>
      </c>
      <c r="C106" t="s">
        <v>135</v>
      </c>
      <c r="D106" t="s">
        <v>241</v>
      </c>
      <c r="E106">
        <v>-7.5050624753099999</v>
      </c>
      <c r="F106">
        <v>1.3833200651199999</v>
      </c>
    </row>
    <row r="107" spans="2:6" x14ac:dyDescent="0.25">
      <c r="B107">
        <v>109</v>
      </c>
      <c r="C107" t="s">
        <v>136</v>
      </c>
      <c r="D107" t="s">
        <v>241</v>
      </c>
      <c r="E107">
        <v>-7.2217481188799999</v>
      </c>
      <c r="F107">
        <v>1.5428659018799999</v>
      </c>
    </row>
    <row r="108" spans="2:6" x14ac:dyDescent="0.25">
      <c r="B108">
        <v>110</v>
      </c>
      <c r="C108" t="s">
        <v>137</v>
      </c>
      <c r="D108" t="s">
        <v>241</v>
      </c>
      <c r="E108">
        <v>-3.4793464222399999</v>
      </c>
      <c r="F108">
        <v>0.74775521117900001</v>
      </c>
    </row>
    <row r="109" spans="2:6" x14ac:dyDescent="0.25">
      <c r="B109">
        <v>111</v>
      </c>
      <c r="C109" t="s">
        <v>138</v>
      </c>
      <c r="D109" t="s">
        <v>240</v>
      </c>
      <c r="E109">
        <v>0</v>
      </c>
      <c r="F109">
        <v>0</v>
      </c>
    </row>
    <row r="110" spans="2:6" x14ac:dyDescent="0.25">
      <c r="B110">
        <v>112</v>
      </c>
      <c r="C110" t="s">
        <v>139</v>
      </c>
      <c r="D110" t="s">
        <v>240</v>
      </c>
      <c r="E110">
        <v>0</v>
      </c>
      <c r="F110">
        <v>0</v>
      </c>
    </row>
    <row r="111" spans="2:6" x14ac:dyDescent="0.25">
      <c r="B111">
        <v>113</v>
      </c>
      <c r="C111" t="s">
        <v>140</v>
      </c>
      <c r="D111" t="s">
        <v>241</v>
      </c>
      <c r="E111">
        <v>-2.23577200178</v>
      </c>
      <c r="F111">
        <v>2.4396907415000002</v>
      </c>
    </row>
    <row r="112" spans="2:6" x14ac:dyDescent="0.25">
      <c r="B112">
        <v>120</v>
      </c>
      <c r="C112" t="s">
        <v>279</v>
      </c>
      <c r="D112" t="s">
        <v>241</v>
      </c>
      <c r="E112">
        <v>3</v>
      </c>
      <c r="F112">
        <v>2.4396907415000002</v>
      </c>
    </row>
    <row r="113" spans="2:11" x14ac:dyDescent="0.25">
      <c r="B113">
        <v>-1</v>
      </c>
    </row>
    <row r="114" spans="2:11" x14ac:dyDescent="0.25">
      <c r="B114">
        <v>6224</v>
      </c>
      <c r="C114" s="243">
        <v>-7713.1262757699997</v>
      </c>
      <c r="D114" s="243">
        <v>-24166.840237699998</v>
      </c>
      <c r="E114" s="243">
        <v>-15453.864181499999</v>
      </c>
    </row>
    <row r="115" spans="2:11" x14ac:dyDescent="0.25">
      <c r="B115">
        <v>5</v>
      </c>
      <c r="C115" t="s">
        <v>280</v>
      </c>
      <c r="D115" t="s">
        <v>238</v>
      </c>
      <c r="E115">
        <v>24</v>
      </c>
      <c r="F115" t="s">
        <v>278</v>
      </c>
      <c r="G115">
        <v>12</v>
      </c>
    </row>
    <row r="116" spans="2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2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2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2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2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2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2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2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2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2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2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2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E1" workbookViewId="0">
      <selection activeCell="U25" sqref="U25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257</v>
      </c>
      <c r="S1" s="203"/>
      <c r="T1" s="203" t="s">
        <v>257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223</v>
      </c>
      <c r="N2" s="9" t="s">
        <v>251</v>
      </c>
      <c r="O2" s="9" t="s">
        <v>252</v>
      </c>
      <c r="P2" s="283" t="s">
        <v>258</v>
      </c>
      <c r="Q2" s="284" t="s">
        <v>259</v>
      </c>
      <c r="T2" s="208"/>
      <c r="U2" s="203" t="s">
        <v>261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262</v>
      </c>
      <c r="V3"/>
      <c r="W3" s="208"/>
    </row>
    <row r="4" spans="3:23" x14ac:dyDescent="0.25">
      <c r="C4" s="217" t="s">
        <v>217</v>
      </c>
      <c r="D4" s="218">
        <f>TLFD!B11</f>
        <v>4973.5092270000005</v>
      </c>
      <c r="F4" s="217" t="s">
        <v>217</v>
      </c>
      <c r="G4" s="218">
        <f>TLFD!F11</f>
        <v>8017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_xlfn.IFNA(VLOOKUP(N4,$B$43:$D$46,3,FALSE),P4)</f>
        <v>13.7073027249</v>
      </c>
      <c r="T4">
        <v>2</v>
      </c>
      <c r="U4" s="202" t="s">
        <v>263</v>
      </c>
      <c r="V4"/>
      <c r="W4" s="208"/>
    </row>
    <row r="5" spans="3:23" x14ac:dyDescent="0.25">
      <c r="C5" s="204" t="s">
        <v>218</v>
      </c>
      <c r="D5" s="220">
        <f>TLFD!B12+TLFD!B13+(TLFD!B14/2)</f>
        <v>20240.904326000003</v>
      </c>
      <c r="F5" s="204" t="s">
        <v>218</v>
      </c>
      <c r="G5" s="220">
        <f>TLFD!F12+TLFD!F13+(TLFD!F14/2)</f>
        <v>19103.5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 ref="Q5:Q68" si="0" t="shared">_xlfn.IFNA(VLOOKUP(N5,$B$43:$D$46,3,FALSE),P5)</f>
        <v>7.0220312730799997E-2</v>
      </c>
      <c r="T5">
        <v>3</v>
      </c>
      <c r="U5" s="208" t="s">
        <v>264</v>
      </c>
      <c r="V5" s="208"/>
      <c r="W5" s="208"/>
    </row>
    <row r="6" spans="3:23" x14ac:dyDescent="0.25">
      <c r="C6" s="204" t="s">
        <v>214</v>
      </c>
      <c r="D6" s="220">
        <f>(TLFD!B14/2)+SUM(TLFD!B15:B20)</f>
        <v>24799.933032000004</v>
      </c>
      <c r="F6" s="204" t="s">
        <v>214</v>
      </c>
      <c r="G6" s="220">
        <f>(TLFD!F14/2)+SUM(TLFD!F15:F20)</f>
        <v>28700.5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 si="0" t="shared"/>
        <v>-3.3904088920700001E-2</v>
      </c>
      <c r="T6">
        <v>4</v>
      </c>
      <c r="U6" s="208" t="s">
        <v>265</v>
      </c>
      <c r="V6" s="208"/>
      <c r="W6" s="208"/>
    </row>
    <row r="7" spans="3:23" x14ac:dyDescent="0.25">
      <c r="C7" s="205" t="s">
        <v>215</v>
      </c>
      <c r="D7" s="222">
        <f>SUM(TLFD!B21:B101)</f>
        <v>9695.9604340000024</v>
      </c>
      <c r="F7" s="205" t="s">
        <v>215</v>
      </c>
      <c r="G7" s="222">
        <f>SUM(TLFD!F21:F101)</f>
        <v>15581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 si="0" t="shared"/>
        <v>0.14394271350499999</v>
      </c>
      <c r="T7" s="208">
        <v>5</v>
      </c>
      <c r="U7" s="208" t="s">
        <v>266</v>
      </c>
      <c r="V7" s="208"/>
      <c r="W7" s="208"/>
    </row>
    <row ht="15.75" r="8" spans="3:23" thickBot="1" x14ac:dyDescent="0.3">
      <c r="C8" s="206" t="s">
        <v>4</v>
      </c>
      <c r="D8" s="224">
        <f>SUM(D4:D7)</f>
        <v>59710.307019000007</v>
      </c>
      <c r="E8" s="225"/>
      <c r="F8" s="206" t="s">
        <v>4</v>
      </c>
      <c r="G8" s="224">
        <f>SUM(G4:G7)</f>
        <v>71402</v>
      </c>
      <c r="H8" s="254"/>
      <c r="I8" s="254" t="s">
        <v>260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 si="0" t="shared"/>
        <v>0.36721258210199997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-6.4918460355300001</v>
      </c>
      <c r="Q9" s="285">
        <f si="0" t="shared"/>
        <v>-6.4918460355300001</v>
      </c>
      <c r="T9" s="208"/>
      <c r="U9" s="289" t="s">
        <v>267</v>
      </c>
      <c r="V9" s="208"/>
      <c r="W9" s="208"/>
    </row>
    <row ht="15.75" r="10" spans="3:23" thickBot="1" x14ac:dyDescent="0.3">
      <c r="C10" s="207" t="s">
        <v>216</v>
      </c>
      <c r="I10" s="256" t="s">
        <v>247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 si="0" t="shared"/>
        <v>1.39963442933</v>
      </c>
      <c r="T10" s="208">
        <v>1</v>
      </c>
      <c r="U10" s="202" t="s">
        <v>262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248</v>
      </c>
      <c r="J11" s="215" t="s">
        <v>249</v>
      </c>
      <c r="K11" s="215" t="s">
        <v>250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 si="0" t="shared"/>
        <v>0.66317866364400002</v>
      </c>
      <c r="T11" s="208">
        <v>2</v>
      </c>
      <c r="U11" s="208" t="s">
        <v>268</v>
      </c>
      <c r="V11" s="208"/>
      <c r="W11" s="208"/>
    </row>
    <row r="12" spans="3:23" x14ac:dyDescent="0.25">
      <c r="C12" s="217" t="s">
        <v>217</v>
      </c>
      <c r="D12" s="227">
        <f>D4/D$8</f>
        <v>8.3293981814855089E-2</v>
      </c>
      <c r="F12" s="217" t="s">
        <v>217</v>
      </c>
      <c r="G12" s="227">
        <f>G4/G$8</f>
        <v>0.11227976807372342</v>
      </c>
      <c r="H12" s="227"/>
      <c r="I12" s="258">
        <f>D12/G12</f>
        <v>0.74184319440492497</v>
      </c>
      <c r="J12" s="259">
        <f>LN(I12)</f>
        <v>-0.29861738644297658</v>
      </c>
      <c r="K12" s="259">
        <f>J8*J12</f>
        <v>-0.29861738644297658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 si="0" t="shared"/>
        <v>-0.38108886824999999</v>
      </c>
      <c r="T12" s="208">
        <v>3</v>
      </c>
      <c r="U12" s="208" t="s">
        <v>269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0.33898509882991029</v>
      </c>
      <c r="F13" s="204" t="s">
        <v>218</v>
      </c>
      <c r="G13" s="228">
        <f ref="G13:G16" si="2" t="shared">G5/G$8</f>
        <v>0.26754852805243551</v>
      </c>
      <c r="H13" s="228"/>
      <c r="I13" s="258">
        <f ref="I13:I15" si="3" t="shared">D13/G13</f>
        <v>1.2670041629362816</v>
      </c>
      <c r="J13" s="259">
        <f ref="J13:J15" si="4" t="shared">LN(I13)</f>
        <v>0.23665518699759916</v>
      </c>
      <c r="K13" s="259">
        <f>J8*(J13-J12)</f>
        <v>0.53527257344057577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 si="0" t="shared"/>
        <v>-0.73323034645999996</v>
      </c>
      <c r="T13" s="208">
        <v>4</v>
      </c>
      <c r="U13" s="208" t="s">
        <v>270</v>
      </c>
      <c r="V13" s="208"/>
      <c r="W13" s="208"/>
    </row>
    <row r="14" spans="3:23" x14ac:dyDescent="0.25">
      <c r="C14" s="204" t="s">
        <v>214</v>
      </c>
      <c r="D14" s="228">
        <f si="1" t="shared"/>
        <v>0.41533755678242601</v>
      </c>
      <c r="F14" s="204" t="s">
        <v>214</v>
      </c>
      <c r="G14" s="228">
        <f si="2" t="shared"/>
        <v>0.40195652782835217</v>
      </c>
      <c r="H14" s="228"/>
      <c r="I14" s="258">
        <f si="3" t="shared"/>
        <v>1.0332897416204867</v>
      </c>
      <c r="J14" s="259">
        <f si="4" t="shared"/>
        <v>3.274763640459518E-2</v>
      </c>
      <c r="K14" s="259">
        <f>J8*(J14-J13-J12)</f>
        <v>9.4709835849972612E-2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 si="0" t="shared"/>
        <v>-0.913115187153</v>
      </c>
      <c r="T14" s="208">
        <v>5</v>
      </c>
      <c r="U14" s="202" t="s">
        <v>271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0.16238336257280869</v>
      </c>
      <c r="F15" s="205" t="s">
        <v>215</v>
      </c>
      <c r="G15" s="228">
        <f si="2" t="shared"/>
        <v>0.21821517604548893</v>
      </c>
      <c r="H15" s="228"/>
      <c r="I15" s="260">
        <f si="3" t="shared"/>
        <v>0.74414330623346936</v>
      </c>
      <c r="J15" s="261">
        <f si="4" t="shared"/>
        <v>-0.29552164679190618</v>
      </c>
      <c r="K15" s="261">
        <f>J8*(J15-J14-J13-J12)</f>
        <v>-0.26630708375112394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 si="0" t="shared"/>
        <v>-0.56168035354400003</v>
      </c>
      <c r="T15" s="208">
        <v>6</v>
      </c>
      <c r="U15" s="208" t="s">
        <v>272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 si="0" t="shared"/>
        <v>-0.30132725845199998</v>
      </c>
      <c r="T16" s="208">
        <v>7</v>
      </c>
      <c r="U16" s="208" t="s">
        <v>265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 si="0" t="shared"/>
        <v>1.97893419319</v>
      </c>
      <c r="T17" s="208">
        <v>8</v>
      </c>
      <c r="U17" s="208" t="s">
        <v>273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 si="0" t="shared"/>
        <v>0.89286126056000004</v>
      </c>
    </row>
    <row r="19" spans="2:23" x14ac:dyDescent="0.25">
      <c r="C19" s="231" t="s">
        <v>221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222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251</v>
      </c>
      <c r="C22" s="232" t="s">
        <v>223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 si="0" t="shared"/>
        <v>0.55927220197000005</v>
      </c>
    </row>
    <row r="23" spans="2:23" x14ac:dyDescent="0.25">
      <c r="B23" s="263">
        <v>44</v>
      </c>
      <c r="C23" s="217" t="s">
        <v>217</v>
      </c>
      <c r="D23" s="267">
        <f>VLOOKUP($B23,$N:$P,3,FALSE)</f>
        <v>-17.092202073927201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-10.6100761267462</v>
      </c>
      <c r="Q23" s="285">
        <f si="0" t="shared"/>
        <v>-10.6100761267462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-4.6499214915950997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-9.3491031588377993</v>
      </c>
      <c r="Q24" s="285">
        <f si="0" t="shared"/>
        <v>-9.3491031588377993</v>
      </c>
    </row>
    <row r="25" spans="2:23" x14ac:dyDescent="0.25">
      <c r="B25" s="263">
        <v>46</v>
      </c>
      <c r="C25" s="204" t="s">
        <v>214</v>
      </c>
      <c r="D25" s="267">
        <f si="5" t="shared"/>
        <v>0.11007373396759999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-4.0525569260302001</v>
      </c>
      <c r="Q25" s="285">
        <f si="0" t="shared"/>
        <v>-4.0525569260302001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-2.6006433832395999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 si="0" t="shared"/>
        <v>0.21220129380800001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 si="0" t="shared"/>
        <v>-0.156772126135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 si="0" t="shared"/>
        <v>0.78053827557199995</v>
      </c>
    </row>
    <row r="29" spans="2:23" x14ac:dyDescent="0.25">
      <c r="C29" s="231" t="s">
        <v>221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-10.801432269311199</v>
      </c>
      <c r="Q29" s="285">
        <f si="0" t="shared"/>
        <v>-10.801432269311199</v>
      </c>
    </row>
    <row r="30" spans="2:23" x14ac:dyDescent="0.25">
      <c r="C30" s="231" t="s">
        <v>224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-6.3576746947949996</v>
      </c>
      <c r="Q30" s="285">
        <f si="0" t="shared"/>
        <v>-6.3576746947949996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-2.8344072250191998</v>
      </c>
      <c r="Q31" s="285">
        <f si="0" t="shared"/>
        <v>-2.8344072250191998</v>
      </c>
    </row>
    <row r="32" spans="2:23" x14ac:dyDescent="0.25">
      <c r="B32" s="262" t="s">
        <v>251</v>
      </c>
      <c r="C32" s="232" t="s">
        <v>223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-1.4822873023622001</v>
      </c>
      <c r="Q32" s="285">
        <f si="0" t="shared"/>
        <v>-1.4822873023622001</v>
      </c>
    </row>
    <row r="33" spans="2:18" x14ac:dyDescent="0.25">
      <c r="B33" s="263">
        <f>B23</f>
        <v>44</v>
      </c>
      <c r="C33" s="217" t="s">
        <v>217</v>
      </c>
      <c r="D33" s="269">
        <f>K12</f>
        <v>-0.29861738644297658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 si="0" t="shared"/>
        <v>0.161916660248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0.53527257344057577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 si="0" t="shared"/>
        <v>-0.164548260329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9.4709835849972612E-2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 si="0" t="shared"/>
        <v>0.20498917376299999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-0.26630708375112394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 si="0" t="shared"/>
        <v>-0.128001396233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 si="0" t="shared"/>
        <v>6.1170505754699997E-2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 si="0" t="shared"/>
        <v>1.3253567635600001</v>
      </c>
    </row>
    <row r="39" spans="2:18" x14ac:dyDescent="0.25">
      <c r="C39" s="231" t="s">
        <v>221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-6.8051932741582997</v>
      </c>
      <c r="Q39" s="285">
        <f si="0" t="shared"/>
        <v>-6.8051932741582997</v>
      </c>
    </row>
    <row r="40" spans="2:18" x14ac:dyDescent="0.25">
      <c r="C40" s="231" t="s">
        <v>225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-8.2040601552336003</v>
      </c>
      <c r="Q40" s="285">
        <f si="0" t="shared"/>
        <v>-8.2040601552336003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-7.9091539026991002</v>
      </c>
      <c r="Q41" s="285">
        <f si="0" t="shared"/>
        <v>-7.9091539026991002</v>
      </c>
    </row>
    <row r="42" spans="2:18" x14ac:dyDescent="0.25">
      <c r="B42" s="262" t="s">
        <v>251</v>
      </c>
      <c r="C42" s="232" t="s">
        <v>223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-5.6394867063158003</v>
      </c>
      <c r="Q42" s="285">
        <f si="0" t="shared"/>
        <v>-5.6394867063158003</v>
      </c>
    </row>
    <row r="43" spans="2:18" x14ac:dyDescent="0.25">
      <c r="B43" s="263">
        <f>B33</f>
        <v>44</v>
      </c>
      <c r="C43" s="217" t="s">
        <v>217</v>
      </c>
      <c r="D43" s="271">
        <f>D23+D33</f>
        <v>-17.390819460370178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 si="0" t="shared"/>
        <v>-0.149205194047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-4.1146489181545238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 si="0" t="shared"/>
        <v>0.517393579278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0.20478356981757262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 si="0" t="shared"/>
        <v>0.84374741070500003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-2.866950466990724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-17.092202073927201</v>
      </c>
      <c r="Q46" s="286">
        <f si="0" t="shared"/>
        <v>-17.390819460370178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-4.6499214915950997</v>
      </c>
      <c r="Q47" s="286">
        <f si="0" t="shared"/>
        <v>-4.1146489181545238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0.11007373396759999</v>
      </c>
      <c r="Q48" s="286">
        <f si="0" t="shared"/>
        <v>0.20478356981757262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-2.6006433832395999</v>
      </c>
      <c r="Q49" s="286">
        <f si="0" t="shared"/>
        <v>-2.866950466990724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 si="0" t="shared"/>
        <v>0.16683062839400001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0.80686039286800004</v>
      </c>
      <c r="Q51" s="285">
        <f si="0" t="shared"/>
        <v>0.80686039286800004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-10.020777192745999</v>
      </c>
      <c r="Q52" s="285">
        <f si="0" t="shared"/>
        <v>-10.020777192745999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-4.7109881624506</v>
      </c>
      <c r="Q53" s="285">
        <f si="0" t="shared"/>
        <v>-4.7109881624506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-1.2671613377644</v>
      </c>
      <c r="Q54" s="285">
        <f si="0" t="shared"/>
        <v>-1.2671613377644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-1.1289015585513</v>
      </c>
      <c r="Q55" s="285">
        <f si="0" t="shared"/>
        <v>-1.1289015585513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0.21306405683599999</v>
      </c>
      <c r="Q56" s="285">
        <f si="0" t="shared"/>
        <v>0.21306405683599999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 si="0" t="shared"/>
        <v>0.49322187999099998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 si="0" t="shared"/>
        <v>-0.81297460986500003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 si="0" t="shared"/>
        <v>8.0759501397E-2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 si="0" t="shared"/>
        <v>0.29053029913700001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 si="0" t="shared"/>
        <v>-3.51218611463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 si="0" t="shared"/>
        <v>-1.9512398226400001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 si="0" t="shared"/>
        <v>-2.2875988415099999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 si="0" t="shared"/>
        <v>-2.97270473739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 si="0" t="shared"/>
        <v>-2.2065775626700002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 si="0" t="shared"/>
        <v>-1.91608314575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 si="0" t="shared"/>
        <v>-2.9941803696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 ref="Q69:Q104" si="10" t="shared">_xlfn.IFNA(VLOOKUP(N69,$B$43:$D$46,3,FALSE),P69)</f>
        <v>-20.893048808300001</v>
      </c>
    </row>
    <row r="70" spans="13:17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 si="10" t="shared"/>
        <v>-0.340851234339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 si="10" t="shared"/>
        <v>-3.5548804977600001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 si="10" t="shared"/>
        <v>-2.04042829643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 si="10" t="shared"/>
        <v>-3.1291070048599998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 si="10" t="shared"/>
        <v>-1.36058822067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 si="10" t="shared"/>
        <v>-3.7593502074299998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 si="10" t="shared"/>
        <v>-2.6162258391100002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 si="10" t="shared"/>
        <v>-18.920608679800001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0" t="shared"/>
        <v>0</v>
      </c>
    </row>
    <row r="79" spans="13:17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 si="10" t="shared"/>
        <v>-6.14284833482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 si="10" t="shared"/>
        <v>-16.4745846271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 si="10" t="shared"/>
        <v>-9.3272520902899991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 si="10" t="shared"/>
        <v>-0.748114378523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 si="10" t="shared"/>
        <v>-0.29100107664500002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0" t="shared"/>
        <v>0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 si="10" t="shared"/>
        <v>-10.3298280696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 si="10" t="shared"/>
        <v>-16.742935323400001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 si="10" t="shared"/>
        <v>-6.97234539975</v>
      </c>
    </row>
    <row r="88" spans="13:17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 si="10" t="shared"/>
        <v>-10.7755348742</v>
      </c>
    </row>
    <row r="89" spans="13:17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 si="10" t="shared"/>
        <v>-11.547846395100001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0" t="shared"/>
        <v>0</v>
      </c>
    </row>
    <row r="91" spans="13:17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 si="10" t="shared"/>
        <v>-11.0962758301</v>
      </c>
    </row>
    <row r="92" spans="13:17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0" t="shared"/>
        <v>0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 si="10" t="shared"/>
        <v>-12.7257909892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 si="10" t="shared"/>
        <v>-12.5271034041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 si="10" t="shared"/>
        <v>-21.008822510800002</v>
      </c>
    </row>
    <row r="96" spans="13:17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 si="10" t="shared"/>
        <v>-1.63176275226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 si="10" t="shared"/>
        <v>-4.6653914733199997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 si="10" t="shared"/>
        <v>-7.5050624753099999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 si="10" t="shared"/>
        <v>-7.2217481188799999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 si="10" t="shared"/>
        <v>-3.4793464222399999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0" t="shared"/>
        <v>0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 si="10" t="shared"/>
        <v>0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 si="10" t="shared"/>
        <v>-2.23577200178</v>
      </c>
    </row>
    <row r="104" spans="13:17" x14ac:dyDescent="0.25">
      <c r="M104" s="212" t="e">
        <f>VLOOKUP(N104,Coeff_Descr!$A:$D,3,FALSE)</f>
        <v>#N/A</v>
      </c>
      <c r="N104" s="212">
        <f>OtherTourDestination!B112</f>
        <v>120</v>
      </c>
      <c r="O104" s="212" t="str">
        <f>OtherTourDestination!C112</f>
        <v>Gamma120</v>
      </c>
      <c r="P104" s="213">
        <f>OtherTourDestination!E112</f>
        <v>3</v>
      </c>
      <c r="Q104" s="285">
        <f si="10" t="shared"/>
        <v>3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2020-01-23T23:45:05Z</dcterms:modified>
</cp:coreProperties>
</file>