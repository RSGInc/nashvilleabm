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SACOG\Tasks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7" l="1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S49" s="1"/>
  <c i="7" r="P48"/>
  <c i="7" r="O48"/>
  <c i="7" r="N48"/>
  <c i="7" r="S48" s="1"/>
  <c i="7" r="P47"/>
  <c i="7" r="O47"/>
  <c i="7" r="N47"/>
  <c i="7" r="S47" s="1"/>
  <c i="7" r="P46"/>
  <c i="7" r="O46"/>
  <c i="7" r="N46"/>
  <c i="7" r="S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R50" s="1"/>
  <c i="7" r="Q23"/>
  <c i="7" r="R23" s="1"/>
  <c i="7" r="M49"/>
  <c i="7" r="Q99"/>
  <c i="7" r="R99" s="1"/>
  <c i="7" r="Q93"/>
  <c i="7" r="R93" s="1"/>
  <c i="7" r="Q25"/>
  <c i="7" r="R25" s="1"/>
  <c i="7" r="Q56"/>
  <c i="7" r="R56" s="1"/>
  <c i="7" r="Q58"/>
  <c i="7" r="R58" s="1"/>
  <c i="7" r="Q59"/>
  <c i="7" r="R59" s="1"/>
  <c i="7" r="Q57"/>
  <c i="7" r="R57" s="1"/>
  <c i="7" r="Q86"/>
  <c i="7" r="R86" s="1"/>
  <c i="7" r="Q51"/>
  <c i="7" r="R51" s="1"/>
  <c i="7" r="Q84"/>
  <c i="7" r="R84" s="1"/>
  <c i="7" r="Q83"/>
  <c i="7" r="R83" s="1"/>
  <c i="7" r="Q60"/>
  <c i="7" r="R60" s="1"/>
  <c i="7" r="Q85"/>
  <c i="7" r="R85" s="1"/>
  <c i="7" r="Q82"/>
  <c i="7" r="R82" s="1"/>
  <c i="7" r="Q88"/>
  <c i="7" r="R88" s="1"/>
  <c i="7" r="Q14"/>
  <c i="7" r="R14" s="1"/>
  <c i="7" r="Q89"/>
  <c i="7" r="R89" s="1"/>
  <c i="7" r="Q16"/>
  <c i="7" r="R16" s="1"/>
  <c i="7" r="Q90"/>
  <c i="7" r="R90" s="1"/>
  <c i="7" r="Q91"/>
  <c i="7" r="R91" s="1"/>
  <c i="7" r="Q17"/>
  <c i="7" r="R17" s="1"/>
  <c i="7" r="Q18"/>
  <c i="7" r="R18" s="1"/>
  <c i="7" r="Q19"/>
  <c i="7" r="R19" s="1"/>
  <c i="7" r="Q20"/>
  <c i="7" r="R20" s="1"/>
  <c i="7" r="Q80"/>
  <c i="7" r="R80" s="1"/>
  <c i="7" r="Q22"/>
  <c i="7" r="R22" s="1"/>
  <c i="7" r="Q24"/>
  <c i="7" r="R24" s="1"/>
  <c i="7" r="Q87"/>
  <c i="7" r="R87" s="1"/>
  <c i="7" r="Q81"/>
  <c i="7" r="R81" s="1"/>
  <c i="7" r="Q75"/>
  <c i="7" r="R75" s="1"/>
  <c i="7" r="Q69"/>
  <c i="7" r="R69" s="1"/>
  <c i="7" r="Q95"/>
  <c i="7" r="R95" s="1"/>
  <c i="7" r="Q63"/>
  <c i="7" r="R63" s="1"/>
  <c i="7" r="Q31"/>
  <c i="7" r="R31" s="1"/>
  <c i="7" r="Q65"/>
  <c i="7" r="R65" s="1"/>
  <c i="7" r="Q96"/>
  <c i="7" r="R96" s="1"/>
  <c i="7" r="Q45"/>
  <c i="7" r="R45" s="1"/>
  <c i="7" r="Q66"/>
  <c i="7" r="R66" s="1"/>
  <c i="7" r="Q97"/>
  <c i="7" r="R97" s="1"/>
  <c i="7" r="Q39"/>
  <c i="7" r="R39" s="1"/>
  <c i="7" r="Q92"/>
  <c i="7" r="R92" s="1"/>
  <c i="7" r="Q67"/>
  <c i="7" r="R67" s="1"/>
  <c i="7" r="Q98"/>
  <c i="7" r="R98" s="1"/>
  <c i="7" r="Q102"/>
  <c i="7" r="R102" s="1"/>
  <c i="7" r="Q62"/>
  <c i="7" r="R62" s="1"/>
  <c i="7" r="Q35"/>
  <c i="7" r="R35" s="1"/>
  <c i="7" r="Q68"/>
  <c i="7" r="R68" s="1"/>
  <c i="7" r="Q101"/>
  <c i="7" r="R101" s="1"/>
  <c i="7" r="Q77"/>
  <c i="7" r="R77" s="1"/>
  <c i="7" r="Q64"/>
  <c i="7" r="R64" s="1"/>
  <c i="7" r="Q103"/>
  <c i="7" r="R103" s="1"/>
  <c i="7" r="Q21"/>
  <c i="7" r="R21" s="1"/>
  <c i="7" r="Q33"/>
  <c i="7" r="R33" s="1"/>
  <c i="7" r="Q61"/>
  <c i="7" r="R61" s="1"/>
  <c i="7" r="Q3"/>
  <c i="7" r="R3" s="1"/>
  <c i="7" r="Q71"/>
  <c i="7" r="R71" s="1"/>
  <c i="7" r="Q104"/>
  <c i="7" r="R104" s="1"/>
  <c i="7" r="Q15"/>
  <c i="7" r="R15" s="1"/>
  <c i="7" r="Q27"/>
  <c i="7" r="R27" s="1"/>
  <c i="7" r="Q32"/>
  <c i="7" r="R32" s="1"/>
  <c i="7" r="Q70"/>
  <c i="7" r="R70" s="1"/>
  <c i="7" r="Q6"/>
  <c i="7" r="R6" s="1"/>
  <c i="7" r="Q7"/>
  <c i="7" r="R7" s="1"/>
  <c i="7" r="Q38"/>
  <c i="7" r="R38" s="1"/>
  <c i="7" r="Q72"/>
  <c i="7" r="R72" s="1"/>
  <c i="7" r="Q30"/>
  <c i="7" r="R30" s="1"/>
  <c i="7" r="Q5"/>
  <c i="7" r="R5" s="1"/>
  <c i="7" r="Q37"/>
  <c i="7" r="R37" s="1"/>
  <c i="7" r="Q8"/>
  <c i="7" r="R8" s="1"/>
  <c i="7" r="Q40"/>
  <c i="7" r="R40" s="1"/>
  <c i="7" r="Q73"/>
  <c i="7" r="R73" s="1"/>
  <c i="7" r="Q36"/>
  <c i="7" r="R36" s="1"/>
  <c i="7" r="Q10"/>
  <c i="7" r="R10" s="1"/>
  <c i="7" r="Q41"/>
  <c i="7" r="R41" s="1"/>
  <c i="7" r="Q74"/>
  <c i="7" r="R74" s="1"/>
  <c i="7" r="Q9"/>
  <c i="7" r="R9" s="1"/>
  <c i="7" r="Q26"/>
  <c i="7" r="R26" s="1"/>
  <c i="7" r="Q11"/>
  <c i="7" r="R11" s="1"/>
  <c i="7" r="Q42"/>
  <c i="7" r="R42" s="1"/>
  <c i="7" r="Q78"/>
  <c i="7" r="R78" s="1"/>
  <c i="7" r="Q29"/>
  <c i="7" r="R29" s="1"/>
  <c i="7" r="Q34"/>
  <c i="7" r="R34" s="1"/>
  <c i="7" r="Q12"/>
  <c i="7" r="R12" s="1"/>
  <c i="7" r="Q43"/>
  <c i="7" r="R43" s="1"/>
  <c i="7" r="Q79"/>
  <c i="7" r="R79" s="1"/>
  <c i="7" r="Q94"/>
  <c i="7" r="R94" s="1"/>
  <c i="7" r="Q13"/>
  <c i="7" r="R13" s="1"/>
  <c i="7" r="Q44"/>
  <c i="7" r="R44" s="1"/>
  <c i="7" r="M48"/>
  <c i="7" r="M102"/>
  <c i="7" r="Q4"/>
  <c i="7" r="R4" s="1"/>
  <c i="7" r="Q28"/>
  <c i="7" r="R28" s="1"/>
  <c i="7" r="Q76"/>
  <c i="7" r="R76" s="1"/>
  <c i="7" r="Q100"/>
  <c i="7" r="R100" s="1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1" r="H15"/>
  <c i="1" r="J13"/>
  <c i="7" l="1" r="K13"/>
  <c i="7" r="K14"/>
  <c i="7" r="D35" s="1"/>
  <c i="7" r="D45" s="1"/>
  <c i="7" r="Q48" s="1"/>
  <c i="7" r="R48" s="1"/>
  <c i="7" r="K12"/>
  <c i="7" r="D33" s="1"/>
  <c i="7" r="D43" s="1"/>
  <c i="7" r="Q46" s="1"/>
  <c i="7" r="R46" s="1"/>
  <c i="7" r="K15"/>
  <c i="7" r="D36" s="1"/>
  <c i="7" r="D46" s="1"/>
  <c i="7" r="Q54"/>
  <c i="7" r="R54" s="1"/>
  <c i="7" r="Q52"/>
  <c i="7" r="R52" s="1"/>
  <c i="7" r="D34"/>
  <c i="7" r="D44" s="1"/>
  <c i="1" r="G26"/>
  <c i="1" r="B26"/>
  <c i="1" r="E26"/>
  <c i="1" r="F26"/>
  <c i="1" r="C26"/>
  <c i="1" r="D26"/>
  <c i="1" r="H26"/>
  <c i="1" r="S15"/>
  <c i="7" l="1" r="Q55"/>
  <c i="7" r="R55" s="1"/>
  <c i="7" r="Q49"/>
  <c i="7" r="R49" s="1"/>
  <c i="7" r="Q53"/>
  <c i="7" r="R53" s="1"/>
  <c i="7" r="Q47"/>
  <c i="7" r="R47" s="1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J23"/>
  <c i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D39"/>
  <c i="1" r="E39"/>
  <c i="1" r="F39"/>
  <c i="1" r="G39"/>
  <c i="1" r="J39"/>
  <c i="1" r="AD39"/>
  <c i="1" r="AA39"/>
  <c i="1" r="AC39"/>
  <c i="1" r="X39"/>
  <c i="1" r="AB39"/>
  <c i="1" r="AF39"/>
  <c i="1" r="Y39"/>
  <c i="1" r="Z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<sst xmlns="http://schemas.openxmlformats.org/spreadsheetml/2006/main" count="724" uniqueCount="351">
  <si>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</si>
  <si>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</si>
  <si>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</si>
  <si>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</si>
  <si>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</si>
  <si>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</si>
  <si>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</si>
  <si>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</si>
  <si>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</si>
  <si>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</si>
  <si>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</si>
  <si>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</si>
  <si>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</si>
  <si>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</si>
  <si>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</si>
  <si>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</si>
  <si>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</si>
  <si>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</si>
  <si>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</si>
  <si>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</si>
  <si>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</si>
  <si>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</si>
  <si>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</si>
  <si>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</si>
  <si>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</si>
  <si>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</si>
  <si>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</si>
  <si>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</si>
  <si>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</si>
  <si>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</si>
  <si>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</si>
  <si>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</si>
  <si>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</si>
  <si>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</si>
  <si>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</si>
  <si>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</si>
  <si>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</si>
  <si>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</si>
  <si>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</si>
  <si>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</si>
  <si>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</si>
  <si>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</si>
  <si>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</si>
  <si>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</si>
  <si>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</si>
  <si>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</si>
  <si>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</si>
  <si>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</si>
  <si>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</si>
  <si>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</si>
  <si>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</si>
  <si>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</si>
  <si>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</si>
  <si>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</si>
  <si>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</si>
  <si>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</si>
  <si>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</si>
  <si>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</si>
  <si>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</si>
  <si>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</si>
  <si>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</si>
  <si>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</si>
  <si>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</si>
  <si>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</si>
  <si>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</si>
  <si>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</si>
  <si>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</si>
  <si>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</si>
  <si>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</si>
  <si>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</si>
  <si>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</si>
  <si>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</si>
  <si>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</si>
  <si>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</si>
  <si>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</si>
  <si>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</si>
  <si>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</si>
  <si>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</si>
  <si>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</si>
  <si>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</si>
  <si>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</si>
  <si>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</si>
  <si>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</si>
  <si>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</si>
  <si>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</si>
  <si>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</si>
  <si>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</si>
  <si>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</si>
  <si>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</si>
  <si>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</si>
  <si>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</si>
  <si>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</si>
  <si>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</si>
  <si>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</si>
  <si>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</si>
  <si>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</si>
  <si>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</si>
  <si>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</si>
  <si>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</si>
  <si>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</si>
  <si>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</si>
  <si>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</si>
  <si>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</si>
  <si>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</si>
  <si>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</si>
  <si>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</si>
  <si>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</si>
  <si>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</si>
  <si>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</si>
  <si>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</si>
  <si>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</si>
  <si>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</si>
  <si>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</si>
  <si>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</si>
  <si>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</si>
  <si>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</si>
  <si>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</si>
  <si>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</si>
  <si>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</si>
  <si>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</si>
  <si>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</si>
  <si>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</si>
  <si>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</si>
  <si>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</si>
  <si>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</si>
  <si>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</si>
  <si>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</si>
  <si>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</si>
  <si>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</si>
  <si>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</si>
  <si>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</si>
  <si>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</si>
  <si>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</si>
  <si>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</si>
  <si>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</si>
  <si>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</si>
  <si>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</si>
  <si>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</si>
  <si>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</si>
  <si>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</si>
  <si>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</si>
  <si>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</si>
  <si>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</si>
  <si>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</si>
  <si>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</si>
  <si>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</si>
  <si>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</si>
  <si>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</si>
  <si>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</si>
  <si>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</si>
  <si>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</si>
  <si>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</si>
  <si>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</si>
  <si>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</si>
  <si>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</si>
  <si>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</si>
  <si>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</si>
  <si>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</si>
  <si>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</si>
  <si>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</si>
  <si>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</si>
  <si>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</si>
  <si>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</si>
  <si>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</si>
  <si>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</si>
  <si>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</si>
  <si>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</si>
  <si>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</si>
  <si>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</si>
  <si>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</si>
  <si>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</si>
  <si>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</si>
  <si>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</si>
  <si>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</si>
  <si>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</si>
  <si>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</si>
  <si>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</si>
  <si>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</si>
  <si>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</si>
  <si>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</si>
  <si>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</si>
  <si>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</si>
  <si>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</si>
  <si>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</si>
  <si>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</si>
  <si>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</si>
  <si>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</si>
  <si>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</si>
  <si>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</si>
  <si>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</si>
  <si>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</si>
  <si>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</si>
  <si>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</si>
  <si>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</si>
  <si>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</si>
  <si>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</si>
  <si>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</si>
  <si>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</si>
  <si>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</si>
  <si>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</si>
  <si>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</si>
  <si>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</si>
  <si>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</si>
  <si>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</si>
  <si>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</si>
  <si>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</si>
  <si>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</si>
  <si>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</si>
  <si>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</si>
  <si>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</si>
  <si>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</si>
  <si>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</si>
  <si>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</si>
  <si>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</si>
  <si>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</si>
  <si>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</si>
  <si>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</si>
  <si>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</si>
  <si>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</si>
  <si>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</si>
  <si>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</si>
  <si>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</si>
  <si>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</si>
  <si>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</si>
  <si>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</si>
  <si>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</si>
  <si>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</si>
  <si>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</si>
  <si>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</si>
  <si>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</si>
  <si>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</si>
  <si>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</si>
  <si>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</si>
  <si>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</si>
  <si>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</si>
  <si>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</si>
  <si>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</si>
  <si>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</si>
  <si>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</si>
  <si>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</si>
  <si>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</si>
  <si>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</si>
  <si>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</si>
  <si>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</si>
  <si>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</si>
  <si>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</si>
  <si>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</si>
  <si>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</si>
  <si>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</si>
  <si>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</si>
  <si>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</si>
  <si>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</si>
  <si>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</si>
  <si>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</si>
  <si>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</si>
  <si>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</si>
  <si>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</si>
  <si>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</si>
  <si>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</si>
  <si>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</si>
  <si>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</si>
  <si>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</si>
  <si>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</si>
  <si>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</si>
  <si>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</si>
  <si>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</si>
  <si>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</si>
  <si>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</si>
  <si>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</si>
  <si>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</si>
  <si>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</si>
  <si>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</si>
  <si>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</si>
  <si>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</si>
  <si>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</si>
  <si>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</si>
  <si>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</si>
  <si>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</si>
  <si>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</si>
  <si>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</si>
  <si>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</si>
  <si>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</si>
  <si>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</si>
  <si>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</si>
  <si>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</si>
  <si>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</si>
  <si>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</si>
  <si>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svn</t>
  </si>
  <si>
    <t>v1799,</t>
  </si>
  <si>
    <t>alo</t>
  </si>
  <si>
    <t>v0601)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</si>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</sst>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  <xf applyAlignment="1" applyFont="1" borderId="0" fillId="0" fontId="1" numFmtId="0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0.14326605791492059</c:v>
                </c:pt>
                <c:pt idx="1">
                  <c:v>0.1934560828941721</c:v>
                </c:pt>
                <c:pt idx="2">
                  <c:v>0.13515133512298755</c:v>
                </c:pt>
                <c:pt idx="3">
                  <c:v>0.10912585919278328</c:v>
                </c:pt>
                <c:pt idx="4">
                  <c:v>0.12121071028277325</c:v>
                </c:pt>
                <c:pt idx="5">
                  <c:v>5.6664232527744891E-2</c:v>
                </c:pt>
                <c:pt idx="6">
                  <c:v>5.9549390749040677E-2</c:v>
                </c:pt>
                <c:pt idx="7">
                  <c:v>3.4004801975942724E-2</c:v>
                </c:pt>
                <c:pt idx="8">
                  <c:v>2.7995180592162012E-2</c:v>
                </c:pt>
                <c:pt idx="9">
                  <c:v>1.6332737101154276E-2</c:v>
                </c:pt>
                <c:pt idx="10">
                  <c:v>2.134056151836574E-2</c:v>
                </c:pt>
                <c:pt idx="11">
                  <c:v>8.049280031187489E-3</c:v>
                </c:pt>
                <c:pt idx="12">
                  <c:v>9.9136231494114258E-3</c:v>
                </c:pt>
                <c:pt idx="13">
                  <c:v>9.1176899565331791E-3</c:v>
                </c:pt>
                <c:pt idx="14">
                  <c:v>3.6045294577031267E-3</c:v>
                </c:pt>
                <c:pt idx="15">
                  <c:v>1.162776757376939E-2</c:v>
                </c:pt>
                <c:pt idx="16">
                  <c:v>6.8448149182571399E-3</c:v>
                </c:pt>
                <c:pt idx="17">
                  <c:v>7.4280104025143045E-3</c:v>
                </c:pt>
                <c:pt idx="18">
                  <c:v>1.1060522710485087E-3</c:v>
                </c:pt>
                <c:pt idx="19">
                  <c:v>3.4761693529061836E-4</c:v>
                </c:pt>
                <c:pt idx="20">
                  <c:v>7.3244206947726187E-5</c:v>
                </c:pt>
                <c:pt idx="21">
                  <c:v>1.5940013977739888E-2</c:v>
                </c:pt>
                <c:pt idx="22">
                  <c:v>3.0500333324256872E-4</c:v>
                </c:pt>
                <c:pt idx="23">
                  <c:v>2.027621903696329E-3</c:v>
                </c:pt>
                <c:pt idx="24">
                  <c:v>7.3734146367651415E-4</c:v>
                </c:pt>
                <c:pt idx="25">
                  <c:v>0</c:v>
                </c:pt>
                <c:pt idx="26">
                  <c:v>1.8345535826831647E-5</c:v>
                </c:pt>
                <c:pt idx="27">
                  <c:v>1.3947413470403935E-4</c:v>
                </c:pt>
                <c:pt idx="28">
                  <c:v>7.2240764331750221E-5</c:v>
                </c:pt>
                <c:pt idx="29">
                  <c:v>6.8234689887910224E-5</c:v>
                </c:pt>
                <c:pt idx="30">
                  <c:v>0</c:v>
                </c:pt>
                <c:pt idx="31">
                  <c:v>0</c:v>
                </c:pt>
                <c:pt idx="32">
                  <c:v>9.7000044879221473E-5</c:v>
                </c:pt>
                <c:pt idx="33">
                  <c:v>3.7882286165297463E-3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4.1223528671917753E-4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6.8939495758192187E-5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0.11514604552552037</c:v>
                </c:pt>
                <c:pt idx="1">
                  <c:v>0.18867735327402696</c:v>
                </c:pt>
                <c:pt idx="2">
                  <c:v>0.1726044666007707</c:v>
                </c:pt>
                <c:pt idx="3">
                  <c:v>0.11989724048686617</c:v>
                </c:pt>
                <c:pt idx="4">
                  <c:v>8.9351115695178618E-2</c:v>
                </c:pt>
                <c:pt idx="5">
                  <c:v>6.9653950654423383E-2</c:v>
                </c:pt>
                <c:pt idx="6">
                  <c:v>5.3733866231180254E-2</c:v>
                </c:pt>
                <c:pt idx="7">
                  <c:v>3.7995234479827715E-2</c:v>
                </c:pt>
                <c:pt idx="8">
                  <c:v>3.0708477182326509E-2</c:v>
                </c:pt>
                <c:pt idx="9">
                  <c:v>2.0886157548669904E-2</c:v>
                </c:pt>
                <c:pt idx="10">
                  <c:v>1.6497867931105286E-2</c:v>
                </c:pt>
                <c:pt idx="11">
                  <c:v>1.3222169696448779E-2</c:v>
                </c:pt>
                <c:pt idx="12">
                  <c:v>1.1269165938468445E-2</c:v>
                </c:pt>
                <c:pt idx="13">
                  <c:v>1.0400103141518759E-2</c:v>
                </c:pt>
                <c:pt idx="14">
                  <c:v>8.8052296570067003E-3</c:v>
                </c:pt>
                <c:pt idx="15">
                  <c:v>6.9047516724683768E-3</c:v>
                </c:pt>
                <c:pt idx="16">
                  <c:v>5.2334770629497516E-3</c:v>
                </c:pt>
                <c:pt idx="17">
                  <c:v>3.9824086409672383E-3</c:v>
                </c:pt>
                <c:pt idx="18">
                  <c:v>3.309123726846878E-3</c:v>
                </c:pt>
                <c:pt idx="19">
                  <c:v>3.1228959846433739E-3</c:v>
                </c:pt>
                <c:pt idx="20">
                  <c:v>2.4400609298971926E-3</c:v>
                </c:pt>
                <c:pt idx="21">
                  <c:v>2.5594376877199516E-3</c:v>
                </c:pt>
                <c:pt idx="22">
                  <c:v>1.9959793907965294E-3</c:v>
                </c:pt>
                <c:pt idx="23">
                  <c:v>1.5996485548249698E-3</c:v>
                </c:pt>
                <c:pt idx="24">
                  <c:v>1.456396445437659E-3</c:v>
                </c:pt>
                <c:pt idx="25">
                  <c:v>1.2797188438599758E-3</c:v>
                </c:pt>
                <c:pt idx="26">
                  <c:v>1.1173664532210237E-3</c:v>
                </c:pt>
                <c:pt idx="27">
                  <c:v>8.5951265632386439E-4</c:v>
                </c:pt>
                <c:pt idx="28">
                  <c:v>8.1653702350767117E-4</c:v>
                </c:pt>
                <c:pt idx="29">
                  <c:v>9.1203842976587826E-4</c:v>
                </c:pt>
                <c:pt idx="30">
                  <c:v>7.1148547662364331E-4</c:v>
                </c:pt>
                <c:pt idx="31">
                  <c:v>4.1065604691029078E-4</c:v>
                </c:pt>
                <c:pt idx="32">
                  <c:v>3.6290534378118717E-4</c:v>
                </c:pt>
                <c:pt idx="33">
                  <c:v>2.7217900783589041E-4</c:v>
                </c:pt>
                <c:pt idx="34">
                  <c:v>2.148781640809661E-4</c:v>
                </c:pt>
                <c:pt idx="35">
                  <c:v>1.7190253126477288E-4</c:v>
                </c:pt>
                <c:pt idx="36">
                  <c:v>1.4802717970022108E-4</c:v>
                </c:pt>
                <c:pt idx="37">
                  <c:v>1.7190253126477288E-4</c:v>
                </c:pt>
                <c:pt idx="38">
                  <c:v>1.2892689844857966E-4</c:v>
                </c:pt>
                <c:pt idx="39">
                  <c:v>1.6235239063895217E-4</c:v>
                </c:pt>
                <c:pt idx="40">
                  <c:v>1.2892689844857966E-4</c:v>
                </c:pt>
                <c:pt idx="41">
                  <c:v>8.5951265632386439E-5</c:v>
                </c:pt>
                <c:pt idx="42">
                  <c:v>9.0726335945296794E-5</c:v>
                </c:pt>
                <c:pt idx="43">
                  <c:v>7.1626054693655361E-5</c:v>
                </c:pt>
                <c:pt idx="44">
                  <c:v>3.8200562503282858E-5</c:v>
                </c:pt>
                <c:pt idx="45">
                  <c:v>2.8650421877462145E-5</c:v>
                </c:pt>
                <c:pt idx="46">
                  <c:v>4.7750703129103574E-5</c:v>
                </c:pt>
                <c:pt idx="47">
                  <c:v>1.9100281251641429E-5</c:v>
                </c:pt>
                <c:pt idx="48">
                  <c:v>4.7750703129103574E-5</c:v>
                </c:pt>
                <c:pt idx="49">
                  <c:v>0</c:v>
                </c:pt>
                <c:pt idx="50">
                  <c:v>3.8200562503282858E-5</c:v>
                </c:pt>
                <c:pt idx="51">
                  <c:v>4.7750703129103573E-6</c:v>
                </c:pt>
                <c:pt idx="52">
                  <c:v>0</c:v>
                </c:pt>
                <c:pt idx="53">
                  <c:v>1.4325210938731073E-5</c:v>
                </c:pt>
                <c:pt idx="54">
                  <c:v>3.8200562503282858E-5</c:v>
                </c:pt>
                <c:pt idx="55">
                  <c:v>3.8200562503282858E-5</c:v>
                </c:pt>
                <c:pt idx="56">
                  <c:v>3.8200562503282858E-5</c:v>
                </c:pt>
                <c:pt idx="57">
                  <c:v>9.5501406258207145E-6</c:v>
                </c:pt>
                <c:pt idx="58">
                  <c:v>9.5501406258207145E-6</c:v>
                </c:pt>
                <c:pt idx="59">
                  <c:v>4.7750703129103573E-6</c:v>
                </c:pt>
                <c:pt idx="60">
                  <c:v>4.7750703129103573E-6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2.345315734889019E-2</c:v>
                </c:pt>
                <c:pt idx="1">
                  <c:v>6.6590631662756763E-2</c:v>
                </c:pt>
                <c:pt idx="2">
                  <c:v>8.9205831107292327E-2</c:v>
                </c:pt>
                <c:pt idx="3">
                  <c:v>0.10311072433343393</c:v>
                </c:pt>
                <c:pt idx="4">
                  <c:v>9.1568243409820338E-2</c:v>
                </c:pt>
                <c:pt idx="5">
                  <c:v>6.0186927520510677E-2</c:v>
                </c:pt>
                <c:pt idx="6">
                  <c:v>0.10277050247060546</c:v>
                </c:pt>
                <c:pt idx="7">
                  <c:v>4.4954606927767163E-2</c:v>
                </c:pt>
                <c:pt idx="8">
                  <c:v>6.753467190101313E-2</c:v>
                </c:pt>
                <c:pt idx="9">
                  <c:v>3.5509795512831378E-2</c:v>
                </c:pt>
                <c:pt idx="10">
                  <c:v>8.0753510328974418E-2</c:v>
                </c:pt>
                <c:pt idx="11">
                  <c:v>1.4574365002487429E-2</c:v>
                </c:pt>
                <c:pt idx="12">
                  <c:v>1.3330930356134923E-2</c:v>
                </c:pt>
                <c:pt idx="13">
                  <c:v>3.762689241003378E-2</c:v>
                </c:pt>
                <c:pt idx="14">
                  <c:v>6.513054948864015E-3</c:v>
                </c:pt>
                <c:pt idx="15">
                  <c:v>3.8678106628711288E-2</c:v>
                </c:pt>
                <c:pt idx="16">
                  <c:v>3.6733469277399164E-2</c:v>
                </c:pt>
                <c:pt idx="17">
                  <c:v>2.2210542876685922E-3</c:v>
                </c:pt>
                <c:pt idx="18">
                  <c:v>2.7504661957324303E-3</c:v>
                </c:pt>
                <c:pt idx="19">
                  <c:v>4.3352034121578445E-3</c:v>
                </c:pt>
                <c:pt idx="20">
                  <c:v>1.0281778860639895E-2</c:v>
                </c:pt>
                <c:pt idx="21">
                  <c:v>4.0962588775495315E-3</c:v>
                </c:pt>
                <c:pt idx="22">
                  <c:v>2.6070598941188329E-3</c:v>
                </c:pt>
                <c:pt idx="23">
                  <c:v>7.7845522523962438E-3</c:v>
                </c:pt>
                <c:pt idx="24">
                  <c:v>1.3486888082082855E-3</c:v>
                </c:pt>
                <c:pt idx="25">
                  <c:v>3.1231419407449735E-3</c:v>
                </c:pt>
                <c:pt idx="26">
                  <c:v>6.1558049624086501E-3</c:v>
                </c:pt>
                <c:pt idx="27">
                  <c:v>1.1406437383276383E-2</c:v>
                </c:pt>
                <c:pt idx="28">
                  <c:v>5.7839132689629534E-4</c:v>
                </c:pt>
                <c:pt idx="29">
                  <c:v>6.1879134720101764E-3</c:v>
                </c:pt>
                <c:pt idx="30">
                  <c:v>1.151260203075399E-2</c:v>
                </c:pt>
                <c:pt idx="31">
                  <c:v>3.4419118018109578E-4</c:v>
                </c:pt>
                <c:pt idx="32">
                  <c:v>9.1779183268429434E-5</c:v>
                </c:pt>
                <c:pt idx="33">
                  <c:v>4.6806758457036395E-3</c:v>
                </c:pt>
                <c:pt idx="34">
                  <c:v>6.1152213672059175E-4</c:v>
                </c:pt>
                <c:pt idx="35">
                  <c:v>1.473059680268171E-4</c:v>
                </c:pt>
                <c:pt idx="36">
                  <c:v>0</c:v>
                </c:pt>
                <c:pt idx="37">
                  <c:v>4.7731959637270217E-4</c:v>
                </c:pt>
                <c:pt idx="38">
                  <c:v>1.4462492533210587E-3</c:v>
                </c:pt>
                <c:pt idx="39">
                  <c:v>0</c:v>
                </c:pt>
                <c:pt idx="40">
                  <c:v>0</c:v>
                </c:pt>
                <c:pt idx="41">
                  <c:v>6.8234689887910265E-5</c:v>
                </c:pt>
                <c:pt idx="42">
                  <c:v>1.6580187224565955E-4</c:v>
                </c:pt>
                <c:pt idx="43">
                  <c:v>0</c:v>
                </c:pt>
                <c:pt idx="44">
                  <c:v>3.7882286165297485E-3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3.7730108725470083E-4</c:v>
                </c:pt>
                <c:pt idx="50">
                  <c:v>3.4934199464476933E-5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9.7000044879221527E-5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1.9754465884510148E-2</c:v>
                </c:pt>
                <c:pt idx="1">
                  <c:v>5.0334016168388077E-2</c:v>
                </c:pt>
                <c:pt idx="2">
                  <c:v>7.1306124982690372E-2</c:v>
                </c:pt>
                <c:pt idx="3">
                  <c:v>9.3027919836119591E-2</c:v>
                </c:pt>
                <c:pt idx="4">
                  <c:v>0.1003672029070628</c:v>
                </c:pt>
                <c:pt idx="5">
                  <c:v>9.2192282531360276E-2</c:v>
                </c:pt>
                <c:pt idx="6">
                  <c:v>7.8397104397362249E-2</c:v>
                </c:pt>
                <c:pt idx="7">
                  <c:v>6.6010572005672785E-2</c:v>
                </c:pt>
                <c:pt idx="8">
                  <c:v>5.6126176457948346E-2</c:v>
                </c:pt>
                <c:pt idx="9">
                  <c:v>5.0357891519952631E-2</c:v>
                </c:pt>
                <c:pt idx="10">
                  <c:v>4.5000262628867208E-2</c:v>
                </c:pt>
                <c:pt idx="11">
                  <c:v>4.044484555035073E-2</c:v>
                </c:pt>
                <c:pt idx="12">
                  <c:v>3.3979400346670102E-2</c:v>
                </c:pt>
                <c:pt idx="13">
                  <c:v>3.141518758863724E-2</c:v>
                </c:pt>
                <c:pt idx="14">
                  <c:v>2.5680328142831905E-2</c:v>
                </c:pt>
                <c:pt idx="15">
                  <c:v>2.0609203470521104E-2</c:v>
                </c:pt>
                <c:pt idx="16">
                  <c:v>1.6879873556138115E-2</c:v>
                </c:pt>
                <c:pt idx="17">
                  <c:v>1.3031166883932365E-2</c:v>
                </c:pt>
                <c:pt idx="18">
                  <c:v>1.0996986930632554E-2</c:v>
                </c:pt>
                <c:pt idx="19">
                  <c:v>9.440314008623777E-3</c:v>
                </c:pt>
                <c:pt idx="20">
                  <c:v>8.2083458678929039E-3</c:v>
                </c:pt>
                <c:pt idx="21">
                  <c:v>7.3965839146981436E-3</c:v>
                </c:pt>
                <c:pt idx="22">
                  <c:v>7.0480037818556876E-3</c:v>
                </c:pt>
                <c:pt idx="23">
                  <c:v>6.1120900005252575E-3</c:v>
                </c:pt>
                <c:pt idx="24">
                  <c:v>5.314653258269228E-3</c:v>
                </c:pt>
                <c:pt idx="25">
                  <c:v>4.5983927113326739E-3</c:v>
                </c:pt>
                <c:pt idx="26">
                  <c:v>4.1256607503545491E-3</c:v>
                </c:pt>
                <c:pt idx="27">
                  <c:v>3.7102296331313479E-3</c:v>
                </c:pt>
                <c:pt idx="28">
                  <c:v>2.9987441565077046E-3</c:v>
                </c:pt>
                <c:pt idx="29">
                  <c:v>2.8029662736783799E-3</c:v>
                </c:pt>
                <c:pt idx="30">
                  <c:v>2.3684348752035372E-3</c:v>
                </c:pt>
                <c:pt idx="31">
                  <c:v>2.2872586798840613E-3</c:v>
                </c:pt>
                <c:pt idx="32">
                  <c:v>1.7667760157768324E-3</c:v>
                </c:pt>
                <c:pt idx="33">
                  <c:v>1.6664995392057149E-3</c:v>
                </c:pt>
                <c:pt idx="34">
                  <c:v>1.590098414199149E-3</c:v>
                </c:pt>
                <c:pt idx="35">
                  <c:v>1.3513448985536312E-3</c:v>
                </c:pt>
                <c:pt idx="36">
                  <c:v>1.3035941954245276E-3</c:v>
                </c:pt>
                <c:pt idx="37">
                  <c:v>1.1316916641597547E-3</c:v>
                </c:pt>
                <c:pt idx="38">
                  <c:v>1.0648406797790098E-3</c:v>
                </c:pt>
                <c:pt idx="39">
                  <c:v>9.4546392195625083E-4</c:v>
                </c:pt>
                <c:pt idx="40">
                  <c:v>8.0221181256894003E-4</c:v>
                </c:pt>
                <c:pt idx="41">
                  <c:v>7.7356139069147795E-4</c:v>
                </c:pt>
                <c:pt idx="42">
                  <c:v>6.8761012505909151E-4</c:v>
                </c:pt>
                <c:pt idx="43">
                  <c:v>5.3003280473304967E-4</c:v>
                </c:pt>
                <c:pt idx="44">
                  <c:v>5.3480787504596005E-4</c:v>
                </c:pt>
                <c:pt idx="45">
                  <c:v>3.2947985159081466E-4</c:v>
                </c:pt>
                <c:pt idx="46">
                  <c:v>3.4858013284245608E-4</c:v>
                </c:pt>
                <c:pt idx="47">
                  <c:v>3.3425492190372505E-4</c:v>
                </c:pt>
                <c:pt idx="48">
                  <c:v>2.5307872658424894E-4</c:v>
                </c:pt>
                <c:pt idx="49">
                  <c:v>2.4352858595842823E-4</c:v>
                </c:pt>
                <c:pt idx="50">
                  <c:v>2.2442830470678681E-4</c:v>
                </c:pt>
                <c:pt idx="51">
                  <c:v>2.4352858595842823E-4</c:v>
                </c:pt>
                <c:pt idx="52">
                  <c:v>1.8145267189059359E-4</c:v>
                </c:pt>
                <c:pt idx="53">
                  <c:v>1.002764765711175E-4</c:v>
                </c:pt>
                <c:pt idx="54">
                  <c:v>1.5280225001313143E-4</c:v>
                </c:pt>
                <c:pt idx="55">
                  <c:v>6.6850984380745007E-5</c:v>
                </c:pt>
                <c:pt idx="56">
                  <c:v>4.7750703129103574E-5</c:v>
                </c:pt>
                <c:pt idx="57">
                  <c:v>1.1937675782275894E-4</c:v>
                </c:pt>
                <c:pt idx="58">
                  <c:v>1.0505154688402787E-4</c:v>
                </c:pt>
                <c:pt idx="59">
                  <c:v>8.1176195319476084E-5</c:v>
                </c:pt>
                <c:pt idx="60">
                  <c:v>5.730084375492429E-5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K11" sqref="K1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4701.535291814325</v>
      </c>
      <c r="C11" s="10">
        <f>B11/B$102</f>
        <v>0.14326605791492059</v>
      </c>
      <c r="E11" s="18">
        <v>0</v>
      </c>
      <c r="F11" s="248" t="n">
        <v>6182.0</v>
      </c>
      <c r="G11" s="10">
        <f>F11/F$102</f>
        <v>0.11514604552552037</v>
      </c>
      <c r="K11" s="8" t="n">
        <v>5.769127663228035</v>
      </c>
      <c r="L11" s="8" t="n">
        <v>5.901663138244034</v>
      </c>
    </row>
    <row r="12" spans="1:12" x14ac:dyDescent="0.25">
      <c r="A12">
        <v>1</v>
      </c>
      <c r="B12" s="246" t="n">
        <v>20882.662661545106</v>
      </c>
      <c r="C12" s="10">
        <f>B12/B$102</f>
        <v>0.1934560828941721</v>
      </c>
      <c r="E12" s="19">
        <v>1</v>
      </c>
      <c r="F12" s="248" t="n">
        <v>8252.0</v>
      </c>
      <c r="G12" s="10">
        <f>F12/F$102</f>
        <v>0.18867735327402696</v>
      </c>
      <c r="K12" s="8"/>
      <c r="L12" s="198"/>
    </row>
    <row r="13" spans="1:12" x14ac:dyDescent="0.25">
      <c r="A13">
        <v>2</v>
      </c>
      <c r="B13" s="246" t="n">
        <v>11813.767372624186</v>
      </c>
      <c r="C13" s="10">
        <f ref="C13:C76" si="0" t="shared">B13/B$102</f>
        <v>0.13515133512298755</v>
      </c>
      <c r="E13" s="20">
        <v>2</v>
      </c>
      <c r="F13" s="248" t="n">
        <v>11312.0</v>
      </c>
      <c r="G13" s="10">
        <f ref="G13:G76" si="1" t="shared">F13/F$102</f>
        <v>0.1726044666007707</v>
      </c>
    </row>
    <row r="14" spans="1:12" x14ac:dyDescent="0.25">
      <c r="A14">
        <v>3</v>
      </c>
      <c r="B14" s="246" t="n">
        <v>15067.631654211315</v>
      </c>
      <c r="C14" s="10">
        <f si="0" t="shared"/>
        <v>0.10912585919278328</v>
      </c>
      <c r="E14" s="21">
        <v>3</v>
      </c>
      <c r="F14" s="248" t="n">
        <v>13383.0</v>
      </c>
      <c r="G14" s="10">
        <f si="1" t="shared"/>
        <v>0.11989724048686617</v>
      </c>
    </row>
    <row r="15" spans="1:12" x14ac:dyDescent="0.25">
      <c r="A15">
        <v>4</v>
      </c>
      <c r="B15" s="246" t="n">
        <v>9981.586121638082</v>
      </c>
      <c r="C15" s="10">
        <f si="0" t="shared"/>
        <v>0.12121071028277325</v>
      </c>
      <c r="E15" s="22">
        <v>4</v>
      </c>
      <c r="F15" s="248" t="n">
        <v>11201.0</v>
      </c>
      <c r="G15" s="10">
        <f si="1" t="shared"/>
        <v>8.9351115695178618E-2</v>
      </c>
    </row>
    <row r="16" spans="1:12" x14ac:dyDescent="0.25">
      <c r="A16">
        <v>5</v>
      </c>
      <c r="B16" s="246" t="n">
        <v>9486.084963636318</v>
      </c>
      <c r="C16" s="10">
        <f si="0" t="shared"/>
        <v>5.6664232527744891E-2</v>
      </c>
      <c r="E16" s="23">
        <v>5</v>
      </c>
      <c r="F16" s="248" t="n">
        <v>9141.0</v>
      </c>
      <c r="G16" s="10">
        <f si="1" t="shared"/>
        <v>6.9653950654423383E-2</v>
      </c>
    </row>
    <row r="17" spans="1:7" x14ac:dyDescent="0.25">
      <c r="A17">
        <v>6</v>
      </c>
      <c r="B17" s="246" t="n">
        <v>8362.234509432621</v>
      </c>
      <c r="C17" s="10">
        <f si="0" t="shared"/>
        <v>5.9549390749040677E-2</v>
      </c>
      <c r="E17" s="24">
        <v>6</v>
      </c>
      <c r="F17" s="248" t="n">
        <v>7023.0</v>
      </c>
      <c r="G17" s="10">
        <f si="1" t="shared"/>
        <v>5.3733866231180254E-2</v>
      </c>
    </row>
    <row r="18" spans="1:7" x14ac:dyDescent="0.25">
      <c r="A18">
        <v>7</v>
      </c>
      <c r="B18" s="246" t="n">
        <v>1168.0001193030432</v>
      </c>
      <c r="C18" s="10">
        <f si="0" t="shared"/>
        <v>3.4004801975942724E-2</v>
      </c>
      <c r="E18" s="25">
        <v>7</v>
      </c>
      <c r="F18" s="248" t="n">
        <v>5162.0</v>
      </c>
      <c r="G18" s="10">
        <f si="1" t="shared"/>
        <v>3.7995234479827715E-2</v>
      </c>
    </row>
    <row r="19" spans="1:7" x14ac:dyDescent="0.25">
      <c r="A19">
        <v>8</v>
      </c>
      <c r="B19" s="246" t="n">
        <v>3575.384374314711</v>
      </c>
      <c r="C19" s="10">
        <f si="0" t="shared"/>
        <v>2.7995180592162012E-2</v>
      </c>
      <c r="E19" s="26">
        <v>8</v>
      </c>
      <c r="F19" s="248" t="n">
        <v>4169.0</v>
      </c>
      <c r="G19" s="10">
        <f si="1" t="shared"/>
        <v>3.0708477182326509E-2</v>
      </c>
    </row>
    <row r="20" spans="1:7" x14ac:dyDescent="0.25">
      <c r="A20">
        <v>9</v>
      </c>
      <c r="B20" s="246" t="n">
        <v>3406.940781024182</v>
      </c>
      <c r="C20" s="10">
        <f si="0" t="shared"/>
        <v>1.6332737101154276E-2</v>
      </c>
      <c r="E20" s="27">
        <v>9</v>
      </c>
      <c r="F20" s="248" t="n">
        <v>3425.0</v>
      </c>
      <c r="G20" s="10">
        <f si="1" t="shared"/>
        <v>2.0886157548669904E-2</v>
      </c>
    </row>
    <row r="21" spans="1:7" x14ac:dyDescent="0.25">
      <c r="A21">
        <v>10</v>
      </c>
      <c r="B21" s="246" t="n">
        <v>2777.0465002957517</v>
      </c>
      <c r="C21" s="10">
        <f si="0" t="shared"/>
        <v>2.134056151836574E-2</v>
      </c>
      <c r="E21" s="28">
        <v>10</v>
      </c>
      <c r="F21" s="248" t="n">
        <v>2668.0</v>
      </c>
      <c r="G21" s="10">
        <f si="1" t="shared"/>
        <v>1.6497867931105286E-2</v>
      </c>
    </row>
    <row r="22" spans="1:7" x14ac:dyDescent="0.25">
      <c r="A22">
        <v>11</v>
      </c>
      <c r="B22" s="246" t="n">
        <v>1612.5064516829652</v>
      </c>
      <c r="C22" s="10">
        <f si="0" t="shared"/>
        <v>8.049280031187489E-3</v>
      </c>
      <c r="E22" s="29">
        <v>11</v>
      </c>
      <c r="F22" s="248" t="n">
        <v>2154.0</v>
      </c>
      <c r="G22" s="10">
        <f si="1" t="shared"/>
        <v>1.3222169696448779E-2</v>
      </c>
    </row>
    <row r="23" spans="1:7" x14ac:dyDescent="0.25">
      <c r="A23">
        <v>12</v>
      </c>
      <c r="B23" s="246" t="n">
        <v>992.391503070713</v>
      </c>
      <c r="C23" s="10">
        <f si="0" t="shared"/>
        <v>9.9136231494114258E-3</v>
      </c>
      <c r="E23" s="30">
        <v>12</v>
      </c>
      <c r="F23" s="248" t="n">
        <v>1769.0</v>
      </c>
      <c r="G23" s="10">
        <f si="1" t="shared"/>
        <v>1.1269165938468445E-2</v>
      </c>
    </row>
    <row r="24" spans="1:7" x14ac:dyDescent="0.25">
      <c r="A24">
        <v>13</v>
      </c>
      <c r="B24" s="246" t="n">
        <v>435.9702301001678</v>
      </c>
      <c r="C24" s="10">
        <f si="0" t="shared"/>
        <v>9.1176899565331791E-3</v>
      </c>
      <c r="E24" s="31">
        <v>13</v>
      </c>
      <c r="F24" s="248" t="n">
        <v>1248.0</v>
      </c>
      <c r="G24" s="10">
        <f si="1" t="shared"/>
        <v>1.0400103141518759E-2</v>
      </c>
    </row>
    <row r="25" spans="1:7" x14ac:dyDescent="0.25">
      <c r="A25">
        <v>14</v>
      </c>
      <c r="B25" s="246" t="n">
        <v>1613.9876969286909</v>
      </c>
      <c r="C25" s="10">
        <f si="0" t="shared"/>
        <v>3.6045294577031267E-3</v>
      </c>
      <c r="E25" s="32">
        <v>14</v>
      </c>
      <c r="F25" s="248" t="n">
        <v>992.0</v>
      </c>
      <c r="G25" s="10">
        <f si="1" t="shared"/>
        <v>8.8052296570067003E-3</v>
      </c>
    </row>
    <row r="26" spans="1:7" x14ac:dyDescent="0.25">
      <c r="A26">
        <v>15</v>
      </c>
      <c r="B26" s="246" t="n">
        <v>501.0888394178217</v>
      </c>
      <c r="C26" s="10">
        <f si="0" t="shared"/>
        <v>1.162776757376939E-2</v>
      </c>
      <c r="E26" s="33">
        <v>15</v>
      </c>
      <c r="F26" s="248" t="n">
        <v>700.0</v>
      </c>
      <c r="G26" s="10">
        <f si="1" t="shared"/>
        <v>6.9047516724683768E-3</v>
      </c>
    </row>
    <row r="27" spans="1:7" x14ac:dyDescent="0.25">
      <c r="A27">
        <v>16</v>
      </c>
      <c r="B27" s="246" t="n">
        <v>894.7524962654094</v>
      </c>
      <c r="C27" s="10">
        <f si="0" t="shared"/>
        <v>6.8448149182571399E-3</v>
      </c>
      <c r="E27" s="34">
        <v>16</v>
      </c>
      <c r="F27" s="248" t="n">
        <v>509.0</v>
      </c>
      <c r="G27" s="10">
        <f si="1" t="shared"/>
        <v>5.2334770629497516E-3</v>
      </c>
    </row>
    <row r="28" spans="1:7" x14ac:dyDescent="0.25">
      <c r="A28">
        <v>17</v>
      </c>
      <c r="B28" s="246" t="n">
        <v>1536.246143905485</v>
      </c>
      <c r="C28" s="10">
        <f si="0" t="shared"/>
        <v>7.4280104025143045E-3</v>
      </c>
      <c r="E28" s="35">
        <v>17</v>
      </c>
      <c r="F28" s="248" t="n">
        <v>385.0</v>
      </c>
      <c r="G28" s="10">
        <f si="1" t="shared"/>
        <v>3.9824086409672383E-3</v>
      </c>
    </row>
    <row r="29" spans="1:7" x14ac:dyDescent="0.25">
      <c r="A29">
        <v>18</v>
      </c>
      <c r="B29" s="246" t="n">
        <v>2031.039902949638</v>
      </c>
      <c r="C29" s="10">
        <f si="0" t="shared"/>
        <v>1.1060522710485087E-3</v>
      </c>
      <c r="E29" s="36">
        <v>18</v>
      </c>
      <c r="F29" s="248" t="n">
        <v>327.0</v>
      </c>
      <c r="G29" s="10">
        <f si="1" t="shared"/>
        <v>3.309123726846878E-3</v>
      </c>
    </row>
    <row r="30" spans="1:7" x14ac:dyDescent="0.25">
      <c r="A30">
        <v>19</v>
      </c>
      <c r="B30" s="246" t="n">
        <v>515.8172415635045</v>
      </c>
      <c r="C30" s="10">
        <f si="0" t="shared"/>
        <v>3.4761693529061836E-4</v>
      </c>
      <c r="E30" s="37">
        <v>19</v>
      </c>
      <c r="F30" s="248" t="n">
        <v>221.0</v>
      </c>
      <c r="G30" s="10">
        <f si="1" t="shared"/>
        <v>3.1228959846433739E-3</v>
      </c>
    </row>
    <row r="31" spans="1:7" x14ac:dyDescent="0.25">
      <c r="A31">
        <v>20</v>
      </c>
      <c r="B31" s="246" t="n">
        <v>739.2820415072434</v>
      </c>
      <c r="C31" s="10">
        <f si="0" t="shared"/>
        <v>7.3244206947726187E-5</v>
      </c>
      <c r="E31" s="38">
        <v>20</v>
      </c>
      <c r="F31" s="248" t="n">
        <v>219.0</v>
      </c>
      <c r="G31" s="10">
        <f si="1" t="shared"/>
        <v>2.4400609298971926E-3</v>
      </c>
    </row>
    <row r="32" spans="1:7" x14ac:dyDescent="0.25">
      <c r="A32">
        <v>21</v>
      </c>
      <c r="B32" s="246" t="n">
        <v>0.0</v>
      </c>
      <c r="C32" s="10">
        <f si="0" t="shared"/>
        <v>1.5940013977739888E-2</v>
      </c>
      <c r="E32" s="39">
        <v>21</v>
      </c>
      <c r="F32" s="248" t="n">
        <v>153.0</v>
      </c>
      <c r="G32" s="10">
        <f si="1" t="shared"/>
        <v>2.5594376877199516E-3</v>
      </c>
    </row>
    <row r="33" spans="1:7" x14ac:dyDescent="0.25">
      <c r="A33">
        <v>22</v>
      </c>
      <c r="B33" s="246" t="n">
        <v>902.24014768131</v>
      </c>
      <c r="C33" s="10">
        <f si="0" t="shared"/>
        <v>3.0500333324256872E-4</v>
      </c>
      <c r="E33" s="40">
        <v>22</v>
      </c>
      <c r="F33" s="248" t="n">
        <v>136.0</v>
      </c>
      <c r="G33" s="10">
        <f si="1" t="shared"/>
        <v>1.9959793907965294E-3</v>
      </c>
    </row>
    <row r="34" spans="1:7" x14ac:dyDescent="0.25">
      <c r="A34">
        <v>23</v>
      </c>
      <c r="B34" s="246" t="n">
        <v>0.0</v>
      </c>
      <c r="C34" s="10">
        <f si="0" t="shared"/>
        <v>2.027621903696329E-3</v>
      </c>
      <c r="E34" s="41">
        <v>23</v>
      </c>
      <c r="F34" s="248" t="n">
        <v>126.0</v>
      </c>
      <c r="G34" s="10">
        <f si="1" t="shared"/>
        <v>1.5996485548249698E-3</v>
      </c>
    </row>
    <row r="35" spans="1:7" x14ac:dyDescent="0.25">
      <c r="A35">
        <v>24</v>
      </c>
      <c r="B35" s="246" t="n">
        <v>108.9846073068181</v>
      </c>
      <c r="C35" s="10">
        <f si="0" t="shared"/>
        <v>7.3734146367651415E-4</v>
      </c>
      <c r="E35" s="42">
        <v>24</v>
      </c>
      <c r="F35" s="248" t="n">
        <v>100.0</v>
      </c>
      <c r="G35" s="10">
        <f si="1" t="shared"/>
        <v>1.456396445437659E-3</v>
      </c>
    </row>
    <row r="36" spans="1:7" x14ac:dyDescent="0.25">
      <c r="A36">
        <v>25</v>
      </c>
      <c r="B36" s="246" t="n">
        <v>0.0</v>
      </c>
      <c r="C36" s="10">
        <f si="0" t="shared"/>
        <v>0</v>
      </c>
      <c r="E36" s="43">
        <v>25</v>
      </c>
      <c r="F36" s="248" t="n">
        <v>104.0</v>
      </c>
      <c r="G36" s="10">
        <f si="1" t="shared"/>
        <v>1.2797188438599758E-3</v>
      </c>
    </row>
    <row r="37" spans="1:7" x14ac:dyDescent="0.25">
      <c r="A37">
        <v>26</v>
      </c>
      <c r="B37" s="246" t="n">
        <v>367.45638550267506</v>
      </c>
      <c r="C37" s="10">
        <f si="0" t="shared"/>
        <v>1.8345535826831647E-5</v>
      </c>
      <c r="E37" s="44">
        <v>26</v>
      </c>
      <c r="F37" s="248" t="n">
        <v>76.0</v>
      </c>
      <c r="G37" s="10">
        <f si="1" t="shared"/>
        <v>1.1173664532210237E-3</v>
      </c>
    </row>
    <row r="38" spans="1:7" x14ac:dyDescent="0.25">
      <c r="A38">
        <v>27</v>
      </c>
      <c r="B38" s="246" t="n">
        <v>0.0</v>
      </c>
      <c r="C38" s="10">
        <f si="0" t="shared"/>
        <v>1.3947413470403935E-4</v>
      </c>
      <c r="E38" s="45">
        <v>27</v>
      </c>
      <c r="F38" s="248" t="n">
        <v>52.0</v>
      </c>
      <c r="G38" s="10">
        <f si="1" t="shared"/>
        <v>8.5951265632386439E-4</v>
      </c>
    </row>
    <row r="39" spans="1:7" x14ac:dyDescent="0.25">
      <c r="A39">
        <v>28</v>
      </c>
      <c r="B39" s="246" t="n">
        <v>0.0</v>
      </c>
      <c r="C39" s="10">
        <f si="0" t="shared"/>
        <v>7.2240764331750221E-5</v>
      </c>
      <c r="E39" s="46">
        <v>28</v>
      </c>
      <c r="F39" s="248" t="n">
        <v>76.0</v>
      </c>
      <c r="G39" s="10">
        <f si="1" t="shared"/>
        <v>8.1653702350767117E-4</v>
      </c>
    </row>
    <row r="40" spans="1:7" x14ac:dyDescent="0.25">
      <c r="A40">
        <v>29</v>
      </c>
      <c r="B40" s="246" t="n">
        <v>1100.348277294186</v>
      </c>
      <c r="C40" s="10">
        <f si="0" t="shared"/>
        <v>6.8234689887910224E-5</v>
      </c>
      <c r="E40" s="47">
        <v>29</v>
      </c>
      <c r="F40" s="248" t="n">
        <v>50.0</v>
      </c>
      <c r="G40" s="10">
        <f si="1" t="shared"/>
        <v>9.1203842976587826E-4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60.0</v>
      </c>
      <c r="G41" s="10">
        <f si="1" t="shared"/>
        <v>7.1148547662364331E-4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49">
        <v>31</v>
      </c>
      <c r="F42" s="248" t="n">
        <v>33.0</v>
      </c>
      <c r="G42" s="10">
        <f si="1" t="shared"/>
        <v>4.1065604691029078E-4</v>
      </c>
    </row>
    <row r="43" spans="1:7" x14ac:dyDescent="0.25">
      <c r="A43">
        <v>32</v>
      </c>
      <c r="B43" s="246" t="n">
        <v>0.0</v>
      </c>
      <c r="C43" s="10">
        <f si="0" t="shared"/>
        <v>9.7000044879221473E-5</v>
      </c>
      <c r="E43" s="50">
        <v>32</v>
      </c>
      <c r="F43" s="248" t="n">
        <v>26.0</v>
      </c>
      <c r="G43" s="10">
        <f si="1" t="shared"/>
        <v>3.6290534378118717E-4</v>
      </c>
    </row>
    <row r="44" spans="1:7" x14ac:dyDescent="0.25">
      <c r="A44">
        <v>33</v>
      </c>
      <c r="B44" s="246" t="n">
        <v>0.0</v>
      </c>
      <c r="C44" s="10">
        <f si="0" t="shared"/>
        <v>3.7882286165297463E-3</v>
      </c>
      <c r="E44" s="51">
        <v>33</v>
      </c>
      <c r="F44" s="248" t="n">
        <v>18.0</v>
      </c>
      <c r="G44" s="10">
        <f si="1" t="shared"/>
        <v>2.7217900783589041E-4</v>
      </c>
    </row>
    <row r="45" spans="1:7" x14ac:dyDescent="0.25">
      <c r="A45">
        <v>34</v>
      </c>
      <c r="B45" s="246" t="n">
        <v>0.0</v>
      </c>
      <c r="C45" s="10">
        <f si="0" t="shared"/>
        <v>0</v>
      </c>
      <c r="E45" s="52">
        <v>34</v>
      </c>
      <c r="F45" s="248" t="n">
        <v>16.0</v>
      </c>
      <c r="G45" s="10">
        <f si="1" t="shared"/>
        <v>2.148781640809661E-4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53.0</v>
      </c>
      <c r="G46" s="10">
        <f si="1" t="shared"/>
        <v>1.7190253126477288E-4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12.0</v>
      </c>
      <c r="G47" s="10">
        <f si="1" t="shared"/>
        <v>1.4802717970022108E-4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55">
        <v>37</v>
      </c>
      <c r="F48" s="248" t="n">
        <v>18.0</v>
      </c>
      <c r="G48" s="10">
        <f si="1" t="shared"/>
        <v>1.7190253126477288E-4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46.0</v>
      </c>
      <c r="G49" s="10">
        <f si="1" t="shared"/>
        <v>1.2892689844857966E-4</v>
      </c>
    </row>
    <row r="50" spans="1:7" x14ac:dyDescent="0.25">
      <c r="A50">
        <v>39</v>
      </c>
      <c r="B50" s="246" t="n">
        <v>0.0</v>
      </c>
      <c r="C50" s="10">
        <f si="0" t="shared"/>
        <v>4.1223528671917753E-4</v>
      </c>
      <c r="E50" s="57">
        <v>39</v>
      </c>
      <c r="F50" s="248" t="n">
        <v>13.0</v>
      </c>
      <c r="G50" s="10">
        <f si="1" t="shared"/>
        <v>1.6235239063895217E-4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16.0</v>
      </c>
      <c r="G51" s="10">
        <f si="1" t="shared"/>
        <v>1.2892689844857966E-4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59">
        <v>41</v>
      </c>
      <c r="F52" s="248" t="n">
        <v>25.0</v>
      </c>
      <c r="G52" s="10">
        <f si="1" t="shared"/>
        <v>8.5951265632386439E-5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16.0</v>
      </c>
      <c r="G53" s="10">
        <f si="1" t="shared"/>
        <v>9.0726335945296794E-5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5.0</v>
      </c>
      <c r="G54" s="10">
        <f si="1" t="shared"/>
        <v>7.1626054693655361E-5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4.0</v>
      </c>
      <c r="G55" s="10">
        <f si="1" t="shared"/>
        <v>3.8200562503282858E-5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10.0</v>
      </c>
      <c r="G56" s="10">
        <f si="1" t="shared"/>
        <v>2.8650421877462145E-5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23.0</v>
      </c>
      <c r="G57" s="10">
        <f si="1" t="shared"/>
        <v>4.7750703129103574E-5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3.0</v>
      </c>
      <c r="G58" s="10">
        <f si="1" t="shared"/>
        <v>1.9100281251641429E-5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3.0</v>
      </c>
      <c r="G59" s="10">
        <f si="1" t="shared"/>
        <v>4.7750703129103574E-5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0.0</v>
      </c>
      <c r="G60" s="10">
        <f si="1" t="shared"/>
        <v>0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1.0</v>
      </c>
      <c r="G61" s="10">
        <f si="1" t="shared"/>
        <v>3.8200562503282858E-5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3.0</v>
      </c>
      <c r="G62" s="10">
        <f si="1" t="shared"/>
        <v>4.7750703129103573E-6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13.0</v>
      </c>
      <c r="G63" s="10">
        <f si="1" t="shared"/>
        <v>0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15.0</v>
      </c>
      <c r="G64" s="10">
        <f si="1" t="shared"/>
        <v>1.4325210938731073E-5</v>
      </c>
    </row>
    <row r="65" spans="1:7" x14ac:dyDescent="0.25">
      <c r="A65">
        <v>54</v>
      </c>
      <c r="B65" s="246" t="n">
        <v>0.0</v>
      </c>
      <c r="C65" s="10">
        <f si="0" t="shared"/>
        <v>6.8939495758192187E-5</v>
      </c>
      <c r="E65" s="72">
        <v>54</v>
      </c>
      <c r="F65" s="248" t="n">
        <v>2.0</v>
      </c>
      <c r="G65" s="10">
        <f si="1" t="shared"/>
        <v>3.8200562503282858E-5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2.0</v>
      </c>
      <c r="G66" s="10">
        <f si="1" t="shared"/>
        <v>3.8200562503282858E-5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23.0</v>
      </c>
      <c r="G67" s="10">
        <f si="1" t="shared"/>
        <v>3.8200562503282858E-5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52.0</v>
      </c>
      <c r="G68" s="10">
        <f si="1" t="shared"/>
        <v>9.5501406258207145E-6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6.0</v>
      </c>
      <c r="G69" s="10">
        <f si="1" t="shared"/>
        <v>9.5501406258207145E-6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2.0</v>
      </c>
      <c r="G70" s="10">
        <f si="1" t="shared"/>
        <v>4.7750703129103573E-6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4.0</v>
      </c>
      <c r="G71" s="10">
        <f si="1" t="shared"/>
        <v>4.7750703129103573E-6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18.0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0.0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5.0</v>
      </c>
      <c r="G74" s="10">
        <f si="1" t="shared"/>
        <v>0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0.0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3.0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1.0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12.0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24.0</v>
      </c>
      <c r="G79" s="10">
        <f si="3" t="shared"/>
        <v>4.7750703129103573E-6</v>
      </c>
    </row>
    <row r="80" spans="1:7" x14ac:dyDescent="0.25">
      <c r="A80">
        <v>69</v>
      </c>
      <c r="B80" s="246" t="n">
        <v>0.0</v>
      </c>
      <c r="C80" s="10">
        <f si="2" t="shared"/>
        <v>1.1574197829770028E-4</v>
      </c>
      <c r="E80" s="87">
        <v>69</v>
      </c>
      <c r="F80" s="248" t="n">
        <v>2.0</v>
      </c>
      <c r="G80" s="10">
        <f si="3" t="shared"/>
        <v>4.7750703129103573E-6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1.0</v>
      </c>
      <c r="G81" s="10">
        <f si="3" t="shared"/>
        <v>9.5501406258207145E-6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1.0</v>
      </c>
      <c r="G82" s="10">
        <f si="3" t="shared"/>
        <v>4.7750703129103573E-6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1.0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1.0</v>
      </c>
      <c r="G84" s="10">
        <f si="3" t="shared"/>
        <v>4.7750703129103573E-6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2.0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4.0</v>
      </c>
      <c r="G86" s="10">
        <f si="3" t="shared"/>
        <v>4.7750703129103573E-6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0.0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12.0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2.0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1.0</v>
      </c>
      <c r="G90" s="10">
        <f si="3" t="shared"/>
        <v>4.7750703129103573E-6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0.0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0.0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4.7750703129103573E-6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0.0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0.0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2.0</v>
      </c>
      <c r="G96" s="10">
        <f si="3" t="shared"/>
        <v>4.7750703129103573E-6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1.0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0.0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1.0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29.0</v>
      </c>
      <c r="G101" s="10">
        <f si="3" t="shared"/>
        <v>0</v>
      </c>
    </row>
    <row r="102" spans="1:7" x14ac:dyDescent="0.25">
      <c r="B102" s="246">
        <f>SUM(B11:B101)</f>
        <v>206880.16366714865</v>
      </c>
      <c r="C102" s="10">
        <f si="2" t="shared"/>
        <v>1</v>
      </c>
      <c r="F102" s="246">
        <f>SUM(F11:F101)</f>
        <v>209421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F11" sqref="F11:F101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2.345315734889019E-2</v>
      </c>
      <c r="E11" s="108">
        <v>0</v>
      </c>
      <c r="F11" s="248" t="n">
        <v>1402.0</v>
      </c>
      <c r="G11" s="10">
        <f>F11/F$102</f>
        <v>1.9754465884510148E-2</v>
      </c>
      <c r="K11" s="8" t="n">
        <v>13.4203702132081</v>
      </c>
      <c r="L11" s="8" t="n">
        <v>15.139175527137741</v>
      </c>
    </row>
    <row r="12" spans="1:12" x14ac:dyDescent="0.25">
      <c r="A12">
        <v>1</v>
      </c>
      <c r="B12" s="246" t="n">
        <v>0.0</v>
      </c>
      <c r="C12" s="10">
        <f>B12/B$102</f>
        <v>6.6590631662756763E-2</v>
      </c>
      <c r="E12" s="109">
        <v>1</v>
      </c>
      <c r="F12" s="248" t="n">
        <v>763.0</v>
      </c>
      <c r="G12" s="10">
        <f>F12/F$102</f>
        <v>5.0334016168388077E-2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8.9205831107292327E-2</v>
      </c>
      <c r="E13" s="110">
        <v>2</v>
      </c>
      <c r="F13" s="248" t="n">
        <v>882.0</v>
      </c>
      <c r="G13" s="10">
        <f ref="G13:G76" si="1" t="shared">F13/F$102</f>
        <v>7.1306124982690372E-2</v>
      </c>
    </row>
    <row r="14" spans="1:12" x14ac:dyDescent="0.25">
      <c r="A14">
        <v>3</v>
      </c>
      <c r="B14" s="246" t="n">
        <v>826.7850336147201</v>
      </c>
      <c r="C14" s="10">
        <f si="0" t="shared"/>
        <v>0.10311072433343393</v>
      </c>
      <c r="E14" s="111">
        <v>3</v>
      </c>
      <c r="F14" s="248" t="n">
        <v>1507.0</v>
      </c>
      <c r="G14" s="10">
        <f si="1" t="shared"/>
        <v>9.3027919836119591E-2</v>
      </c>
    </row>
    <row r="15" spans="1:12" x14ac:dyDescent="0.25">
      <c r="A15">
        <v>4</v>
      </c>
      <c r="B15" s="246" t="n">
        <v>9218.882338957472</v>
      </c>
      <c r="C15" s="10">
        <f si="0" t="shared"/>
        <v>9.1568243409820338E-2</v>
      </c>
      <c r="E15" s="112">
        <v>4</v>
      </c>
      <c r="F15" s="248" t="n">
        <v>2401.0</v>
      </c>
      <c r="G15" s="10">
        <f si="1" t="shared"/>
        <v>0.1003672029070628</v>
      </c>
    </row>
    <row r="16" spans="1:12" x14ac:dyDescent="0.25">
      <c r="A16">
        <v>5</v>
      </c>
      <c r="B16" s="246" t="n">
        <v>10648.617961684335</v>
      </c>
      <c r="C16" s="10">
        <f si="0" t="shared"/>
        <v>6.0186927520510677E-2</v>
      </c>
      <c r="E16" s="113">
        <v>5</v>
      </c>
      <c r="F16" s="248" t="n">
        <v>3302.0</v>
      </c>
      <c r="G16" s="10">
        <f si="1" t="shared"/>
        <v>9.2192282531360276E-2</v>
      </c>
    </row>
    <row r="17" spans="1:7" x14ac:dyDescent="0.25">
      <c r="A17">
        <v>6</v>
      </c>
      <c r="B17" s="246" t="n">
        <v>4805.508667625302</v>
      </c>
      <c r="C17" s="10">
        <f si="0" t="shared"/>
        <v>0.10277050247060546</v>
      </c>
      <c r="E17" s="114">
        <v>6</v>
      </c>
      <c r="F17" s="248" t="n">
        <v>4285.0</v>
      </c>
      <c r="G17" s="10">
        <f si="1" t="shared"/>
        <v>7.8397104397362249E-2</v>
      </c>
    </row>
    <row r="18" spans="1:7" x14ac:dyDescent="0.25">
      <c r="A18">
        <v>7</v>
      </c>
      <c r="B18" s="246" t="n">
        <v>7109.592448300013</v>
      </c>
      <c r="C18" s="10">
        <f si="0" t="shared"/>
        <v>4.4954606927767163E-2</v>
      </c>
      <c r="E18" s="115">
        <v>7</v>
      </c>
      <c r="F18" s="248" t="n">
        <v>5589.0</v>
      </c>
      <c r="G18" s="10">
        <f si="1" t="shared"/>
        <v>6.6010572005672785E-2</v>
      </c>
    </row>
    <row r="19" spans="1:7" x14ac:dyDescent="0.25">
      <c r="A19">
        <v>8</v>
      </c>
      <c r="B19" s="246" t="n">
        <v>10193.857626296422</v>
      </c>
      <c r="C19" s="10">
        <f si="0" t="shared"/>
        <v>6.753467190101313E-2</v>
      </c>
      <c r="E19" s="116">
        <v>8</v>
      </c>
      <c r="F19" s="248" t="n">
        <v>5915.0</v>
      </c>
      <c r="G19" s="10">
        <f si="1" t="shared"/>
        <v>5.6126176457948346E-2</v>
      </c>
    </row>
    <row r="20" spans="1:7" x14ac:dyDescent="0.25">
      <c r="A20">
        <v>9</v>
      </c>
      <c r="B20" s="246" t="n">
        <v>8435.962339955298</v>
      </c>
      <c r="C20" s="10">
        <f si="0" t="shared"/>
        <v>3.5509795512831378E-2</v>
      </c>
      <c r="E20" s="117">
        <v>9</v>
      </c>
      <c r="F20" s="248" t="n">
        <v>6104.0</v>
      </c>
      <c r="G20" s="10">
        <f si="1" t="shared"/>
        <v>5.0357891519952631E-2</v>
      </c>
    </row>
    <row r="21" spans="1:7" x14ac:dyDescent="0.25">
      <c r="A21">
        <v>10</v>
      </c>
      <c r="B21" s="246" t="n">
        <v>5057.393454437571</v>
      </c>
      <c r="C21" s="10">
        <f si="0" t="shared"/>
        <v>8.0753510328974418E-2</v>
      </c>
      <c r="E21" s="118">
        <v>10</v>
      </c>
      <c r="F21" s="248" t="n">
        <v>6099.0</v>
      </c>
      <c r="G21" s="10">
        <f si="1" t="shared"/>
        <v>4.5000262628867208E-2</v>
      </c>
    </row>
    <row r="22" spans="1:7" x14ac:dyDescent="0.25">
      <c r="A22">
        <v>11</v>
      </c>
      <c r="B22" s="246" t="n">
        <v>3838.01993618136</v>
      </c>
      <c r="C22" s="10">
        <f si="0" t="shared"/>
        <v>1.4574365002487429E-2</v>
      </c>
      <c r="E22" s="119">
        <v>11</v>
      </c>
      <c r="F22" s="248" t="n">
        <v>5772.0</v>
      </c>
      <c r="G22" s="10">
        <f si="1" t="shared"/>
        <v>4.044484555035073E-2</v>
      </c>
    </row>
    <row r="23" spans="1:7" x14ac:dyDescent="0.25">
      <c r="A23">
        <v>12</v>
      </c>
      <c r="B23" s="246" t="n">
        <v>5080.762799920426</v>
      </c>
      <c r="C23" s="10">
        <f si="0" t="shared"/>
        <v>1.3330930356134923E-2</v>
      </c>
      <c r="E23" s="120">
        <v>12</v>
      </c>
      <c r="F23" s="248" t="n">
        <v>5449.0</v>
      </c>
      <c r="G23" s="10">
        <f si="1" t="shared"/>
        <v>3.3979400346670102E-2</v>
      </c>
    </row>
    <row r="24" spans="1:7" x14ac:dyDescent="0.25">
      <c r="A24">
        <v>13</v>
      </c>
      <c r="B24" s="246" t="n">
        <v>4296.680000123521</v>
      </c>
      <c r="C24" s="10">
        <f si="0" t="shared"/>
        <v>3.762689241003378E-2</v>
      </c>
      <c r="E24" s="121">
        <v>13</v>
      </c>
      <c r="F24" s="248" t="n">
        <v>4890.0</v>
      </c>
      <c r="G24" s="10">
        <f si="1" t="shared"/>
        <v>3.141518758863724E-2</v>
      </c>
    </row>
    <row r="25" spans="1:7" x14ac:dyDescent="0.25">
      <c r="A25">
        <v>14</v>
      </c>
      <c r="B25" s="246" t="n">
        <v>2762.962444468293</v>
      </c>
      <c r="C25" s="10">
        <f si="0" t="shared"/>
        <v>6.513054948864015E-3</v>
      </c>
      <c r="E25" s="122">
        <v>14</v>
      </c>
      <c r="F25" s="248" t="n">
        <v>4511.0</v>
      </c>
      <c r="G25" s="10">
        <f si="1" t="shared"/>
        <v>2.5680328142831905E-2</v>
      </c>
    </row>
    <row r="26" spans="1:7" x14ac:dyDescent="0.25">
      <c r="A26">
        <v>15</v>
      </c>
      <c r="B26" s="246" t="n">
        <v>3467.388981029976</v>
      </c>
      <c r="C26" s="10">
        <f si="0" t="shared"/>
        <v>3.8678106628711288E-2</v>
      </c>
      <c r="E26" s="123">
        <v>15</v>
      </c>
      <c r="F26" s="248" t="n">
        <v>4098.0</v>
      </c>
      <c r="G26" s="10">
        <f si="1" t="shared"/>
        <v>2.0609203470521104E-2</v>
      </c>
    </row>
    <row r="27" spans="1:7" x14ac:dyDescent="0.25">
      <c r="A27">
        <v>16</v>
      </c>
      <c r="B27" s="246" t="n">
        <v>2548.0137228962603</v>
      </c>
      <c r="C27" s="10">
        <f si="0" t="shared"/>
        <v>3.6733469277399164E-2</v>
      </c>
      <c r="E27" s="124">
        <v>16</v>
      </c>
      <c r="F27" s="248" t="n">
        <v>3525.0</v>
      </c>
      <c r="G27" s="10">
        <f si="1" t="shared"/>
        <v>1.6879873556138115E-2</v>
      </c>
    </row>
    <row r="28" spans="1:7" x14ac:dyDescent="0.25">
      <c r="A28">
        <v>17</v>
      </c>
      <c r="B28" s="246" t="n">
        <v>4418.266910948236</v>
      </c>
      <c r="C28" s="10">
        <f si="0" t="shared"/>
        <v>2.2210542876685922E-3</v>
      </c>
      <c r="E28" s="125">
        <v>17</v>
      </c>
      <c r="F28" s="248" t="n">
        <v>3141.0</v>
      </c>
      <c r="G28" s="10">
        <f si="1" t="shared"/>
        <v>1.3031166883932365E-2</v>
      </c>
    </row>
    <row r="29" spans="1:7" x14ac:dyDescent="0.25">
      <c r="A29">
        <v>18</v>
      </c>
      <c r="B29" s="246" t="n">
        <v>1301.4438184859362</v>
      </c>
      <c r="C29" s="10">
        <f si="0" t="shared"/>
        <v>2.7504661957324303E-3</v>
      </c>
      <c r="E29" s="126">
        <v>18</v>
      </c>
      <c r="F29" s="248" t="n">
        <v>2772.0</v>
      </c>
      <c r="G29" s="10">
        <f si="1" t="shared"/>
        <v>1.0996986930632554E-2</v>
      </c>
    </row>
    <row r="30" spans="1:7" x14ac:dyDescent="0.25">
      <c r="A30">
        <v>19</v>
      </c>
      <c r="B30" s="246" t="n">
        <v>2184.0399365183757</v>
      </c>
      <c r="C30" s="10">
        <f si="0" t="shared"/>
        <v>4.3352034121578445E-3</v>
      </c>
      <c r="E30" s="127">
        <v>19</v>
      </c>
      <c r="F30" s="248" t="n">
        <v>2347.0</v>
      </c>
      <c r="G30" s="10">
        <f si="1" t="shared"/>
        <v>9.440314008623777E-3</v>
      </c>
    </row>
    <row r="31" spans="1:7" x14ac:dyDescent="0.25">
      <c r="A31">
        <v>20</v>
      </c>
      <c r="B31" s="246" t="n">
        <v>1887.2968460415364</v>
      </c>
      <c r="C31" s="10">
        <f si="0" t="shared"/>
        <v>1.0281778860639895E-2</v>
      </c>
      <c r="E31" s="128">
        <v>20</v>
      </c>
      <c r="F31" s="248" t="n">
        <v>2081.0</v>
      </c>
      <c r="G31" s="10">
        <f si="1" t="shared"/>
        <v>8.2083458678929039E-3</v>
      </c>
    </row>
    <row r="32" spans="1:7" x14ac:dyDescent="0.25">
      <c r="A32">
        <v>21</v>
      </c>
      <c r="B32" s="246" t="n">
        <v>1896.2596045934583</v>
      </c>
      <c r="C32" s="10">
        <f si="0" t="shared"/>
        <v>4.0962588775495315E-3</v>
      </c>
      <c r="E32" s="129">
        <v>21</v>
      </c>
      <c r="F32" s="248" t="n">
        <v>1866.0</v>
      </c>
      <c r="G32" s="10">
        <f si="1" t="shared"/>
        <v>7.3965839146981436E-3</v>
      </c>
    </row>
    <row r="33" spans="1:7" x14ac:dyDescent="0.25">
      <c r="A33">
        <v>22</v>
      </c>
      <c r="B33" s="246" t="n">
        <v>1029.4897156945215</v>
      </c>
      <c r="C33" s="10">
        <f si="0" t="shared"/>
        <v>2.6070598941188329E-3</v>
      </c>
      <c r="E33" s="130">
        <v>22</v>
      </c>
      <c r="F33" s="248" t="n">
        <v>1563.0</v>
      </c>
      <c r="G33" s="10">
        <f si="1" t="shared"/>
        <v>7.0480037818556876E-3</v>
      </c>
    </row>
    <row r="34" spans="1:7" x14ac:dyDescent="0.25">
      <c r="A34">
        <v>23</v>
      </c>
      <c r="B34" s="246" t="n">
        <v>428.7826099390828</v>
      </c>
      <c r="C34" s="10">
        <f si="0" t="shared"/>
        <v>7.7845522523962438E-3</v>
      </c>
      <c r="E34" s="131">
        <v>23</v>
      </c>
      <c r="F34" s="248" t="n">
        <v>1433.0</v>
      </c>
      <c r="G34" s="10">
        <f si="1" t="shared"/>
        <v>6.1120900005252575E-3</v>
      </c>
    </row>
    <row r="35" spans="1:7" x14ac:dyDescent="0.25">
      <c r="A35">
        <v>24</v>
      </c>
      <c r="B35" s="246" t="n">
        <v>915.3406001478395</v>
      </c>
      <c r="C35" s="10">
        <f si="0" t="shared"/>
        <v>1.3486888082082855E-3</v>
      </c>
      <c r="E35" s="132">
        <v>24</v>
      </c>
      <c r="F35" s="248" t="n">
        <v>1223.0</v>
      </c>
      <c r="G35" s="10">
        <f si="1" t="shared"/>
        <v>5.314653258269228E-3</v>
      </c>
    </row>
    <row r="36" spans="1:7" x14ac:dyDescent="0.25">
      <c r="A36">
        <v>25</v>
      </c>
      <c r="B36" s="246" t="n">
        <v>543.6864119349201</v>
      </c>
      <c r="C36" s="10">
        <f si="0" t="shared"/>
        <v>3.1231419407449735E-3</v>
      </c>
      <c r="E36" s="133">
        <v>25</v>
      </c>
      <c r="F36" s="248" t="n">
        <v>979.0</v>
      </c>
      <c r="G36" s="10">
        <f si="1" t="shared"/>
        <v>4.5983927113326739E-3</v>
      </c>
    </row>
    <row r="37" spans="1:7" x14ac:dyDescent="0.25">
      <c r="A37">
        <v>26</v>
      </c>
      <c r="B37" s="246" t="n">
        <v>633.2760687262705</v>
      </c>
      <c r="C37" s="10">
        <f si="0" t="shared"/>
        <v>6.1558049624086501E-3</v>
      </c>
      <c r="E37" s="134">
        <v>26</v>
      </c>
      <c r="F37" s="248" t="n">
        <v>932.0</v>
      </c>
      <c r="G37" s="10">
        <f si="1" t="shared"/>
        <v>4.1256607503545491E-3</v>
      </c>
    </row>
    <row r="38" spans="1:7" x14ac:dyDescent="0.25">
      <c r="A38">
        <v>27</v>
      </c>
      <c r="B38" s="246" t="n">
        <v>1832.4363863984004</v>
      </c>
      <c r="C38" s="10">
        <f si="0" t="shared"/>
        <v>1.1406437383276383E-2</v>
      </c>
      <c r="E38" s="135">
        <v>27</v>
      </c>
      <c r="F38" s="248" t="n">
        <v>794.0</v>
      </c>
      <c r="G38" s="10">
        <f si="1" t="shared"/>
        <v>3.7102296331313479E-3</v>
      </c>
    </row>
    <row r="39" spans="1:7" x14ac:dyDescent="0.25">
      <c r="A39">
        <v>28</v>
      </c>
      <c r="B39" s="246" t="n">
        <v>596.0266717122789</v>
      </c>
      <c r="C39" s="10">
        <f si="0" t="shared"/>
        <v>5.7839132689629534E-4</v>
      </c>
      <c r="E39" s="136">
        <v>28</v>
      </c>
      <c r="F39" s="248" t="n">
        <v>670.0</v>
      </c>
      <c r="G39" s="10">
        <f si="1" t="shared"/>
        <v>2.9987441565077046E-3</v>
      </c>
    </row>
    <row r="40" spans="1:7" x14ac:dyDescent="0.25">
      <c r="A40">
        <v>29</v>
      </c>
      <c r="B40" s="246" t="n">
        <v>1260.145394778079</v>
      </c>
      <c r="C40" s="10">
        <f si="0" t="shared"/>
        <v>6.1879134720101764E-3</v>
      </c>
      <c r="E40" s="137">
        <v>29</v>
      </c>
      <c r="F40" s="248" t="n">
        <v>569.0</v>
      </c>
      <c r="G40" s="10">
        <f si="1" t="shared"/>
        <v>2.8029662736783799E-3</v>
      </c>
    </row>
    <row r="41" spans="1:7" x14ac:dyDescent="0.25">
      <c r="A41">
        <v>30</v>
      </c>
      <c r="B41" s="246" t="n">
        <v>799.0951537759986</v>
      </c>
      <c r="C41" s="10">
        <f si="0" t="shared"/>
        <v>1.151260203075399E-2</v>
      </c>
      <c r="E41" s="138">
        <v>30</v>
      </c>
      <c r="F41" s="248" t="n">
        <v>499.0</v>
      </c>
      <c r="G41" s="10">
        <f si="1" t="shared"/>
        <v>2.3684348752035372E-3</v>
      </c>
    </row>
    <row r="42" spans="1:7" x14ac:dyDescent="0.25">
      <c r="A42">
        <v>31</v>
      </c>
      <c r="B42" s="246" t="n">
        <v>0.0</v>
      </c>
      <c r="C42" s="10">
        <f si="0" t="shared"/>
        <v>3.4419118018109578E-4</v>
      </c>
      <c r="E42" s="139">
        <v>31</v>
      </c>
      <c r="F42" s="248" t="n">
        <v>447.0</v>
      </c>
      <c r="G42" s="10">
        <f si="1" t="shared"/>
        <v>2.2872586798840613E-3</v>
      </c>
    </row>
    <row r="43" spans="1:7" x14ac:dyDescent="0.25">
      <c r="A43">
        <v>32</v>
      </c>
      <c r="B43" s="246" t="n">
        <v>663.6237824576081</v>
      </c>
      <c r="C43" s="10">
        <f si="0" t="shared"/>
        <v>9.1779183268429434E-5</v>
      </c>
      <c r="E43" s="140">
        <v>32</v>
      </c>
      <c r="F43" s="248" t="n">
        <v>422.0</v>
      </c>
      <c r="G43" s="10">
        <f si="1" t="shared"/>
        <v>1.7667760157768324E-3</v>
      </c>
    </row>
    <row r="44" spans="1:7" x14ac:dyDescent="0.25">
      <c r="A44">
        <v>33</v>
      </c>
      <c r="B44" s="246" t="n">
        <v>1516.827724032678</v>
      </c>
      <c r="C44" s="10">
        <f si="0" t="shared"/>
        <v>4.6806758457036395E-3</v>
      </c>
      <c r="E44" s="141">
        <v>33</v>
      </c>
      <c r="F44" s="248" t="n">
        <v>387.0</v>
      </c>
      <c r="G44" s="10">
        <f si="1" t="shared"/>
        <v>1.6664995392057149E-3</v>
      </c>
    </row>
    <row r="45" spans="1:7" x14ac:dyDescent="0.25">
      <c r="A45">
        <v>34</v>
      </c>
      <c r="B45" s="246" t="n">
        <v>466.21209282797497</v>
      </c>
      <c r="C45" s="10">
        <f si="0" t="shared"/>
        <v>6.1152213672059175E-4</v>
      </c>
      <c r="E45" s="142">
        <v>34</v>
      </c>
      <c r="F45" s="248" t="n">
        <v>291.0</v>
      </c>
      <c r="G45" s="10">
        <f si="1" t="shared"/>
        <v>1.590098414199149E-3</v>
      </c>
    </row>
    <row r="46" spans="1:7" x14ac:dyDescent="0.25">
      <c r="A46">
        <v>35</v>
      </c>
      <c r="B46" s="246" t="n">
        <v>0.0</v>
      </c>
      <c r="C46" s="10">
        <f si="0" t="shared"/>
        <v>1.473059680268171E-4</v>
      </c>
      <c r="E46" s="143">
        <v>35</v>
      </c>
      <c r="F46" s="248" t="n">
        <v>249.0</v>
      </c>
      <c r="G46" s="10">
        <f si="1" t="shared"/>
        <v>1.3513448985536312E-3</v>
      </c>
    </row>
    <row r="47" spans="1:7" x14ac:dyDescent="0.25">
      <c r="A47">
        <v>36</v>
      </c>
      <c r="B47" s="246" t="n">
        <v>1247.31737698676</v>
      </c>
      <c r="C47" s="10">
        <f si="0" t="shared"/>
        <v>0</v>
      </c>
      <c r="E47" s="144">
        <v>36</v>
      </c>
      <c r="F47" s="248" t="n">
        <v>220.0</v>
      </c>
      <c r="G47" s="10">
        <f si="1" t="shared"/>
        <v>1.3035941954245276E-3</v>
      </c>
    </row>
    <row r="48" spans="1:7" x14ac:dyDescent="0.25">
      <c r="A48">
        <v>37</v>
      </c>
      <c r="B48" s="246" t="n">
        <v>0.0</v>
      </c>
      <c r="C48" s="10">
        <f si="0" t="shared"/>
        <v>4.7731959637270217E-4</v>
      </c>
      <c r="E48" s="145">
        <v>37</v>
      </c>
      <c r="F48" s="248" t="n">
        <v>184.0</v>
      </c>
      <c r="G48" s="10">
        <f si="1" t="shared"/>
        <v>1.1316916641597547E-3</v>
      </c>
    </row>
    <row r="49" spans="1:7" x14ac:dyDescent="0.25">
      <c r="A49">
        <v>38</v>
      </c>
      <c r="B49" s="246" t="n">
        <v>0.0</v>
      </c>
      <c r="C49" s="10">
        <f si="0" t="shared"/>
        <v>1.4462492533210587E-3</v>
      </c>
      <c r="E49" s="146">
        <v>38</v>
      </c>
      <c r="F49" s="248" t="n">
        <v>165.0</v>
      </c>
      <c r="G49" s="10">
        <f si="1" t="shared"/>
        <v>1.0648406797790098E-3</v>
      </c>
    </row>
    <row r="50" spans="1:7" x14ac:dyDescent="0.25">
      <c r="A50">
        <v>39</v>
      </c>
      <c r="B50" s="246" t="n">
        <v>28.4975484599947</v>
      </c>
      <c r="C50" s="10">
        <f si="0" t="shared"/>
        <v>0</v>
      </c>
      <c r="E50" s="147">
        <v>39</v>
      </c>
      <c r="F50" s="248" t="n">
        <v>151.0</v>
      </c>
      <c r="G50" s="10">
        <f si="1" t="shared"/>
        <v>9.4546392195625083E-4</v>
      </c>
    </row>
    <row r="51" spans="1:7" x14ac:dyDescent="0.25">
      <c r="A51">
        <v>40</v>
      </c>
      <c r="B51" s="246" t="n">
        <v>306.4396097281139</v>
      </c>
      <c r="C51" s="10">
        <f si="0" t="shared"/>
        <v>0</v>
      </c>
      <c r="E51" s="148">
        <v>40</v>
      </c>
      <c r="F51" s="248" t="n">
        <v>121.0</v>
      </c>
      <c r="G51" s="10">
        <f si="1" t="shared"/>
        <v>8.0221181256894003E-4</v>
      </c>
    </row>
    <row r="52" spans="1:7" x14ac:dyDescent="0.25">
      <c r="A52">
        <v>41</v>
      </c>
      <c r="B52" s="246" t="n">
        <v>99.9384762495672</v>
      </c>
      <c r="C52" s="10">
        <f si="0" t="shared"/>
        <v>6.8234689887910265E-5</v>
      </c>
      <c r="E52" s="149">
        <v>41</v>
      </c>
      <c r="F52" s="248" t="n">
        <v>121.0</v>
      </c>
      <c r="G52" s="10">
        <f si="1" t="shared"/>
        <v>7.7356139069147795E-4</v>
      </c>
    </row>
    <row r="53" spans="1:7" x14ac:dyDescent="0.25">
      <c r="A53">
        <v>42</v>
      </c>
      <c r="B53" s="246" t="n">
        <v>0.0</v>
      </c>
      <c r="C53" s="10">
        <f si="0" t="shared"/>
        <v>1.6580187224565955E-4</v>
      </c>
      <c r="E53" s="150">
        <v>42</v>
      </c>
      <c r="F53" s="248" t="n">
        <v>98.0</v>
      </c>
      <c r="G53" s="10">
        <f si="1" t="shared"/>
        <v>6.8761012505909151E-4</v>
      </c>
    </row>
    <row r="54" spans="1:7" x14ac:dyDescent="0.25">
      <c r="A54">
        <v>43</v>
      </c>
      <c r="B54" s="246" t="n">
        <v>579.1336949219091</v>
      </c>
      <c r="C54" s="10">
        <f si="0" t="shared"/>
        <v>0</v>
      </c>
      <c r="E54" s="151">
        <v>43</v>
      </c>
      <c r="F54" s="248" t="n">
        <v>77.0</v>
      </c>
      <c r="G54" s="10">
        <f si="1" t="shared"/>
        <v>5.3003280473304967E-4</v>
      </c>
    </row>
    <row r="55" spans="1:7" x14ac:dyDescent="0.25">
      <c r="A55">
        <v>44</v>
      </c>
      <c r="B55" s="246" t="n">
        <v>212.9025619510487</v>
      </c>
      <c r="C55" s="10">
        <f si="0" t="shared"/>
        <v>3.7882286165297485E-3</v>
      </c>
      <c r="E55" s="152">
        <v>44</v>
      </c>
      <c r="F55" s="248" t="n">
        <v>82.0</v>
      </c>
      <c r="G55" s="10">
        <f si="1" t="shared"/>
        <v>5.3480787504596005E-4</v>
      </c>
    </row>
    <row r="56" spans="1:7" x14ac:dyDescent="0.25">
      <c r="A56">
        <v>45</v>
      </c>
      <c r="B56" s="246" t="n">
        <v>228.746677613708</v>
      </c>
      <c r="C56" s="10">
        <f si="0" t="shared"/>
        <v>0</v>
      </c>
      <c r="E56" s="153">
        <v>45</v>
      </c>
      <c r="F56" s="248" t="n">
        <v>71.0</v>
      </c>
      <c r="G56" s="10">
        <f si="1" t="shared"/>
        <v>3.2947985159081466E-4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154">
        <v>46</v>
      </c>
      <c r="F57" s="248" t="n">
        <v>53.0</v>
      </c>
      <c r="G57" s="10">
        <f si="1" t="shared"/>
        <v>3.4858013284245608E-4</v>
      </c>
    </row>
    <row r="58" spans="1:7" x14ac:dyDescent="0.25">
      <c r="A58">
        <v>47</v>
      </c>
      <c r="B58" s="246" t="n">
        <v>1184.0417666051223</v>
      </c>
      <c r="C58" s="10">
        <f si="0" t="shared"/>
        <v>0</v>
      </c>
      <c r="E58" s="155">
        <v>47</v>
      </c>
      <c r="F58" s="248" t="n">
        <v>61.0</v>
      </c>
      <c r="G58" s="10">
        <f si="1" t="shared"/>
        <v>3.3425492190372505E-4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156">
        <v>48</v>
      </c>
      <c r="F59" s="248" t="n">
        <v>50.0</v>
      </c>
      <c r="G59" s="10">
        <f si="1" t="shared"/>
        <v>2.5307872658424894E-4</v>
      </c>
    </row>
    <row r="60" spans="1:7" x14ac:dyDescent="0.25">
      <c r="A60">
        <v>49</v>
      </c>
      <c r="B60" s="246" t="n">
        <v>25.2911179958817</v>
      </c>
      <c r="C60" s="10">
        <f si="0" t="shared"/>
        <v>3.7730108725470083E-4</v>
      </c>
      <c r="E60" s="157">
        <v>49</v>
      </c>
      <c r="F60" s="248" t="n">
        <v>35.0</v>
      </c>
      <c r="G60" s="10">
        <f si="1" t="shared"/>
        <v>2.4352858595842823E-4</v>
      </c>
    </row>
    <row r="61" spans="1:7" x14ac:dyDescent="0.25">
      <c r="A61">
        <v>50</v>
      </c>
      <c r="B61" s="246" t="n">
        <v>0.0</v>
      </c>
      <c r="C61" s="10">
        <f si="0" t="shared"/>
        <v>3.4934199464476933E-5</v>
      </c>
      <c r="E61" s="158">
        <v>50</v>
      </c>
      <c r="F61" s="248" t="n">
        <v>25.0</v>
      </c>
      <c r="G61" s="10">
        <f si="1" t="shared"/>
        <v>2.2442830470678681E-4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27.0</v>
      </c>
      <c r="G62" s="10">
        <f si="1" t="shared"/>
        <v>2.4352858595842823E-4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25.0</v>
      </c>
      <c r="G63" s="10">
        <f si="1" t="shared"/>
        <v>1.8145267189059359E-4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16.0</v>
      </c>
      <c r="G64" s="10">
        <f si="1" t="shared"/>
        <v>1.002764765711175E-4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162">
        <v>54</v>
      </c>
      <c r="F65" s="248" t="n">
        <v>19.0</v>
      </c>
      <c r="G65" s="10">
        <f si="1" t="shared"/>
        <v>1.5280225001313143E-4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17.0</v>
      </c>
      <c r="G66" s="10">
        <f si="1" t="shared"/>
        <v>6.6850984380745007E-5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164">
        <v>56</v>
      </c>
      <c r="F67" s="248" t="n">
        <v>20.0</v>
      </c>
      <c r="G67" s="10">
        <f si="1" t="shared"/>
        <v>4.7750703129103574E-5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14.0</v>
      </c>
      <c r="G68" s="10">
        <f si="1" t="shared"/>
        <v>1.1937675782275894E-4</v>
      </c>
    </row>
    <row r="69" spans="1:7" x14ac:dyDescent="0.25">
      <c r="A69">
        <v>58</v>
      </c>
      <c r="B69" s="246" t="n">
        <v>0.0</v>
      </c>
      <c r="C69" s="10">
        <f si="0" t="shared"/>
        <v>9.7000044879221527E-5</v>
      </c>
      <c r="E69" s="166">
        <v>58</v>
      </c>
      <c r="F69" s="248" t="n">
        <v>14.0</v>
      </c>
      <c r="G69" s="10">
        <f si="1" t="shared"/>
        <v>1.0505154688402787E-4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14.0</v>
      </c>
      <c r="G70" s="10">
        <f si="1" t="shared"/>
        <v>8.1176195319476084E-5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7.0</v>
      </c>
      <c r="G71" s="10">
        <f si="1" t="shared"/>
        <v>5.730084375492429E-5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24.0</v>
      </c>
      <c r="G72" s="10">
        <f si="1" t="shared"/>
        <v>4.297563281619322E-5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9.0</v>
      </c>
      <c r="G73" s="10">
        <f si="1" t="shared"/>
        <v>4.7750703129103574E-5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11.0</v>
      </c>
      <c r="G74" s="10">
        <f si="1" t="shared"/>
        <v>5.730084375492429E-5</v>
      </c>
    </row>
    <row r="75" spans="1:7" x14ac:dyDescent="0.25">
      <c r="A75">
        <v>64</v>
      </c>
      <c r="B75" s="246" t="n">
        <v>0.0</v>
      </c>
      <c r="C75" s="10">
        <f si="0" t="shared"/>
        <v>6.8939495758192228E-5</v>
      </c>
      <c r="E75" s="172">
        <v>64</v>
      </c>
      <c r="F75" s="248" t="n">
        <v>10.0</v>
      </c>
      <c r="G75" s="10">
        <f si="1" t="shared"/>
        <v>4.7750703129103574E-5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8.0</v>
      </c>
      <c r="G76" s="10">
        <f si="1" t="shared"/>
        <v>3.8200562503282858E-5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7.0</v>
      </c>
      <c r="G77" s="10">
        <f ref="G77:G102" si="3" t="shared">F77/F$102</f>
        <v>1.4325210938731073E-5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18.0</v>
      </c>
      <c r="G78" s="10">
        <f si="3" t="shared"/>
        <v>2.8650421877462145E-5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176">
        <v>68</v>
      </c>
      <c r="F79" s="248" t="n">
        <v>5.0</v>
      </c>
      <c r="G79" s="10">
        <f si="3" t="shared"/>
        <v>3.8200562503282858E-5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5.0</v>
      </c>
      <c r="G80" s="10">
        <f si="3" t="shared"/>
        <v>1.9100281251641429E-5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4.0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9.0</v>
      </c>
      <c r="G82" s="10">
        <f si="3" t="shared"/>
        <v>9.5501406258207145E-6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180">
        <v>72</v>
      </c>
      <c r="F83" s="248" t="n">
        <v>4.0</v>
      </c>
      <c r="G83" s="10">
        <f si="3" t="shared"/>
        <v>1.9100281251641429E-5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7.0</v>
      </c>
      <c r="G84" s="10">
        <f si="3" t="shared"/>
        <v>9.5501406258207145E-6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10.0</v>
      </c>
      <c r="G85" s="10">
        <f si="3" t="shared"/>
        <v>1.4325210938731073E-5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9.0</v>
      </c>
      <c r="G86" s="10">
        <f si="3" t="shared"/>
        <v>9.5501406258207145E-6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184">
        <v>76</v>
      </c>
      <c r="F87" s="248" t="n">
        <v>14.0</v>
      </c>
      <c r="G87" s="10">
        <f si="3" t="shared"/>
        <v>1.4325210938731073E-5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4.0</v>
      </c>
      <c r="G88" s="10">
        <f si="3" t="shared"/>
        <v>4.7750703129103573E-6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8.0</v>
      </c>
      <c r="G89" s="10">
        <f si="3" t="shared"/>
        <v>2.3875351564551787E-5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5.0</v>
      </c>
      <c r="G90" s="10">
        <f si="3" t="shared"/>
        <v>4.7750703129103573E-6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3.0</v>
      </c>
      <c r="G91" s="10">
        <f si="3" t="shared"/>
        <v>4.7750703129103573E-6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6.0</v>
      </c>
      <c r="G92" s="10">
        <f si="3" t="shared"/>
        <v>4.7750703129103573E-6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7.0</v>
      </c>
      <c r="G93" s="10">
        <f si="3" t="shared"/>
        <v>1.4325210938731073E-5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11.0</v>
      </c>
      <c r="G94" s="10">
        <f si="3" t="shared"/>
        <v>4.297563281619322E-5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17.0</v>
      </c>
      <c r="G95" s="10">
        <f si="3" t="shared"/>
        <v>5.2525773442013936E-5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15.0</v>
      </c>
      <c r="G96" s="10">
        <f si="3" t="shared"/>
        <v>9.5501406258207145E-6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6.0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8.0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10.0</v>
      </c>
      <c r="G99" s="10">
        <f si="3" t="shared"/>
        <v>4.7750703129103573E-6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10.0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1.1574197829770035E-4</v>
      </c>
      <c r="E101" s="200">
        <v>90</v>
      </c>
      <c r="F101" s="249" t="n">
        <v>851.0</v>
      </c>
      <c r="G101" s="10">
        <f si="3" t="shared"/>
        <v>6.2075914067834652E-5</v>
      </c>
    </row>
    <row r="102" spans="1:7" x14ac:dyDescent="0.25">
      <c r="B102" s="246">
        <f>SUM(B11:B101)</f>
        <v>206880.16366714853</v>
      </c>
      <c r="C102" s="10">
        <f si="2" t="shared"/>
        <v>1</v>
      </c>
      <c r="F102" s="246">
        <f>SUM(F11:F101)</f>
        <v>209421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>
      <selection activeCell="T3" sqref="T3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34026.5259024499</v>
      </c>
      <c r="C7" s="11" t="n">
        <v>0.0</v>
      </c>
      <c r="D7" s="11" t="n">
        <v>0.0</v>
      </c>
      <c r="E7" s="11" t="n">
        <v>169.3039781715296</v>
      </c>
      <c r="F7" s="11" t="n">
        <v>579.436262352998</v>
      </c>
      <c r="G7" s="11" t="n">
        <v>832.5355831873757</v>
      </c>
      <c r="H7" s="11" t="n">
        <v>1892.042352276838</v>
      </c>
      <c r="I7" s="11"/>
      <c r="J7" s="11">
        <f>SUM(B7:I7)</f>
        <v>206880.16366714862</v>
      </c>
      <c r="K7" s="11"/>
      <c r="L7" t="str">
        <f>$A$7</f>
        <v>Bellevue</v>
      </c>
      <c r="M7" s="248" t="n">
        <v>32770.0</v>
      </c>
      <c r="N7" s="248" t="n">
        <v>0.0</v>
      </c>
      <c r="O7" s="248" t="n">
        <v>10.0</v>
      </c>
      <c r="P7" s="248" t="n">
        <v>667.0</v>
      </c>
      <c r="Q7" s="248" t="n">
        <v>139.0</v>
      </c>
      <c r="R7" s="248" t="n">
        <v>1472.0</v>
      </c>
      <c r="S7" s="248" t="n">
        <v>489.0</v>
      </c>
      <c r="T7" s="248"/>
      <c r="U7" s="246">
        <f>SUM(M7:T7)</f>
        <v>209421</v>
      </c>
    </row>
    <row r="8" spans="1:21" x14ac:dyDescent="0.25">
      <c r="A8" t="s">
        <v>255</v>
      </c>
      <c r="B8" s="11" t="n">
        <v>0.0</v>
      </c>
      <c r="C8" s="11" t="n">
        <v>2916.3980416795494</v>
      </c>
      <c r="D8" s="11" t="n">
        <v>0.0</v>
      </c>
      <c r="E8" s="11" t="n">
        <v>0.0</v>
      </c>
      <c r="F8" s="11" t="n">
        <v>0.0</v>
      </c>
      <c r="G8" s="11" t="n">
        <v>1808.75758474802</v>
      </c>
      <c r="H8" s="11" t="n">
        <v>0.0</v>
      </c>
      <c r="I8" s="11"/>
      <c r="J8" s="11">
        <f ref="J8:J14" si="0" t="shared">SUM(B8:I8)</f>
        <v>0</v>
      </c>
      <c r="K8" s="11"/>
      <c r="L8" t="str">
        <f>$A$8</f>
        <v>Bellevue Downtown</v>
      </c>
      <c r="M8" s="248" t="n">
        <v>0.0</v>
      </c>
      <c r="N8" s="248" t="n">
        <v>4621.0</v>
      </c>
      <c r="O8" s="248" t="n">
        <v>0.0</v>
      </c>
      <c r="P8" s="248" t="n">
        <v>1.0</v>
      </c>
      <c r="Q8" s="248" t="n">
        <v>0.0</v>
      </c>
      <c r="R8" s="248" t="n">
        <v>751.0</v>
      </c>
      <c r="S8" s="248" t="n">
        <v>0.0</v>
      </c>
      <c r="T8" s="248"/>
      <c r="U8" s="246">
        <f ref="U8:U13" si="1" t="shared">SUM(M8:T8)</f>
        <v>0</v>
      </c>
    </row>
    <row r="9" spans="1:21" x14ac:dyDescent="0.25">
      <c r="A9" t="s">
        <v>256</v>
      </c>
      <c r="B9" s="11" t="n">
        <v>438.29855935999603</v>
      </c>
      <c r="C9" s="11" t="n">
        <v>0.0</v>
      </c>
      <c r="D9" s="11" t="n">
        <v>2006.617592495184</v>
      </c>
      <c r="E9" s="11" t="n">
        <v>0.0</v>
      </c>
      <c r="F9" s="11" t="n">
        <v>83.6934893109364</v>
      </c>
      <c r="G9" s="11" t="n">
        <v>0.0</v>
      </c>
      <c r="H9" s="11" t="n">
        <v>0.0</v>
      </c>
      <c r="I9" s="11"/>
      <c r="J9" s="11">
        <f si="0" t="shared"/>
        <v>0</v>
      </c>
      <c r="K9" s="12"/>
      <c r="L9" t="str">
        <f>$A$9</f>
        <v>Kirkland</v>
      </c>
      <c r="M9" s="248" t="n">
        <v>627.0</v>
      </c>
      <c r="N9" s="248" t="n">
        <v>0.0</v>
      </c>
      <c r="O9" s="248" t="n">
        <v>2793.0</v>
      </c>
      <c r="P9" s="248" t="n">
        <v>0.0</v>
      </c>
      <c r="Q9" s="248" t="n">
        <v>214.0</v>
      </c>
      <c r="R9" s="248" t="n">
        <v>0.0</v>
      </c>
      <c r="S9" s="248" t="n">
        <v>1.0</v>
      </c>
      <c r="T9" s="248"/>
      <c r="U9" s="246">
        <f si="1" t="shared"/>
        <v>0</v>
      </c>
    </row>
    <row r="10" spans="1:21" x14ac:dyDescent="0.25">
      <c r="A10" t="s">
        <v>257</v>
      </c>
      <c r="B10" s="11" t="n">
        <v>150.5269693648378</v>
      </c>
      <c r="C10" s="11" t="n">
        <v>0.0</v>
      </c>
      <c r="D10" s="11" t="n">
        <v>0.0</v>
      </c>
      <c r="E10" s="11" t="n">
        <v>18226.04523046586</v>
      </c>
      <c r="F10" s="11" t="n">
        <v>0.0</v>
      </c>
      <c r="G10" s="11" t="n">
        <v>0.0</v>
      </c>
      <c r="H10" s="11" t="n">
        <v>0.0</v>
      </c>
      <c r="I10" s="11"/>
      <c r="J10" s="11">
        <f si="0" t="shared"/>
        <v>0</v>
      </c>
      <c r="K10" s="12"/>
      <c r="L10" t="str">
        <f>$A$10</f>
        <v>Redmond</v>
      </c>
      <c r="M10" s="248" t="n">
        <v>475.0</v>
      </c>
      <c r="N10" s="248" t="n">
        <v>0.0</v>
      </c>
      <c r="O10" s="248" t="n">
        <v>0.0</v>
      </c>
      <c r="P10" s="248" t="n">
        <v>16034.0</v>
      </c>
      <c r="Q10" s="248" t="n">
        <v>0.0</v>
      </c>
      <c r="R10" s="248" t="n">
        <v>60.0</v>
      </c>
      <c r="S10" s="248" t="n">
        <v>45.0</v>
      </c>
      <c r="T10" s="248"/>
      <c r="U10" s="246">
        <f si="1" t="shared"/>
        <v>0</v>
      </c>
    </row>
    <row r="11" spans="1:21" x14ac:dyDescent="0.25">
      <c r="A11" t="s">
        <v>252</v>
      </c>
      <c r="B11" s="11" t="n">
        <v>3868.5264266295703</v>
      </c>
      <c r="C11" s="11" t="n">
        <v>0.0</v>
      </c>
      <c r="D11" s="11" t="n">
        <v>839.0498073153633</v>
      </c>
      <c r="E11" s="11" t="n">
        <v>0.0</v>
      </c>
      <c r="F11" s="11" t="n">
        <v>8503.200623647306</v>
      </c>
      <c r="G11" s="11" t="n">
        <v>0.0</v>
      </c>
      <c r="H11" s="11" t="n">
        <v>0.0</v>
      </c>
      <c r="I11" s="11"/>
      <c r="J11" s="11">
        <f si="0" t="shared"/>
        <v>0</v>
      </c>
      <c r="K11" s="12"/>
      <c r="L11" t="str">
        <f>$A$11</f>
        <v>Seattle</v>
      </c>
      <c r="M11" s="248" t="n">
        <v>1693.0</v>
      </c>
      <c r="N11" s="248" t="n">
        <v>0.0</v>
      </c>
      <c r="O11" s="248" t="n">
        <v>420.0</v>
      </c>
      <c r="P11" s="248" t="n">
        <v>0.0</v>
      </c>
      <c r="Q11" s="248" t="n">
        <v>8000.0</v>
      </c>
      <c r="R11" s="248" t="n">
        <v>0.0</v>
      </c>
      <c r="S11" s="248" t="n">
        <v>75.0</v>
      </c>
      <c r="T11" s="248"/>
      <c r="U11" s="246">
        <f si="1" t="shared"/>
        <v>0</v>
      </c>
    </row>
    <row r="12" spans="1:21" x14ac:dyDescent="0.25">
      <c r="A12" t="s">
        <v>258</v>
      </c>
      <c r="B12" s="11" t="n">
        <v>3969.4513173113633</v>
      </c>
      <c r="C12" s="11" t="n">
        <v>726.345683407868</v>
      </c>
      <c r="D12" s="11" t="n">
        <v>0.0</v>
      </c>
      <c r="E12" s="11" t="n">
        <v>0.0</v>
      </c>
      <c r="F12" s="11" t="n">
        <v>0.0</v>
      </c>
      <c r="G12" s="11" t="n">
        <v>11762.029663444071</v>
      </c>
      <c r="H12" s="11" t="n">
        <v>0.0</v>
      </c>
      <c r="I12" s="11"/>
      <c r="J12" s="11">
        <f si="0" t="shared"/>
        <v>0</v>
      </c>
      <c r="K12" s="12"/>
      <c r="L12" t="str">
        <f>$A$12</f>
        <v>Seattle Downtown</v>
      </c>
      <c r="M12" s="248" t="n">
        <v>1415.0</v>
      </c>
      <c r="N12" s="248" t="n">
        <v>782.0</v>
      </c>
      <c r="O12" s="248" t="n">
        <v>0.0</v>
      </c>
      <c r="P12" s="248" t="n">
        <v>288.0</v>
      </c>
      <c r="Q12" s="248" t="n">
        <v>0.0</v>
      </c>
      <c r="R12" s="248" t="n">
        <v>10141.0</v>
      </c>
      <c r="S12" s="248" t="n">
        <v>2.0</v>
      </c>
      <c r="T12" s="248"/>
      <c r="U12" s="246">
        <f si="1" t="shared"/>
        <v>0</v>
      </c>
    </row>
    <row r="13" spans="1:21" x14ac:dyDescent="0.25">
      <c r="A13" t="s">
        <v>259</v>
      </c>
      <c r="B13" s="11" t="n">
        <v>2689.729927495442</v>
      </c>
      <c r="C13" s="11" t="n">
        <v>0.0</v>
      </c>
      <c r="D13" s="11" t="n">
        <v>0.0</v>
      </c>
      <c r="E13" s="11" t="n">
        <v>22.8699173794201</v>
      </c>
      <c r="F13" s="11" t="n">
        <v>278.49479259614</v>
      </c>
      <c r="G13" s="11" t="n">
        <v>0.0</v>
      </c>
      <c r="H13" s="11" t="n">
        <v>8785.106609926697</v>
      </c>
      <c r="I13" s="11"/>
      <c r="J13" s="11">
        <f si="0" t="shared"/>
        <v>0</v>
      </c>
      <c r="K13" s="12"/>
      <c r="L13" t="str">
        <f>A13</f>
        <v>Rest</v>
      </c>
      <c r="M13" s="248" t="n">
        <v>1168.0</v>
      </c>
      <c r="N13" s="248" t="n">
        <v>0.0</v>
      </c>
      <c r="O13" s="248" t="n">
        <v>0.0</v>
      </c>
      <c r="P13" s="248" t="n">
        <v>162.0</v>
      </c>
      <c r="Q13" s="248" t="n">
        <v>37.0</v>
      </c>
      <c r="R13" s="248" t="n">
        <v>2.0</v>
      </c>
      <c r="S13" s="248" t="n">
        <v>6607.0</v>
      </c>
      <c r="T13" s="248"/>
      <c r="U13" s="246">
        <f si="1" t="shared"/>
        <v>0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ht="15.75" r="15" spans="1:21" thickBot="1" x14ac:dyDescent="0.3">
      <c r="A15" s="1" t="s">
        <v>4</v>
      </c>
      <c r="B15" s="14">
        <f ref="B15:J15" si="2" t="shared">SUM(B7:B14)</f>
        <v>206880.16366714862</v>
      </c>
      <c r="C15" s="14">
        <f si="2" t="shared"/>
        <v>0</v>
      </c>
      <c r="D15" s="14">
        <f si="2" t="shared"/>
        <v>0</v>
      </c>
      <c r="E15" s="14">
        <f si="2" t="shared"/>
        <v>0</v>
      </c>
      <c r="F15" s="14">
        <f si="2" t="shared"/>
        <v>0</v>
      </c>
      <c r="G15" s="14">
        <f si="2" t="shared"/>
        <v>0</v>
      </c>
      <c r="H15" s="14">
        <f si="2" t="shared"/>
        <v>0</v>
      </c>
      <c r="I15" s="14">
        <f si="2" t="shared"/>
        <v>0</v>
      </c>
      <c r="J15" s="14">
        <f si="2" t="shared"/>
        <v>206880.16366714862</v>
      </c>
      <c r="K15" s="11"/>
      <c r="L15" s="14" t="s">
        <v>4</v>
      </c>
      <c r="M15" s="14">
        <f ref="M15:U15" si="3" t="shared">SUM(M7:M14)</f>
        <v>209421</v>
      </c>
      <c r="N15" s="14">
        <f si="3" t="shared"/>
        <v>0</v>
      </c>
      <c r="O15" s="14">
        <f si="3" t="shared"/>
        <v>0</v>
      </c>
      <c r="P15" s="14">
        <f si="3" t="shared"/>
        <v>0</v>
      </c>
      <c r="Q15" s="14">
        <f si="3" t="shared"/>
        <v>0</v>
      </c>
      <c r="R15" s="14">
        <f si="3" t="shared"/>
        <v>0</v>
      </c>
      <c r="S15" s="14">
        <f si="3" t="shared"/>
        <v>0</v>
      </c>
      <c r="T15" s="14">
        <f si="3" t="shared"/>
        <v>0</v>
      </c>
      <c r="U15" s="14">
        <f si="3" t="shared"/>
        <v>209421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ref="B20:H20" si="4" t="shared">($U7/$J7)*B7</f>
        <v>209421</v>
      </c>
      <c r="C20" s="11">
        <f si="4" t="shared"/>
        <v>0</v>
      </c>
      <c r="D20" s="11">
        <f si="4" t="shared"/>
        <v>0</v>
      </c>
      <c r="E20" s="11">
        <f si="4" t="shared"/>
        <v>0</v>
      </c>
      <c r="F20" s="11">
        <f si="4" t="shared"/>
        <v>0</v>
      </c>
      <c r="G20" s="11">
        <f si="4" t="shared"/>
        <v>0</v>
      </c>
      <c r="H20" s="11">
        <f si="4" t="shared"/>
        <v>0</v>
      </c>
      <c r="I20" s="11"/>
      <c r="J20" s="11">
        <f>SUM(B20:I20)</f>
        <v>209421</v>
      </c>
      <c r="K20" s="11"/>
      <c r="L20" t="str">
        <f>$A$7</f>
        <v>Bellevue</v>
      </c>
      <c r="M20" s="11">
        <f ref="M20:M26" si="5" t="shared">M7</f>
        <v>209421</v>
      </c>
      <c r="N20" s="11">
        <f ref="N20:U20" si="6" t="shared">N7</f>
        <v>0</v>
      </c>
      <c r="O20" s="11">
        <f si="6" t="shared"/>
        <v>0</v>
      </c>
      <c r="P20" s="11">
        <f si="6" t="shared"/>
        <v>0</v>
      </c>
      <c r="Q20" s="11">
        <f si="6" t="shared"/>
        <v>0</v>
      </c>
      <c r="R20" s="11">
        <f si="6" t="shared"/>
        <v>0</v>
      </c>
      <c r="S20" s="11">
        <f ref="S20" si="7" t="shared">S7</f>
        <v>0</v>
      </c>
      <c r="T20" s="11"/>
      <c r="U20" s="11">
        <f si="6" t="shared"/>
        <v>209421</v>
      </c>
    </row>
    <row r="21" spans="1:32" x14ac:dyDescent="0.25">
      <c r="A21" t="str">
        <f>$A$8</f>
        <v>Bellevue Downtown</v>
      </c>
      <c r="B21" s="11" t="e">
        <f ref="B21:G26" si="8" t="shared">($U8/$J8)*B8</f>
        <v>#DIV/0!</v>
      </c>
      <c r="C21" s="11" t="e">
        <f si="8" t="shared"/>
        <v>#DIV/0!</v>
      </c>
      <c r="D21" s="11" t="e">
        <f si="8" t="shared"/>
        <v>#DIV/0!</v>
      </c>
      <c r="E21" s="11" t="e">
        <f si="8" t="shared"/>
        <v>#DIV/0!</v>
      </c>
      <c r="F21" s="11" t="e">
        <f si="8" t="shared"/>
        <v>#DIV/0!</v>
      </c>
      <c r="G21" s="11" t="e">
        <f si="8" t="shared"/>
        <v>#DIV/0!</v>
      </c>
      <c r="H21" s="11" t="e">
        <f ref="H21:H26" si="9" t="shared">($U8/$J8)*H8</f>
        <v>#DIV/0!</v>
      </c>
      <c r="I21" s="11"/>
      <c r="J21" s="11" t="e">
        <f ref="J21:J26" si="10" t="shared">SUM(B21:I21)</f>
        <v>#DIV/0!</v>
      </c>
      <c r="K21" s="11"/>
      <c r="L21" t="str">
        <f>$A$8</f>
        <v>Bellevue Downtown</v>
      </c>
      <c r="M21" s="11">
        <f si="5" t="shared"/>
        <v>0</v>
      </c>
      <c r="N21" s="11">
        <f ref="N21:R25" si="11" t="shared">N8</f>
        <v>0</v>
      </c>
      <c r="O21" s="11">
        <f si="11" t="shared"/>
        <v>0</v>
      </c>
      <c r="P21" s="11">
        <f si="11" t="shared"/>
        <v>0</v>
      </c>
      <c r="Q21" s="11">
        <f si="11" t="shared"/>
        <v>0</v>
      </c>
      <c r="R21" s="11">
        <f si="11" t="shared"/>
        <v>0</v>
      </c>
      <c r="S21" s="11">
        <f ref="S21" si="12" t="shared">S8</f>
        <v>0</v>
      </c>
      <c r="T21" s="11"/>
      <c r="U21" s="11">
        <f ref="U21:U26" si="13" t="shared">U8</f>
        <v>0</v>
      </c>
    </row>
    <row r="22" spans="1:32" x14ac:dyDescent="0.25">
      <c r="A22" t="str">
        <f>$A$9</f>
        <v>Kirkland</v>
      </c>
      <c r="B22" s="11" t="e">
        <f si="8" t="shared"/>
        <v>#DIV/0!</v>
      </c>
      <c r="C22" s="11" t="e">
        <f si="8" t="shared"/>
        <v>#DIV/0!</v>
      </c>
      <c r="D22" s="11" t="e">
        <f si="8" t="shared"/>
        <v>#DIV/0!</v>
      </c>
      <c r="E22" s="11" t="e">
        <f si="8" t="shared"/>
        <v>#DIV/0!</v>
      </c>
      <c r="F22" s="11" t="e">
        <f si="8" t="shared"/>
        <v>#DIV/0!</v>
      </c>
      <c r="G22" s="11" t="e">
        <f si="8" t="shared"/>
        <v>#DIV/0!</v>
      </c>
      <c r="H22" s="11" t="e">
        <f si="9" t="shared"/>
        <v>#DIV/0!</v>
      </c>
      <c r="I22" s="11"/>
      <c r="J22" s="11" t="e">
        <f si="10" t="shared"/>
        <v>#DIV/0!</v>
      </c>
      <c r="K22" s="12"/>
      <c r="L22" t="str">
        <f>$A$9</f>
        <v>Kirkland</v>
      </c>
      <c r="M22" s="11">
        <f si="5" t="shared"/>
        <v>0</v>
      </c>
      <c r="N22" s="11">
        <f si="11" t="shared"/>
        <v>0</v>
      </c>
      <c r="O22" s="11">
        <f si="11" t="shared"/>
        <v>0</v>
      </c>
      <c r="P22" s="11">
        <f si="11" t="shared"/>
        <v>0</v>
      </c>
      <c r="Q22" s="11">
        <f si="11" t="shared"/>
        <v>0</v>
      </c>
      <c r="R22" s="11">
        <f si="11" t="shared"/>
        <v>0</v>
      </c>
      <c r="S22" s="11">
        <f ref="S22" si="14" t="shared">S9</f>
        <v>0</v>
      </c>
      <c r="T22" s="11"/>
      <c r="U22" s="11">
        <f si="13" t="shared"/>
        <v>0</v>
      </c>
    </row>
    <row r="23" spans="1:32" x14ac:dyDescent="0.25">
      <c r="A23" t="str">
        <f>$A$10</f>
        <v>Redmond</v>
      </c>
      <c r="B23" s="11" t="e">
        <f si="8" t="shared"/>
        <v>#DIV/0!</v>
      </c>
      <c r="C23" s="11" t="e">
        <f si="8" t="shared"/>
        <v>#DIV/0!</v>
      </c>
      <c r="D23" s="11" t="e">
        <f si="8" t="shared"/>
        <v>#DIV/0!</v>
      </c>
      <c r="E23" s="11" t="e">
        <f si="8" t="shared"/>
        <v>#DIV/0!</v>
      </c>
      <c r="F23" s="11" t="e">
        <f si="8" t="shared"/>
        <v>#DIV/0!</v>
      </c>
      <c r="G23" s="11" t="e">
        <f si="8" t="shared"/>
        <v>#DIV/0!</v>
      </c>
      <c r="H23" s="11" t="e">
        <f si="9" t="shared"/>
        <v>#DIV/0!</v>
      </c>
      <c r="I23" s="11"/>
      <c r="J23" s="11" t="e">
        <f>SUM(B23:I23)</f>
        <v>#DIV/0!</v>
      </c>
      <c r="K23" s="12"/>
      <c r="L23" t="str">
        <f>$A$10</f>
        <v>Redmond</v>
      </c>
      <c r="M23" s="11">
        <f si="5" t="shared"/>
        <v>0</v>
      </c>
      <c r="N23" s="11">
        <f si="11" t="shared"/>
        <v>0</v>
      </c>
      <c r="O23" s="11">
        <f si="11" t="shared"/>
        <v>0</v>
      </c>
      <c r="P23" s="11">
        <f si="11" t="shared"/>
        <v>0</v>
      </c>
      <c r="Q23" s="11">
        <f si="11" t="shared"/>
        <v>0</v>
      </c>
      <c r="R23" s="11">
        <f si="11" t="shared"/>
        <v>0</v>
      </c>
      <c r="S23" s="11">
        <f ref="S23" si="15" t="shared">S10</f>
        <v>0</v>
      </c>
      <c r="T23" s="11"/>
      <c r="U23" s="11">
        <f si="13" t="shared"/>
        <v>0</v>
      </c>
    </row>
    <row r="24" spans="1:32" x14ac:dyDescent="0.25">
      <c r="A24" t="str">
        <f>$A$11</f>
        <v>Seattle</v>
      </c>
      <c r="B24" s="11" t="e">
        <f si="8" t="shared"/>
        <v>#DIV/0!</v>
      </c>
      <c r="C24" s="11" t="e">
        <f si="8" t="shared"/>
        <v>#DIV/0!</v>
      </c>
      <c r="D24" s="11" t="e">
        <f si="8" t="shared"/>
        <v>#DIV/0!</v>
      </c>
      <c r="E24" s="11" t="e">
        <f si="8" t="shared"/>
        <v>#DIV/0!</v>
      </c>
      <c r="F24" s="11" t="e">
        <f si="8" t="shared"/>
        <v>#DIV/0!</v>
      </c>
      <c r="G24" s="11" t="e">
        <f si="8" t="shared"/>
        <v>#DIV/0!</v>
      </c>
      <c r="H24" s="11" t="e">
        <f si="9" t="shared"/>
        <v>#DIV/0!</v>
      </c>
      <c r="I24" s="11"/>
      <c r="J24" s="11" t="e">
        <f si="10" t="shared"/>
        <v>#DIV/0!</v>
      </c>
      <c r="K24" s="12"/>
      <c r="L24" t="str">
        <f>$A$11</f>
        <v>Seattle</v>
      </c>
      <c r="M24" s="11">
        <f si="5" t="shared"/>
        <v>0</v>
      </c>
      <c r="N24" s="11">
        <f si="11" t="shared"/>
        <v>0</v>
      </c>
      <c r="O24" s="11">
        <f si="11" t="shared"/>
        <v>0</v>
      </c>
      <c r="P24" s="11">
        <f si="11" t="shared"/>
        <v>0</v>
      </c>
      <c r="Q24" s="11">
        <f si="11" t="shared"/>
        <v>0</v>
      </c>
      <c r="R24" s="11">
        <f si="11" t="shared"/>
        <v>0</v>
      </c>
      <c r="S24" s="11">
        <f ref="S24" si="16" t="shared">S11</f>
        <v>0</v>
      </c>
      <c r="T24" s="11"/>
      <c r="U24" s="11">
        <f si="13" t="shared"/>
        <v>0</v>
      </c>
    </row>
    <row r="25" spans="1:32" x14ac:dyDescent="0.25">
      <c r="A25" t="str">
        <f>$A$12</f>
        <v>Seattle Downtown</v>
      </c>
      <c r="B25" s="11" t="e">
        <f si="8" t="shared"/>
        <v>#DIV/0!</v>
      </c>
      <c r="C25" s="11" t="e">
        <f si="8" t="shared"/>
        <v>#DIV/0!</v>
      </c>
      <c r="D25" s="11" t="e">
        <f si="8" t="shared"/>
        <v>#DIV/0!</v>
      </c>
      <c r="E25" s="11" t="e">
        <f si="8" t="shared"/>
        <v>#DIV/0!</v>
      </c>
      <c r="F25" s="11" t="e">
        <f si="8" t="shared"/>
        <v>#DIV/0!</v>
      </c>
      <c r="G25" s="11" t="e">
        <f si="8" t="shared"/>
        <v>#DIV/0!</v>
      </c>
      <c r="H25" s="11" t="e">
        <f si="9" t="shared"/>
        <v>#DIV/0!</v>
      </c>
      <c r="I25" s="11"/>
      <c r="J25" s="11" t="e">
        <f si="10" t="shared"/>
        <v>#DIV/0!</v>
      </c>
      <c r="K25" s="12"/>
      <c r="L25" t="str">
        <f>$A$12</f>
        <v>Seattle Downtown</v>
      </c>
      <c r="M25" s="11">
        <f si="5" t="shared"/>
        <v>0</v>
      </c>
      <c r="N25" s="11">
        <f si="11" t="shared"/>
        <v>0</v>
      </c>
      <c r="O25" s="11">
        <f si="11" t="shared"/>
        <v>0</v>
      </c>
      <c r="P25" s="11">
        <f si="11" t="shared"/>
        <v>0</v>
      </c>
      <c r="Q25" s="11">
        <f si="11" t="shared"/>
        <v>0</v>
      </c>
      <c r="R25" s="11">
        <f si="11" t="shared"/>
        <v>0</v>
      </c>
      <c r="S25" s="11">
        <f ref="S25" si="17" t="shared">S12</f>
        <v>0</v>
      </c>
      <c r="T25" s="11"/>
      <c r="U25" s="11">
        <f si="13" t="shared"/>
        <v>0</v>
      </c>
    </row>
    <row r="26" spans="1:32" x14ac:dyDescent="0.25">
      <c r="A26" t="str">
        <f>$A$13</f>
        <v>Rest</v>
      </c>
      <c r="B26" s="11" t="e">
        <f si="8" t="shared"/>
        <v>#DIV/0!</v>
      </c>
      <c r="C26" s="11" t="e">
        <f si="8" t="shared"/>
        <v>#DIV/0!</v>
      </c>
      <c r="D26" s="11" t="e">
        <f si="8" t="shared"/>
        <v>#DIV/0!</v>
      </c>
      <c r="E26" s="11" t="e">
        <f si="8" t="shared"/>
        <v>#DIV/0!</v>
      </c>
      <c r="F26" s="11" t="e">
        <f si="8" t="shared"/>
        <v>#DIV/0!</v>
      </c>
      <c r="G26" s="11" t="e">
        <f si="8" t="shared"/>
        <v>#DIV/0!</v>
      </c>
      <c r="H26" s="11" t="e">
        <f si="9" t="shared"/>
        <v>#DIV/0!</v>
      </c>
      <c r="I26" s="11"/>
      <c r="J26" s="11" t="e">
        <f si="10" t="shared"/>
        <v>#DIV/0!</v>
      </c>
      <c r="K26" s="12"/>
      <c r="L26" t="str">
        <f>$A$13</f>
        <v>Rest</v>
      </c>
      <c r="M26" s="11">
        <f si="5" t="shared"/>
        <v>0</v>
      </c>
      <c r="N26" s="11">
        <f ref="N26:R26" si="18" t="shared">N13</f>
        <v>0</v>
      </c>
      <c r="O26" s="11">
        <f si="18" t="shared"/>
        <v>0</v>
      </c>
      <c r="P26" s="11">
        <f si="18" t="shared"/>
        <v>0</v>
      </c>
      <c r="Q26" s="11">
        <f si="18" t="shared"/>
        <v>0</v>
      </c>
      <c r="R26" s="11">
        <f si="18" t="shared"/>
        <v>0</v>
      </c>
      <c r="S26" s="11">
        <f ref="S26" si="19" t="shared">S13</f>
        <v>0</v>
      </c>
      <c r="T26" s="11"/>
      <c r="U26" s="11">
        <f si="13" t="shared"/>
        <v>0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ht="15.75" r="28" spans="1:32" thickBot="1" x14ac:dyDescent="0.3">
      <c r="A28" s="1" t="s">
        <v>4</v>
      </c>
      <c r="B28" s="14" t="e">
        <f ref="B28:J28" si="20" t="shared">SUM(B20:B27)</f>
        <v>#DIV/0!</v>
      </c>
      <c r="C28" s="14" t="e">
        <f si="20" t="shared"/>
        <v>#DIV/0!</v>
      </c>
      <c r="D28" s="14" t="e">
        <f si="20" t="shared"/>
        <v>#DIV/0!</v>
      </c>
      <c r="E28" s="14" t="e">
        <f si="20" t="shared"/>
        <v>#DIV/0!</v>
      </c>
      <c r="F28" s="14" t="e">
        <f si="20" t="shared"/>
        <v>#DIV/0!</v>
      </c>
      <c r="G28" s="14" t="e">
        <f si="20" t="shared"/>
        <v>#DIV/0!</v>
      </c>
      <c r="H28" s="14" t="e">
        <f si="20" t="shared"/>
        <v>#DIV/0!</v>
      </c>
      <c r="I28" s="14">
        <f si="20" t="shared"/>
        <v>0</v>
      </c>
      <c r="J28" s="14" t="e">
        <f si="20" t="shared"/>
        <v>#DIV/0!</v>
      </c>
      <c r="K28" s="11"/>
      <c r="L28" s="14" t="s">
        <v>4</v>
      </c>
      <c r="M28" s="14">
        <f ref="M28:U28" si="21" t="shared">M15</f>
        <v>209421</v>
      </c>
      <c r="N28" s="14">
        <f si="21" t="shared"/>
        <v>0</v>
      </c>
      <c r="O28" s="14">
        <f si="21" t="shared"/>
        <v>0</v>
      </c>
      <c r="P28" s="14">
        <f si="21" t="shared"/>
        <v>0</v>
      </c>
      <c r="Q28" s="14">
        <f si="21" t="shared"/>
        <v>0</v>
      </c>
      <c r="R28" s="14">
        <f si="21" t="shared"/>
        <v>0</v>
      </c>
      <c r="S28" s="14">
        <f si="21" t="shared"/>
        <v>0</v>
      </c>
      <c r="T28" s="14"/>
      <c r="U28" s="14">
        <f si="21" t="shared"/>
        <v>209421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 t="e">
        <f ref="B33:H33" si="22" t="shared">B20/$J$28</f>
        <v>#DIV/0!</v>
      </c>
      <c r="C33" s="15" t="e">
        <f si="22" t="shared"/>
        <v>#DIV/0!</v>
      </c>
      <c r="D33" s="15" t="e">
        <f si="22" t="shared"/>
        <v>#DIV/0!</v>
      </c>
      <c r="E33" s="15" t="e">
        <f si="22" t="shared"/>
        <v>#DIV/0!</v>
      </c>
      <c r="F33" s="15" t="e">
        <f si="22" t="shared"/>
        <v>#DIV/0!</v>
      </c>
      <c r="G33" s="15" t="e">
        <f si="22" t="shared"/>
        <v>#DIV/0!</v>
      </c>
      <c r="H33" s="15" t="e">
        <f si="22" t="shared"/>
        <v>#DIV/0!</v>
      </c>
      <c r="I33" s="11"/>
      <c r="J33" s="15" t="e">
        <f ref="J33:J39" si="23" t="shared">J20/$J$28</f>
        <v>#DIV/0!</v>
      </c>
      <c r="K33" s="11"/>
      <c r="L33" t="str">
        <f>$A$7</f>
        <v>Bellevue</v>
      </c>
      <c r="M33" s="15">
        <f ref="M33:R33" si="24" t="shared">M20/$U$28</f>
        <v>1</v>
      </c>
      <c r="N33" s="15">
        <f si="24" t="shared"/>
        <v>0</v>
      </c>
      <c r="O33" s="15">
        <f si="24" t="shared"/>
        <v>0</v>
      </c>
      <c r="P33" s="15">
        <f si="24" t="shared"/>
        <v>0</v>
      </c>
      <c r="Q33" s="15">
        <f si="24" t="shared"/>
        <v>0</v>
      </c>
      <c r="R33" s="15">
        <f si="24" t="shared"/>
        <v>0</v>
      </c>
      <c r="S33" s="15">
        <f ref="S33" si="25" t="shared">S20/$U$28</f>
        <v>0</v>
      </c>
      <c r="T33" s="15"/>
      <c r="U33" s="15">
        <f ref="U33:U39" si="26" t="shared">U20/$U$28</f>
        <v>1</v>
      </c>
      <c r="W33" t="str">
        <f>$A$7</f>
        <v>Bellevue</v>
      </c>
      <c r="X33" s="15" t="e">
        <f ref="X33:AE33" si="27" t="shared">M33-B33</f>
        <v>#DIV/0!</v>
      </c>
      <c r="Y33" s="15" t="e">
        <f si="27" t="shared"/>
        <v>#DIV/0!</v>
      </c>
      <c r="Z33" s="15" t="e">
        <f si="27" t="shared"/>
        <v>#DIV/0!</v>
      </c>
      <c r="AA33" s="15" t="e">
        <f si="27" t="shared"/>
        <v>#DIV/0!</v>
      </c>
      <c r="AB33" s="15" t="e">
        <f si="27" t="shared"/>
        <v>#DIV/0!</v>
      </c>
      <c r="AC33" s="15" t="e">
        <f si="27" t="shared"/>
        <v>#DIV/0!</v>
      </c>
      <c r="AD33" s="15" t="e">
        <f si="27" t="shared"/>
        <v>#DIV/0!</v>
      </c>
      <c r="AE33" s="15">
        <f si="27" t="shared"/>
        <v>0</v>
      </c>
      <c r="AF33" s="15" t="e">
        <f ref="AF33:AF39" si="28" t="shared">U33-J33</f>
        <v>#DIV/0!</v>
      </c>
    </row>
    <row r="34" spans="1:32" x14ac:dyDescent="0.25">
      <c r="A34" t="str">
        <f>$A$8</f>
        <v>Bellevue Downtown</v>
      </c>
      <c r="B34" s="15" t="e">
        <f ref="B34:G39" si="29" t="shared">B21/$J$28</f>
        <v>#DIV/0!</v>
      </c>
      <c r="C34" s="15" t="e">
        <f si="29" t="shared"/>
        <v>#DIV/0!</v>
      </c>
      <c r="D34" s="15" t="e">
        <f si="29" t="shared"/>
        <v>#DIV/0!</v>
      </c>
      <c r="E34" s="15" t="e">
        <f si="29" t="shared"/>
        <v>#DIV/0!</v>
      </c>
      <c r="F34" s="15" t="e">
        <f si="29" t="shared"/>
        <v>#DIV/0!</v>
      </c>
      <c r="G34" s="15" t="e">
        <f si="29" t="shared"/>
        <v>#DIV/0!</v>
      </c>
      <c r="H34" s="15" t="e">
        <f ref="H34:H39" si="30" t="shared">H21/$J$28</f>
        <v>#DIV/0!</v>
      </c>
      <c r="I34" s="11"/>
      <c r="J34" s="15" t="e">
        <f si="23" t="shared"/>
        <v>#DIV/0!</v>
      </c>
      <c r="K34" s="11"/>
      <c r="L34" t="str">
        <f>$A$8</f>
        <v>Bellevue Downtown</v>
      </c>
      <c r="M34" s="15">
        <f ref="M34:R39" si="31" t="shared">M21/$U$28</f>
        <v>0</v>
      </c>
      <c r="N34" s="15">
        <f si="31" t="shared"/>
        <v>0</v>
      </c>
      <c r="O34" s="15">
        <f si="31" t="shared"/>
        <v>0</v>
      </c>
      <c r="P34" s="15">
        <f si="31" t="shared"/>
        <v>0</v>
      </c>
      <c r="Q34" s="15">
        <f si="31" t="shared"/>
        <v>0</v>
      </c>
      <c r="R34" s="15">
        <f si="31" t="shared"/>
        <v>0</v>
      </c>
      <c r="S34" s="15">
        <f ref="S34" si="32" t="shared">S21/$U$28</f>
        <v>0</v>
      </c>
      <c r="T34" s="15"/>
      <c r="U34" s="15">
        <f si="26" t="shared"/>
        <v>0</v>
      </c>
      <c r="W34" t="str">
        <f>$A$8</f>
        <v>Bellevue Downtown</v>
      </c>
      <c r="X34" s="15" t="e">
        <f ref="X34:X39" si="33" t="shared">M34-B34</f>
        <v>#DIV/0!</v>
      </c>
      <c r="Y34" s="15" t="e">
        <f ref="Y34:AC38" si="34" t="shared">N34-C34</f>
        <v>#DIV/0!</v>
      </c>
      <c r="Z34" s="15" t="e">
        <f si="34" t="shared"/>
        <v>#DIV/0!</v>
      </c>
      <c r="AA34" s="15" t="e">
        <f si="34" t="shared"/>
        <v>#DIV/0!</v>
      </c>
      <c r="AB34" s="15" t="e">
        <f si="34" t="shared"/>
        <v>#DIV/0!</v>
      </c>
      <c r="AC34" s="15" t="e">
        <f si="34" t="shared"/>
        <v>#DIV/0!</v>
      </c>
      <c r="AD34" s="15" t="e">
        <f ref="AD34:AE39" si="35" t="shared">S34-H34</f>
        <v>#DIV/0!</v>
      </c>
      <c r="AE34" s="15">
        <f si="35" t="shared"/>
        <v>0</v>
      </c>
      <c r="AF34" s="15" t="e">
        <f si="28" t="shared"/>
        <v>#DIV/0!</v>
      </c>
    </row>
    <row r="35" spans="1:32" x14ac:dyDescent="0.25">
      <c r="A35" t="str">
        <f>$A$9</f>
        <v>Kirkland</v>
      </c>
      <c r="B35" s="15" t="e">
        <f si="29" t="shared"/>
        <v>#DIV/0!</v>
      </c>
      <c r="C35" s="15" t="e">
        <f si="29" t="shared"/>
        <v>#DIV/0!</v>
      </c>
      <c r="D35" s="15" t="e">
        <f si="29" t="shared"/>
        <v>#DIV/0!</v>
      </c>
      <c r="E35" s="15" t="e">
        <f si="29" t="shared"/>
        <v>#DIV/0!</v>
      </c>
      <c r="F35" s="15" t="e">
        <f si="29" t="shared"/>
        <v>#DIV/0!</v>
      </c>
      <c r="G35" s="15" t="e">
        <f si="29" t="shared"/>
        <v>#DIV/0!</v>
      </c>
      <c r="H35" s="15" t="e">
        <f si="30" t="shared"/>
        <v>#DIV/0!</v>
      </c>
      <c r="I35" s="11"/>
      <c r="J35" s="15" t="e">
        <f si="23" t="shared"/>
        <v>#DIV/0!</v>
      </c>
      <c r="K35" s="12"/>
      <c r="L35" t="str">
        <f>$A$9</f>
        <v>Kirkland</v>
      </c>
      <c r="M35" s="15">
        <f si="31" t="shared"/>
        <v>0</v>
      </c>
      <c r="N35" s="15">
        <f si="31" t="shared"/>
        <v>0</v>
      </c>
      <c r="O35" s="15">
        <f si="31" t="shared"/>
        <v>0</v>
      </c>
      <c r="P35" s="15">
        <f si="31" t="shared"/>
        <v>0</v>
      </c>
      <c r="Q35" s="15">
        <f si="31" t="shared"/>
        <v>0</v>
      </c>
      <c r="R35" s="15">
        <f si="31" t="shared"/>
        <v>0</v>
      </c>
      <c r="S35" s="15">
        <f ref="S35" si="36" t="shared">S22/$U$28</f>
        <v>0</v>
      </c>
      <c r="T35" s="15"/>
      <c r="U35" s="15">
        <f si="26" t="shared"/>
        <v>0</v>
      </c>
      <c r="W35" t="str">
        <f>$A$9</f>
        <v>Kirkland</v>
      </c>
      <c r="X35" s="15" t="e">
        <f si="33" t="shared"/>
        <v>#DIV/0!</v>
      </c>
      <c r="Y35" s="15" t="e">
        <f si="34" t="shared"/>
        <v>#DIV/0!</v>
      </c>
      <c r="Z35" s="15" t="e">
        <f si="34" t="shared"/>
        <v>#DIV/0!</v>
      </c>
      <c r="AA35" s="15" t="e">
        <f si="34" t="shared"/>
        <v>#DIV/0!</v>
      </c>
      <c r="AB35" s="15" t="e">
        <f si="34" t="shared"/>
        <v>#DIV/0!</v>
      </c>
      <c r="AC35" s="15" t="e">
        <f si="34" t="shared"/>
        <v>#DIV/0!</v>
      </c>
      <c r="AD35" s="15" t="e">
        <f si="35" t="shared"/>
        <v>#DIV/0!</v>
      </c>
      <c r="AE35" s="15">
        <f si="35" t="shared"/>
        <v>0</v>
      </c>
      <c r="AF35" s="15" t="e">
        <f si="28" t="shared"/>
        <v>#DIV/0!</v>
      </c>
    </row>
    <row r="36" spans="1:32" x14ac:dyDescent="0.25">
      <c r="A36" t="str">
        <f>$A$10</f>
        <v>Redmond</v>
      </c>
      <c r="B36" s="15" t="e">
        <f si="29" t="shared"/>
        <v>#DIV/0!</v>
      </c>
      <c r="C36" s="15" t="e">
        <f si="29" t="shared"/>
        <v>#DIV/0!</v>
      </c>
      <c r="D36" s="15" t="e">
        <f si="29" t="shared"/>
        <v>#DIV/0!</v>
      </c>
      <c r="E36" s="15" t="e">
        <f si="29" t="shared"/>
        <v>#DIV/0!</v>
      </c>
      <c r="F36" s="15" t="e">
        <f si="29" t="shared"/>
        <v>#DIV/0!</v>
      </c>
      <c r="G36" s="15" t="e">
        <f si="29" t="shared"/>
        <v>#DIV/0!</v>
      </c>
      <c r="H36" s="15" t="e">
        <f si="30" t="shared"/>
        <v>#DIV/0!</v>
      </c>
      <c r="I36" s="11"/>
      <c r="J36" s="15" t="e">
        <f si="23" t="shared"/>
        <v>#DIV/0!</v>
      </c>
      <c r="K36" s="12"/>
      <c r="L36" t="str">
        <f>$A$10</f>
        <v>Redmond</v>
      </c>
      <c r="M36" s="15">
        <f si="31" t="shared"/>
        <v>0</v>
      </c>
      <c r="N36" s="15">
        <f si="31" t="shared"/>
        <v>0</v>
      </c>
      <c r="O36" s="15">
        <f si="31" t="shared"/>
        <v>0</v>
      </c>
      <c r="P36" s="15">
        <f si="31" t="shared"/>
        <v>0</v>
      </c>
      <c r="Q36" s="15">
        <f si="31" t="shared"/>
        <v>0</v>
      </c>
      <c r="R36" s="15">
        <f si="31" t="shared"/>
        <v>0</v>
      </c>
      <c r="S36" s="15">
        <f ref="S36" si="37" t="shared">S23/$U$28</f>
        <v>0</v>
      </c>
      <c r="T36" s="15"/>
      <c r="U36" s="15">
        <f si="26" t="shared"/>
        <v>0</v>
      </c>
      <c r="W36" t="str">
        <f>$A$10</f>
        <v>Redmond</v>
      </c>
      <c r="X36" s="15" t="e">
        <f si="33" t="shared"/>
        <v>#DIV/0!</v>
      </c>
      <c r="Y36" s="15" t="e">
        <f si="34" t="shared"/>
        <v>#DIV/0!</v>
      </c>
      <c r="Z36" s="15" t="e">
        <f si="34" t="shared"/>
        <v>#DIV/0!</v>
      </c>
      <c r="AA36" s="15" t="e">
        <f si="34" t="shared"/>
        <v>#DIV/0!</v>
      </c>
      <c r="AB36" s="15" t="e">
        <f si="34" t="shared"/>
        <v>#DIV/0!</v>
      </c>
      <c r="AC36" s="15" t="e">
        <f si="34" t="shared"/>
        <v>#DIV/0!</v>
      </c>
      <c r="AD36" s="15" t="e">
        <f si="35" t="shared"/>
        <v>#DIV/0!</v>
      </c>
      <c r="AE36" s="15">
        <f si="35" t="shared"/>
        <v>0</v>
      </c>
      <c r="AF36" s="15" t="e">
        <f si="28" t="shared"/>
        <v>#DIV/0!</v>
      </c>
    </row>
    <row r="37" spans="1:32" x14ac:dyDescent="0.25">
      <c r="A37" t="str">
        <f>$A$11</f>
        <v>Seattle</v>
      </c>
      <c r="B37" s="15" t="e">
        <f si="29" t="shared"/>
        <v>#DIV/0!</v>
      </c>
      <c r="C37" s="15" t="e">
        <f si="29" t="shared"/>
        <v>#DIV/0!</v>
      </c>
      <c r="D37" s="15" t="e">
        <f si="29" t="shared"/>
        <v>#DIV/0!</v>
      </c>
      <c r="E37" s="15" t="e">
        <f si="29" t="shared"/>
        <v>#DIV/0!</v>
      </c>
      <c r="F37" s="15" t="e">
        <f si="29" t="shared"/>
        <v>#DIV/0!</v>
      </c>
      <c r="G37" s="15" t="e">
        <f si="29" t="shared"/>
        <v>#DIV/0!</v>
      </c>
      <c r="H37" s="15" t="e">
        <f si="30" t="shared"/>
        <v>#DIV/0!</v>
      </c>
      <c r="I37" s="11"/>
      <c r="J37" s="15" t="e">
        <f si="23" t="shared"/>
        <v>#DIV/0!</v>
      </c>
      <c r="K37" s="12"/>
      <c r="L37" t="str">
        <f>$A$11</f>
        <v>Seattle</v>
      </c>
      <c r="M37" s="15">
        <f si="31" t="shared"/>
        <v>0</v>
      </c>
      <c r="N37" s="15">
        <f si="31" t="shared"/>
        <v>0</v>
      </c>
      <c r="O37" s="15">
        <f si="31" t="shared"/>
        <v>0</v>
      </c>
      <c r="P37" s="15">
        <f si="31" t="shared"/>
        <v>0</v>
      </c>
      <c r="Q37" s="15">
        <f si="31" t="shared"/>
        <v>0</v>
      </c>
      <c r="R37" s="15">
        <f si="31" t="shared"/>
        <v>0</v>
      </c>
      <c r="S37" s="15">
        <f ref="S37" si="38" t="shared">S24/$U$28</f>
        <v>0</v>
      </c>
      <c r="T37" s="15"/>
      <c r="U37" s="15">
        <f si="26" t="shared"/>
        <v>0</v>
      </c>
      <c r="W37" t="str">
        <f>$A$11</f>
        <v>Seattle</v>
      </c>
      <c r="X37" s="15" t="e">
        <f si="33" t="shared"/>
        <v>#DIV/0!</v>
      </c>
      <c r="Y37" s="15" t="e">
        <f si="34" t="shared"/>
        <v>#DIV/0!</v>
      </c>
      <c r="Z37" s="15" t="e">
        <f si="34" t="shared"/>
        <v>#DIV/0!</v>
      </c>
      <c r="AA37" s="15" t="e">
        <f si="34" t="shared"/>
        <v>#DIV/0!</v>
      </c>
      <c r="AB37" s="15" t="e">
        <f si="34" t="shared"/>
        <v>#DIV/0!</v>
      </c>
      <c r="AC37" s="15" t="e">
        <f si="34" t="shared"/>
        <v>#DIV/0!</v>
      </c>
      <c r="AD37" s="15" t="e">
        <f si="35" t="shared"/>
        <v>#DIV/0!</v>
      </c>
      <c r="AE37" s="15">
        <f si="35" t="shared"/>
        <v>0</v>
      </c>
      <c r="AF37" s="15" t="e">
        <f si="28" t="shared"/>
        <v>#DIV/0!</v>
      </c>
    </row>
    <row r="38" spans="1:32" x14ac:dyDescent="0.25">
      <c r="A38" t="str">
        <f>$A$12</f>
        <v>Seattle Downtown</v>
      </c>
      <c r="B38" s="15" t="e">
        <f si="29" t="shared"/>
        <v>#DIV/0!</v>
      </c>
      <c r="C38" s="15" t="e">
        <f si="29" t="shared"/>
        <v>#DIV/0!</v>
      </c>
      <c r="D38" s="15" t="e">
        <f si="29" t="shared"/>
        <v>#DIV/0!</v>
      </c>
      <c r="E38" s="15" t="e">
        <f si="29" t="shared"/>
        <v>#DIV/0!</v>
      </c>
      <c r="F38" s="15" t="e">
        <f si="29" t="shared"/>
        <v>#DIV/0!</v>
      </c>
      <c r="G38" s="15" t="e">
        <f si="29" t="shared"/>
        <v>#DIV/0!</v>
      </c>
      <c r="H38" s="15" t="e">
        <f si="30" t="shared"/>
        <v>#DIV/0!</v>
      </c>
      <c r="I38" s="11"/>
      <c r="J38" s="15" t="e">
        <f si="23" t="shared"/>
        <v>#DIV/0!</v>
      </c>
      <c r="K38" s="12"/>
      <c r="L38" t="str">
        <f>$A$12</f>
        <v>Seattle Downtown</v>
      </c>
      <c r="M38" s="15">
        <f si="31" t="shared"/>
        <v>0</v>
      </c>
      <c r="N38" s="15">
        <f si="31" t="shared"/>
        <v>0</v>
      </c>
      <c r="O38" s="15">
        <f si="31" t="shared"/>
        <v>0</v>
      </c>
      <c r="P38" s="15">
        <f si="31" t="shared"/>
        <v>0</v>
      </c>
      <c r="Q38" s="15">
        <f si="31" t="shared"/>
        <v>0</v>
      </c>
      <c r="R38" s="15">
        <f si="31" t="shared"/>
        <v>0</v>
      </c>
      <c r="S38" s="15">
        <f ref="S38" si="39" t="shared">S25/$U$28</f>
        <v>0</v>
      </c>
      <c r="T38" s="15"/>
      <c r="U38" s="15">
        <f si="26" t="shared"/>
        <v>0</v>
      </c>
      <c r="W38" t="str">
        <f>$A$12</f>
        <v>Seattle Downtown</v>
      </c>
      <c r="X38" s="15" t="e">
        <f si="33" t="shared"/>
        <v>#DIV/0!</v>
      </c>
      <c r="Y38" s="15" t="e">
        <f si="34" t="shared"/>
        <v>#DIV/0!</v>
      </c>
      <c r="Z38" s="15" t="e">
        <f si="34" t="shared"/>
        <v>#DIV/0!</v>
      </c>
      <c r="AA38" s="15" t="e">
        <f si="34" t="shared"/>
        <v>#DIV/0!</v>
      </c>
      <c r="AB38" s="15" t="e">
        <f si="34" t="shared"/>
        <v>#DIV/0!</v>
      </c>
      <c r="AC38" s="15" t="e">
        <f si="34" t="shared"/>
        <v>#DIV/0!</v>
      </c>
      <c r="AD38" s="15" t="e">
        <f si="35" t="shared"/>
        <v>#DIV/0!</v>
      </c>
      <c r="AE38" s="15">
        <f si="35" t="shared"/>
        <v>0</v>
      </c>
      <c r="AF38" s="15" t="e">
        <f si="28" t="shared"/>
        <v>#DIV/0!</v>
      </c>
    </row>
    <row r="39" spans="1:32" x14ac:dyDescent="0.25">
      <c r="A39" t="str">
        <f>$A$13</f>
        <v>Rest</v>
      </c>
      <c r="B39" s="15" t="e">
        <f si="29" t="shared"/>
        <v>#DIV/0!</v>
      </c>
      <c r="C39" s="15" t="e">
        <f si="29" t="shared"/>
        <v>#DIV/0!</v>
      </c>
      <c r="D39" s="15" t="e">
        <f si="29" t="shared"/>
        <v>#DIV/0!</v>
      </c>
      <c r="E39" s="15" t="e">
        <f si="29" t="shared"/>
        <v>#DIV/0!</v>
      </c>
      <c r="F39" s="15" t="e">
        <f si="29" t="shared"/>
        <v>#DIV/0!</v>
      </c>
      <c r="G39" s="15" t="e">
        <f si="29" t="shared"/>
        <v>#DIV/0!</v>
      </c>
      <c r="H39" s="15" t="e">
        <f si="30" t="shared"/>
        <v>#DIV/0!</v>
      </c>
      <c r="I39" s="11"/>
      <c r="J39" s="15" t="e">
        <f si="23" t="shared"/>
        <v>#DIV/0!</v>
      </c>
      <c r="K39" s="12"/>
      <c r="L39" t="str">
        <f>A39</f>
        <v>Rest</v>
      </c>
      <c r="M39" s="15">
        <f si="31" t="shared"/>
        <v>0</v>
      </c>
      <c r="N39" s="15">
        <f si="31" t="shared"/>
        <v>0</v>
      </c>
      <c r="O39" s="15">
        <f si="31" t="shared"/>
        <v>0</v>
      </c>
      <c r="P39" s="15">
        <f si="31" t="shared"/>
        <v>0</v>
      </c>
      <c r="Q39" s="15">
        <f si="31" t="shared"/>
        <v>0</v>
      </c>
      <c r="R39" s="15">
        <f si="31" t="shared"/>
        <v>0</v>
      </c>
      <c r="S39" s="15">
        <f ref="S39" si="40" t="shared">S26/$U$28</f>
        <v>0</v>
      </c>
      <c r="T39" s="15"/>
      <c r="U39" s="15">
        <f si="26" t="shared"/>
        <v>0</v>
      </c>
      <c r="W39" t="str">
        <f>$A$13</f>
        <v>Rest</v>
      </c>
      <c r="X39" s="15" t="e">
        <f si="33" t="shared"/>
        <v>#DIV/0!</v>
      </c>
      <c r="Y39" s="15" t="e">
        <f ref="Y39" si="41" t="shared">N39-C39</f>
        <v>#DIV/0!</v>
      </c>
      <c r="Z39" s="15" t="e">
        <f ref="Z39" si="42" t="shared">O39-D39</f>
        <v>#DIV/0!</v>
      </c>
      <c r="AA39" s="15" t="e">
        <f ref="AA39" si="43" t="shared">P39-E39</f>
        <v>#DIV/0!</v>
      </c>
      <c r="AB39" s="15" t="e">
        <f ref="AB39" si="44" t="shared">Q39-F39</f>
        <v>#DIV/0!</v>
      </c>
      <c r="AC39" s="15" t="e">
        <f ref="AC39" si="45" t="shared">R39-G39</f>
        <v>#DIV/0!</v>
      </c>
      <c r="AD39" s="15" t="e">
        <f si="35" t="shared"/>
        <v>#DIV/0!</v>
      </c>
      <c r="AE39" s="15">
        <f si="35" t="shared"/>
        <v>0</v>
      </c>
      <c r="AF39" s="15" t="e">
        <f si="28" t="shared"/>
        <v>#DIV/0!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5.75" r="41" spans="1:32" thickBot="1" x14ac:dyDescent="0.3">
      <c r="A41" s="1" t="s">
        <v>4</v>
      </c>
      <c r="B41" s="17" t="e">
        <f ref="B41:J41" si="46" t="shared">B28/$J$28</f>
        <v>#DIV/0!</v>
      </c>
      <c r="C41" s="17" t="e">
        <f si="46" t="shared"/>
        <v>#DIV/0!</v>
      </c>
      <c r="D41" s="17" t="e">
        <f si="46" t="shared"/>
        <v>#DIV/0!</v>
      </c>
      <c r="E41" s="17" t="e">
        <f si="46" t="shared"/>
        <v>#DIV/0!</v>
      </c>
      <c r="F41" s="17" t="e">
        <f si="46" t="shared"/>
        <v>#DIV/0!</v>
      </c>
      <c r="G41" s="17" t="e">
        <f si="46" t="shared"/>
        <v>#DIV/0!</v>
      </c>
      <c r="H41" s="17" t="e">
        <f si="46" t="shared"/>
        <v>#DIV/0!</v>
      </c>
      <c r="I41" s="17" t="e">
        <f si="46" t="shared"/>
        <v>#DIV/0!</v>
      </c>
      <c r="J41" s="17" t="e">
        <f si="46" t="shared"/>
        <v>#DIV/0!</v>
      </c>
      <c r="K41" s="11"/>
      <c r="L41" s="14" t="s">
        <v>4</v>
      </c>
      <c r="M41" s="17">
        <f>M28/$U$28</f>
        <v>1</v>
      </c>
      <c r="N41" s="17">
        <f>N28/$U$28</f>
        <v>0</v>
      </c>
      <c r="O41" s="17">
        <f>O28/$U$28</f>
        <v>0</v>
      </c>
      <c r="P41" s="17">
        <f>P28/$U$28</f>
        <v>0</v>
      </c>
      <c r="Q41" s="17">
        <f ref="Q41:S41" si="47" t="shared">Q28/$U$28</f>
        <v>0</v>
      </c>
      <c r="R41" s="17">
        <f si="47" t="shared"/>
        <v>0</v>
      </c>
      <c r="S41" s="17">
        <f si="47" t="shared"/>
        <v>0</v>
      </c>
      <c r="T41" s="17">
        <f>T28/$U$28</f>
        <v>0</v>
      </c>
      <c r="U41" s="17">
        <f>U28/$U$28</f>
        <v>1</v>
      </c>
      <c r="W41" s="14" t="s">
        <v>4</v>
      </c>
      <c r="X41" s="17" t="e">
        <f ref="X41:AF41" si="48" t="shared">M41-B41</f>
        <v>#DIV/0!</v>
      </c>
      <c r="Y41" s="17" t="e">
        <f si="48" t="shared"/>
        <v>#DIV/0!</v>
      </c>
      <c r="Z41" s="17" t="e">
        <f si="48" t="shared"/>
        <v>#DIV/0!</v>
      </c>
      <c r="AA41" s="17" t="e">
        <f si="48" t="shared"/>
        <v>#DIV/0!</v>
      </c>
      <c r="AB41" s="17" t="e">
        <f si="48" t="shared"/>
        <v>#DIV/0!</v>
      </c>
      <c r="AC41" s="17" t="e">
        <f si="48" t="shared"/>
        <v>#DIV/0!</v>
      </c>
      <c r="AD41" s="17" t="e">
        <f si="48" t="shared"/>
        <v>#DIV/0!</v>
      </c>
      <c r="AE41" s="17" t="e">
        <f si="48" t="shared"/>
        <v>#DIV/0!</v>
      </c>
      <c r="AF41" s="17" t="e">
        <f si="48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19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A8" t="s">
        <v>232</v>
      </c>
      <c r="B8" t="s">
        <v>233</v>
      </c>
      <c r="C8" t="s">
        <v>234</v>
      </c>
      <c r="D8" t="s">
        <v>287</v>
      </c>
      <c r="E8" t="s">
        <v>288</v>
      </c>
      <c r="F8" t="s">
        <v>289</v>
      </c>
      <c r="G8" t="s">
        <v>290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0.91831018518518526</v>
      </c>
      <c r="G9" t="s">
        <v>239</v>
      </c>
      <c r="H9">
        <v>30</v>
      </c>
      <c r="I9" t="s">
        <v>291</v>
      </c>
      <c r="J9">
        <v>20</v>
      </c>
    </row>
    <row r="10" spans="1:11" x14ac:dyDescent="0.25">
      <c r="A10" t="s">
        <v>240</v>
      </c>
    </row>
    <row r="11" spans="1:11" x14ac:dyDescent="0.25">
      <c r="B11">
        <v>1</v>
      </c>
      <c r="C11" t="s">
        <v>292</v>
      </c>
      <c r="D11" t="s">
        <v>241</v>
      </c>
      <c r="E11">
        <v>1</v>
      </c>
      <c r="F11">
        <v>1</v>
      </c>
    </row>
    <row r="12" spans="1:11" x14ac:dyDescent="0.25">
      <c r="B12">
        <v>2</v>
      </c>
      <c r="C12" t="s">
        <v>293</v>
      </c>
      <c r="D12" t="s">
        <v>242</v>
      </c>
      <c r="E12">
        <v>14.842474747500001</v>
      </c>
      <c r="F12">
        <v>1.83835803238</v>
      </c>
    </row>
    <row r="13" spans="1:11" x14ac:dyDescent="0.25">
      <c r="B13">
        <v>3</v>
      </c>
      <c r="C13" t="s">
        <v>294</v>
      </c>
      <c r="D13" t="s">
        <v>242</v>
      </c>
      <c r="E13" s="243">
        <v>5.2231850982500001E-2</v>
      </c>
      <c r="F13">
        <v>0.20210412377100001</v>
      </c>
    </row>
    <row r="14" spans="1:11" x14ac:dyDescent="0.25">
      <c r="B14">
        <v>4</v>
      </c>
      <c r="C14" t="s">
        <v>295</v>
      </c>
      <c r="D14" t="s">
        <v>242</v>
      </c>
      <c r="E14" s="243">
        <v>-0.28042629390099999</v>
      </c>
      <c r="F14">
        <v>0.214012249288</v>
      </c>
    </row>
    <row r="15" spans="1:11" x14ac:dyDescent="0.25">
      <c r="B15">
        <v>5</v>
      </c>
      <c r="C15" t="s">
        <v>296</v>
      </c>
      <c r="D15" t="s">
        <v>242</v>
      </c>
      <c r="E15" s="243">
        <v>3.8864252169499999E-2</v>
      </c>
      <c r="F15">
        <v>0.22261163226899999</v>
      </c>
    </row>
    <row r="16" spans="1:11" x14ac:dyDescent="0.25">
      <c r="B16">
        <v>6</v>
      </c>
      <c r="C16" t="s">
        <v>297</v>
      </c>
      <c r="D16" t="s">
        <v>242</v>
      </c>
      <c r="E16" s="243">
        <v>-5.4105027761100002E-2</v>
      </c>
      <c r="F16" s="243">
        <v>9.1881732487999995E-2</v>
      </c>
    </row>
    <row r="17" spans="2:6" x14ac:dyDescent="0.25">
      <c r="B17">
        <v>7</v>
      </c>
      <c r="C17" t="s">
        <v>298</v>
      </c>
      <c r="D17" t="s">
        <v>242</v>
      </c>
      <c r="E17">
        <v>-1.2443107654000001</v>
      </c>
      <c r="F17">
        <v>0.19943151784099999</v>
      </c>
    </row>
    <row r="18" spans="2:6" x14ac:dyDescent="0.25">
      <c r="B18">
        <v>8</v>
      </c>
      <c r="C18" t="s">
        <v>299</v>
      </c>
      <c r="D18" t="s">
        <v>242</v>
      </c>
      <c r="E18" s="243">
        <v>0.41298170440800003</v>
      </c>
      <c r="F18">
        <v>0.14496922102199999</v>
      </c>
    </row>
    <row r="19" spans="2:6" x14ac:dyDescent="0.25">
      <c r="B19">
        <v>9</v>
      </c>
      <c r="C19" t="s">
        <v>300</v>
      </c>
      <c r="D19" t="s">
        <v>242</v>
      </c>
      <c r="E19" s="243">
        <v>-0.26420630814700002</v>
      </c>
      <c r="F19">
        <v>0.19387529082999999</v>
      </c>
    </row>
    <row r="20" spans="2:6" x14ac:dyDescent="0.25">
      <c r="B20">
        <v>10</v>
      </c>
      <c r="C20" t="s">
        <v>301</v>
      </c>
      <c r="D20" t="s">
        <v>242</v>
      </c>
      <c r="E20">
        <v>-0.35872692861799998</v>
      </c>
      <c r="F20">
        <v>0.100051515259</v>
      </c>
    </row>
    <row r="21" spans="2:6" x14ac:dyDescent="0.25">
      <c r="B21">
        <v>11</v>
      </c>
      <c r="C21" t="s">
        <v>302</v>
      </c>
      <c r="D21" t="s">
        <v>242</v>
      </c>
      <c r="E21">
        <v>0.20317681554899999</v>
      </c>
      <c r="F21">
        <v>0.247232349657</v>
      </c>
    </row>
    <row r="22" spans="2:6" x14ac:dyDescent="0.25">
      <c r="B22">
        <v>12</v>
      </c>
      <c r="C22" t="s">
        <v>303</v>
      </c>
      <c r="D22" t="s">
        <v>242</v>
      </c>
      <c r="E22">
        <v>-0.25772334575</v>
      </c>
      <c r="F22">
        <v>0.170336028034</v>
      </c>
    </row>
    <row r="23" spans="2:6" x14ac:dyDescent="0.25">
      <c r="B23">
        <v>13</v>
      </c>
      <c r="C23" t="s">
        <v>304</v>
      </c>
      <c r="D23" t="s">
        <v>242</v>
      </c>
      <c r="E23">
        <v>-1.51291507531</v>
      </c>
      <c r="F23">
        <v>0.20916747597900001</v>
      </c>
    </row>
    <row r="24" spans="2:6" x14ac:dyDescent="0.25">
      <c r="B24">
        <v>14</v>
      </c>
      <c r="C24" t="s">
        <v>305</v>
      </c>
      <c r="D24" t="s">
        <v>242</v>
      </c>
      <c r="E24">
        <v>-0.21776561918199999</v>
      </c>
      <c r="F24" s="243">
        <v>7.7382027445400001E-2</v>
      </c>
    </row>
    <row r="25" spans="2:6" x14ac:dyDescent="0.25">
      <c r="B25">
        <v>15</v>
      </c>
      <c r="C25" t="s">
        <v>306</v>
      </c>
      <c r="D25" t="s">
        <v>242</v>
      </c>
      <c r="E25">
        <v>-1.27163179208</v>
      </c>
      <c r="F25">
        <v>0.50605159824699997</v>
      </c>
    </row>
    <row r="26" spans="2:6" x14ac:dyDescent="0.25">
      <c r="B26">
        <v>16</v>
      </c>
      <c r="C26" t="s">
        <v>307</v>
      </c>
      <c r="D26" t="s">
        <v>242</v>
      </c>
      <c r="E26">
        <v>-0.54089688480800002</v>
      </c>
      <c r="F26">
        <v>0.15561651788600001</v>
      </c>
    </row>
    <row r="27" spans="2:6" x14ac:dyDescent="0.25">
      <c r="B27">
        <v>17</v>
      </c>
      <c r="C27" t="s">
        <v>308</v>
      </c>
      <c r="D27" t="s">
        <v>241</v>
      </c>
      <c r="E27">
        <v>0</v>
      </c>
      <c r="F27">
        <v>1</v>
      </c>
    </row>
    <row r="28" spans="2:6" x14ac:dyDescent="0.25">
      <c r="B28">
        <v>18</v>
      </c>
      <c r="C28" t="s">
        <v>309</v>
      </c>
      <c r="D28" t="s">
        <v>241</v>
      </c>
      <c r="E28">
        <v>0</v>
      </c>
      <c r="F28">
        <v>1</v>
      </c>
    </row>
    <row r="29" spans="2:6" x14ac:dyDescent="0.25">
      <c r="B29">
        <v>19</v>
      </c>
      <c r="C29" t="s">
        <v>310</v>
      </c>
      <c r="D29" t="s">
        <v>241</v>
      </c>
      <c r="E29">
        <v>0</v>
      </c>
      <c r="F29">
        <v>1</v>
      </c>
    </row>
    <row r="30" spans="2:6" x14ac:dyDescent="0.25">
      <c r="B30">
        <v>20</v>
      </c>
      <c r="C30" t="s">
        <v>311</v>
      </c>
      <c r="D30" t="s">
        <v>242</v>
      </c>
      <c r="E30">
        <v>0.43763139961699998</v>
      </c>
      <c r="F30" s="243">
        <v>4.8429506021399997E-2</v>
      </c>
    </row>
    <row r="31" spans="2:6" x14ac:dyDescent="0.25">
      <c r="B31">
        <v>21</v>
      </c>
      <c r="C31" t="s">
        <v>312</v>
      </c>
      <c r="D31" t="s">
        <v>242</v>
      </c>
      <c r="E31">
        <v>-5.1729505125899999</v>
      </c>
      <c r="F31">
        <v>1.47237352721</v>
      </c>
    </row>
    <row r="32" spans="2:6" x14ac:dyDescent="0.25">
      <c r="B32">
        <v>22</v>
      </c>
      <c r="C32" t="s">
        <v>313</v>
      </c>
      <c r="D32" t="s">
        <v>242</v>
      </c>
      <c r="E32">
        <v>-5.9112646193599998</v>
      </c>
      <c r="F32">
        <v>0.31220814773599997</v>
      </c>
    </row>
    <row r="33" spans="2:6" x14ac:dyDescent="0.25">
      <c r="B33">
        <v>23</v>
      </c>
      <c r="C33" t="s">
        <v>314</v>
      </c>
      <c r="D33" t="s">
        <v>242</v>
      </c>
      <c r="E33">
        <v>-4.3510480079200002</v>
      </c>
      <c r="F33">
        <v>0.18576143123800001</v>
      </c>
    </row>
    <row r="34" spans="2:6" x14ac:dyDescent="0.25">
      <c r="B34">
        <v>24</v>
      </c>
      <c r="C34" t="s">
        <v>315</v>
      </c>
      <c r="D34" t="s">
        <v>242</v>
      </c>
      <c r="E34">
        <v>0.219929989326</v>
      </c>
      <c r="F34" s="243">
        <v>1.3645721239299999E-2</v>
      </c>
    </row>
    <row r="35" spans="2:6" x14ac:dyDescent="0.25">
      <c r="B35">
        <v>25</v>
      </c>
      <c r="C35" t="s">
        <v>316</v>
      </c>
      <c r="D35" t="s">
        <v>242</v>
      </c>
      <c r="E35">
        <v>-0.19965371290799999</v>
      </c>
      <c r="F35" s="243">
        <v>1.5268311706199999E-2</v>
      </c>
    </row>
    <row r="36" spans="2:6" x14ac:dyDescent="0.25">
      <c r="B36">
        <v>26</v>
      </c>
      <c r="C36" t="s">
        <v>317</v>
      </c>
      <c r="D36" t="s">
        <v>242</v>
      </c>
      <c r="E36">
        <v>0.456947594269</v>
      </c>
      <c r="F36" s="243">
        <v>8.45315868922E-2</v>
      </c>
    </row>
    <row r="37" spans="2:6" x14ac:dyDescent="0.25">
      <c r="B37">
        <v>27</v>
      </c>
      <c r="C37" t="s">
        <v>318</v>
      </c>
      <c r="D37" t="s">
        <v>242</v>
      </c>
      <c r="E37">
        <v>-16.041405463699999</v>
      </c>
      <c r="F37">
        <v>1.44425336446</v>
      </c>
    </row>
    <row r="38" spans="2:6" x14ac:dyDescent="0.25">
      <c r="B38">
        <v>28</v>
      </c>
      <c r="C38" t="s">
        <v>319</v>
      </c>
      <c r="D38" t="s">
        <v>242</v>
      </c>
      <c r="E38">
        <v>-4.0058838759500004</v>
      </c>
      <c r="F38">
        <v>0.35273062120999998</v>
      </c>
    </row>
    <row r="39" spans="2:6" x14ac:dyDescent="0.25">
      <c r="B39">
        <v>29</v>
      </c>
      <c r="C39" t="s">
        <v>320</v>
      </c>
      <c r="D39" t="s">
        <v>242</v>
      </c>
      <c r="E39">
        <v>-2.2602358254700001</v>
      </c>
      <c r="F39">
        <v>0.146992342355</v>
      </c>
    </row>
    <row r="40" spans="2:6" x14ac:dyDescent="0.25">
      <c r="B40">
        <v>30</v>
      </c>
      <c r="C40" t="s">
        <v>321</v>
      </c>
      <c r="D40" t="s">
        <v>242</v>
      </c>
      <c r="E40">
        <v>-0.57131171698200001</v>
      </c>
      <c r="F40" s="243">
        <v>8.1640985937999996E-2</v>
      </c>
    </row>
    <row r="41" spans="2:6" x14ac:dyDescent="0.25">
      <c r="B41">
        <v>31</v>
      </c>
      <c r="C41" t="s">
        <v>322</v>
      </c>
      <c r="D41" t="s">
        <v>242</v>
      </c>
      <c r="E41" s="243">
        <v>-9.1432405138999993E-3</v>
      </c>
      <c r="F41" s="243">
        <v>1.8681010178100001E-2</v>
      </c>
    </row>
    <row r="42" spans="2:6" x14ac:dyDescent="0.25">
      <c r="B42">
        <v>32</v>
      </c>
      <c r="C42" t="s">
        <v>323</v>
      </c>
      <c r="D42" t="s">
        <v>242</v>
      </c>
      <c r="E42">
        <v>-0.11638214876</v>
      </c>
      <c r="F42" s="243">
        <v>2.0027350623800001E-2</v>
      </c>
    </row>
    <row r="43" spans="2:6" x14ac:dyDescent="0.25">
      <c r="B43">
        <v>33</v>
      </c>
      <c r="C43" t="s">
        <v>324</v>
      </c>
      <c r="D43" t="s">
        <v>242</v>
      </c>
      <c r="E43" s="243">
        <v>5.6920874310099998E-2</v>
      </c>
      <c r="F43" s="243">
        <v>1.00062712342E-2</v>
      </c>
    </row>
    <row r="44" spans="2:6" x14ac:dyDescent="0.25">
      <c r="B44">
        <v>34</v>
      </c>
      <c r="C44" t="s">
        <v>325</v>
      </c>
      <c r="D44" t="s">
        <v>242</v>
      </c>
      <c r="E44" s="243">
        <v>-1.9362324458399999E-2</v>
      </c>
      <c r="F44" s="243">
        <v>1.63018501781E-2</v>
      </c>
    </row>
    <row r="45" spans="2:6" x14ac:dyDescent="0.25">
      <c r="B45">
        <v>35</v>
      </c>
      <c r="C45" t="s">
        <v>326</v>
      </c>
      <c r="D45" t="s">
        <v>242</v>
      </c>
      <c r="E45" s="243">
        <v>1.8323476485999999E-2</v>
      </c>
      <c r="F45" s="243">
        <v>1.2148526885499999E-2</v>
      </c>
    </row>
    <row r="46" spans="2:6" x14ac:dyDescent="0.25">
      <c r="B46">
        <v>36</v>
      </c>
      <c r="C46" t="s">
        <v>327</v>
      </c>
      <c r="D46" t="s">
        <v>242</v>
      </c>
      <c r="E46" s="243">
        <v>2.3040582229000002</v>
      </c>
      <c r="F46" s="243">
        <v>0.22055425229699999</v>
      </c>
    </row>
    <row r="47" spans="2:6" x14ac:dyDescent="0.25">
      <c r="B47">
        <v>37</v>
      </c>
      <c r="C47" t="s">
        <v>328</v>
      </c>
      <c r="D47" t="s">
        <v>242</v>
      </c>
      <c r="E47">
        <v>-7.2225250615199998</v>
      </c>
      <c r="F47">
        <v>1.6810961957599999</v>
      </c>
    </row>
    <row r="48" spans="2:6" x14ac:dyDescent="0.25">
      <c r="B48">
        <v>38</v>
      </c>
      <c r="C48" t="s">
        <v>329</v>
      </c>
      <c r="D48" t="s">
        <v>242</v>
      </c>
      <c r="E48">
        <v>-5.4693439766900003</v>
      </c>
      <c r="F48">
        <v>0.390672154306</v>
      </c>
    </row>
    <row r="49" spans="2:6" x14ac:dyDescent="0.25">
      <c r="B49">
        <v>39</v>
      </c>
      <c r="C49" t="s">
        <v>330</v>
      </c>
      <c r="D49" t="s">
        <v>242</v>
      </c>
      <c r="E49">
        <v>-2.4179033783600001</v>
      </c>
      <c r="F49">
        <v>0.223286996333</v>
      </c>
    </row>
    <row r="50" spans="2:6" x14ac:dyDescent="0.25">
      <c r="B50">
        <v>40</v>
      </c>
      <c r="C50" t="s">
        <v>331</v>
      </c>
      <c r="D50" t="s">
        <v>242</v>
      </c>
      <c r="E50">
        <v>-0.24529497763800001</v>
      </c>
      <c r="F50">
        <v>0.173792333986</v>
      </c>
    </row>
    <row r="51" spans="2:6" x14ac:dyDescent="0.25">
      <c r="B51">
        <v>41</v>
      </c>
      <c r="C51" t="s">
        <v>332</v>
      </c>
      <c r="D51" t="s">
        <v>242</v>
      </c>
      <c r="E51">
        <v>-0.100545011408</v>
      </c>
      <c r="F51" s="243">
        <v>1.7103318696699999E-2</v>
      </c>
    </row>
    <row r="52" spans="2:6" x14ac:dyDescent="0.25">
      <c r="B52">
        <v>42</v>
      </c>
      <c r="C52" t="s">
        <v>333</v>
      </c>
      <c r="D52" t="s">
        <v>242</v>
      </c>
      <c r="E52">
        <v>0.10049185695100001</v>
      </c>
      <c r="F52" s="243">
        <v>2.1833904078799999E-2</v>
      </c>
    </row>
    <row r="53" spans="2:6" x14ac:dyDescent="0.25">
      <c r="B53">
        <v>43</v>
      </c>
      <c r="C53" t="s">
        <v>334</v>
      </c>
      <c r="D53" t="s">
        <v>242</v>
      </c>
      <c r="E53">
        <v>1.7655971612000001</v>
      </c>
      <c r="F53" s="243">
        <v>0.154891246998</v>
      </c>
    </row>
    <row r="54" spans="2:6" x14ac:dyDescent="0.25">
      <c r="B54">
        <v>44</v>
      </c>
      <c r="C54" t="s">
        <v>335</v>
      </c>
      <c r="D54" t="s">
        <v>242</v>
      </c>
      <c r="E54">
        <v>-13.482142205440001</v>
      </c>
      <c r="F54">
        <v>1.7238420080500001</v>
      </c>
    </row>
    <row r="55" spans="2:6" x14ac:dyDescent="0.25">
      <c r="B55">
        <v>45</v>
      </c>
      <c r="C55" t="s">
        <v>336</v>
      </c>
      <c r="D55" t="s">
        <v>242</v>
      </c>
      <c r="E55">
        <v>-5.7740636752999999</v>
      </c>
      <c r="F55">
        <v>0.44296383007700002</v>
      </c>
    </row>
    <row r="56" spans="2:6" x14ac:dyDescent="0.25">
      <c r="B56">
        <v>46</v>
      </c>
      <c r="C56" t="s">
        <v>337</v>
      </c>
      <c r="D56" t="s">
        <v>242</v>
      </c>
      <c r="E56">
        <v>-3.2513620839500001</v>
      </c>
      <c r="F56">
        <v>0.22459177151199999</v>
      </c>
    </row>
    <row r="57" spans="2:6" x14ac:dyDescent="0.25">
      <c r="B57">
        <v>47</v>
      </c>
      <c r="C57" t="s">
        <v>338</v>
      </c>
      <c r="D57" t="s">
        <v>242</v>
      </c>
      <c r="E57">
        <v>-0.81757689945000001</v>
      </c>
      <c r="F57">
        <v>0.14989642806799999</v>
      </c>
    </row>
    <row r="58" spans="2:6" x14ac:dyDescent="0.25">
      <c r="B58">
        <v>48</v>
      </c>
      <c r="C58" t="s">
        <v>339</v>
      </c>
      <c r="D58" t="s">
        <v>242</v>
      </c>
      <c r="E58">
        <v>0.63335958983999996</v>
      </c>
      <c r="F58" s="243">
        <v>2.38840174789E-2</v>
      </c>
    </row>
    <row r="59" spans="2:6" x14ac:dyDescent="0.25">
      <c r="B59">
        <v>49</v>
      </c>
      <c r="C59" t="s">
        <v>340</v>
      </c>
      <c r="D59" t="s">
        <v>242</v>
      </c>
      <c r="E59">
        <v>0.54194850979700004</v>
      </c>
      <c r="F59" s="243">
        <v>0.13589969408700001</v>
      </c>
    </row>
    <row r="60" spans="2:6" x14ac:dyDescent="0.25">
      <c r="B60">
        <v>50</v>
      </c>
      <c r="C60" t="s">
        <v>341</v>
      </c>
      <c r="D60" t="s">
        <v>242</v>
      </c>
      <c r="E60">
        <v>-26.641935956609998</v>
      </c>
      <c r="F60">
        <v>1.5214646814199999</v>
      </c>
    </row>
    <row r="61" spans="2:6" x14ac:dyDescent="0.25">
      <c r="B61">
        <v>51</v>
      </c>
      <c r="C61" t="s">
        <v>342</v>
      </c>
      <c r="D61" t="s">
        <v>242</v>
      </c>
      <c r="E61">
        <v>-5.8569921168899999</v>
      </c>
      <c r="F61">
        <v>0.46611202703900001</v>
      </c>
    </row>
    <row r="62" spans="2:6" x14ac:dyDescent="0.25">
      <c r="B62">
        <v>52</v>
      </c>
      <c r="C62" t="s">
        <v>343</v>
      </c>
      <c r="D62" t="s">
        <v>242</v>
      </c>
      <c r="E62">
        <v>-3.0622160410500001</v>
      </c>
      <c r="F62">
        <v>0.205947789785</v>
      </c>
    </row>
    <row r="63" spans="2:6" x14ac:dyDescent="0.25">
      <c r="B63">
        <v>53</v>
      </c>
      <c r="C63" t="s">
        <v>344</v>
      </c>
      <c r="D63" t="s">
        <v>242</v>
      </c>
      <c r="E63">
        <v>-1.4592147580599999</v>
      </c>
      <c r="F63">
        <v>0.12706460553599999</v>
      </c>
    </row>
    <row r="64" spans="2:6" x14ac:dyDescent="0.25">
      <c r="B64">
        <v>54</v>
      </c>
      <c r="C64" t="s">
        <v>345</v>
      </c>
      <c r="D64" t="s">
        <v>242</v>
      </c>
      <c r="E64">
        <v>-0.160744421114</v>
      </c>
      <c r="F64" s="243">
        <v>3.1643512928099998E-2</v>
      </c>
    </row>
    <row r="65" spans="2:6" x14ac:dyDescent="0.25">
      <c r="B65">
        <v>55</v>
      </c>
      <c r="C65" t="s">
        <v>346</v>
      </c>
      <c r="D65" t="s">
        <v>242</v>
      </c>
      <c r="E65">
        <v>0.101769944302</v>
      </c>
      <c r="F65" s="243">
        <v>4.0472600922499997E-2</v>
      </c>
    </row>
    <row r="66" spans="2:6" x14ac:dyDescent="0.25">
      <c r="B66">
        <v>56</v>
      </c>
      <c r="C66" t="s">
        <v>347</v>
      </c>
      <c r="D66" t="s">
        <v>242</v>
      </c>
      <c r="E66" s="243">
        <v>-7.3004796389399995E-2</v>
      </c>
      <c r="F66" s="243">
        <v>2.7878888340600001E-2</v>
      </c>
    </row>
    <row r="67" spans="2:6" x14ac:dyDescent="0.25">
      <c r="B67">
        <v>57</v>
      </c>
      <c r="C67" t="s">
        <v>348</v>
      </c>
      <c r="D67" t="s">
        <v>242</v>
      </c>
      <c r="E67" s="243">
        <v>4.7664283443500002E-2</v>
      </c>
      <c r="F67" s="243">
        <v>1.5452195556500001E-2</v>
      </c>
    </row>
    <row r="68" spans="2:6" x14ac:dyDescent="0.25">
      <c r="B68">
        <v>70</v>
      </c>
      <c r="C68" t="s">
        <v>97</v>
      </c>
      <c r="D68" t="s">
        <v>242</v>
      </c>
      <c r="E68" s="243">
        <v>0.70165957865100004</v>
      </c>
      <c r="F68" s="243">
        <v>8.1041561582700008E-3</v>
      </c>
    </row>
    <row r="69" spans="2:6" x14ac:dyDescent="0.25">
      <c r="B69">
        <v>71</v>
      </c>
      <c r="C69" t="s">
        <v>98</v>
      </c>
      <c r="D69" t="s">
        <v>241</v>
      </c>
      <c r="E69">
        <v>0</v>
      </c>
      <c r="F69" s="243">
        <v>1</v>
      </c>
    </row>
    <row r="70" spans="2:6" x14ac:dyDescent="0.25">
      <c r="B70">
        <v>72</v>
      </c>
      <c r="C70" t="s">
        <v>99</v>
      </c>
      <c r="D70" t="s">
        <v>241</v>
      </c>
      <c r="E70">
        <v>0</v>
      </c>
      <c r="F70">
        <v>1</v>
      </c>
    </row>
    <row r="71" spans="2:6" x14ac:dyDescent="0.25">
      <c r="B71">
        <v>73</v>
      </c>
      <c r="C71" t="s">
        <v>100</v>
      </c>
      <c r="D71" t="s">
        <v>242</v>
      </c>
      <c r="E71">
        <v>-1.0451393946200001</v>
      </c>
      <c r="F71">
        <v>0.334189851298</v>
      </c>
    </row>
    <row r="72" spans="2:6" x14ac:dyDescent="0.25">
      <c r="B72">
        <v>74</v>
      </c>
      <c r="C72" t="s">
        <v>101</v>
      </c>
      <c r="D72" t="s">
        <v>241</v>
      </c>
      <c r="E72">
        <v>0</v>
      </c>
      <c r="F72">
        <v>1</v>
      </c>
    </row>
    <row r="73" spans="2:6" x14ac:dyDescent="0.25">
      <c r="B73">
        <v>75</v>
      </c>
      <c r="C73" t="s">
        <v>102</v>
      </c>
      <c r="D73" t="s">
        <v>242</v>
      </c>
      <c r="E73">
        <v>-0.200987204384</v>
      </c>
      <c r="F73">
        <v>0.32860050755699999</v>
      </c>
    </row>
    <row r="74" spans="2:6" x14ac:dyDescent="0.25">
      <c r="B74">
        <v>76</v>
      </c>
      <c r="C74" t="s">
        <v>103</v>
      </c>
      <c r="D74" t="s">
        <v>242</v>
      </c>
      <c r="E74">
        <v>-0.24680877359100001</v>
      </c>
      <c r="F74">
        <v>0.218776351024</v>
      </c>
    </row>
    <row r="75" spans="2:6" x14ac:dyDescent="0.25">
      <c r="B75">
        <v>77</v>
      </c>
      <c r="C75" t="s">
        <v>104</v>
      </c>
      <c r="D75" t="s">
        <v>242</v>
      </c>
      <c r="E75">
        <v>0.105207287565</v>
      </c>
      <c r="F75">
        <v>0.33160558063000001</v>
      </c>
    </row>
    <row r="76" spans="2:6" x14ac:dyDescent="0.25">
      <c r="B76">
        <v>78</v>
      </c>
      <c r="C76" t="s">
        <v>105</v>
      </c>
      <c r="D76" t="s">
        <v>242</v>
      </c>
      <c r="E76">
        <v>-3.0261765923500001</v>
      </c>
      <c r="F76">
        <v>0.63791961209799997</v>
      </c>
    </row>
    <row r="77" spans="2:6" x14ac:dyDescent="0.25">
      <c r="B77">
        <v>79</v>
      </c>
      <c r="C77" t="s">
        <v>106</v>
      </c>
      <c r="D77" t="s">
        <v>242</v>
      </c>
      <c r="E77">
        <v>-3.16760127533</v>
      </c>
      <c r="F77">
        <v>0.17589358259900001</v>
      </c>
    </row>
    <row r="78" spans="2:6" x14ac:dyDescent="0.25">
      <c r="B78">
        <v>80</v>
      </c>
      <c r="C78" t="s">
        <v>107</v>
      </c>
      <c r="D78" t="s">
        <v>242</v>
      </c>
      <c r="E78">
        <v>3.88384299801</v>
      </c>
      <c r="F78">
        <v>0.36343710851900002</v>
      </c>
    </row>
    <row r="79" spans="2:6" x14ac:dyDescent="0.25">
      <c r="B79">
        <v>81</v>
      </c>
      <c r="C79" t="s">
        <v>108</v>
      </c>
      <c r="D79" t="s">
        <v>242</v>
      </c>
      <c r="E79">
        <v>1.2853400619999999</v>
      </c>
      <c r="F79">
        <v>0.33194844094699999</v>
      </c>
    </row>
    <row r="80" spans="2:6" x14ac:dyDescent="0.25">
      <c r="B80">
        <v>82</v>
      </c>
      <c r="C80" t="s">
        <v>109</v>
      </c>
      <c r="D80" t="s">
        <v>241</v>
      </c>
      <c r="E80">
        <v>0</v>
      </c>
      <c r="F80">
        <v>1</v>
      </c>
    </row>
    <row r="81" spans="2:6" x14ac:dyDescent="0.25">
      <c r="B81">
        <v>83</v>
      </c>
      <c r="C81" t="s">
        <v>110</v>
      </c>
      <c r="D81" t="s">
        <v>242</v>
      </c>
      <c r="E81">
        <v>1.5962822273599999</v>
      </c>
      <c r="F81">
        <v>0.31630410811600002</v>
      </c>
    </row>
    <row r="82" spans="2:6" x14ac:dyDescent="0.25">
      <c r="B82">
        <v>84</v>
      </c>
      <c r="C82" t="s">
        <v>111</v>
      </c>
      <c r="D82" t="s">
        <v>242</v>
      </c>
      <c r="E82">
        <v>1.8203743806399999</v>
      </c>
      <c r="F82">
        <v>0.32723912579699999</v>
      </c>
    </row>
    <row r="83" spans="2:6" x14ac:dyDescent="0.25">
      <c r="B83">
        <v>85</v>
      </c>
      <c r="C83" t="s">
        <v>112</v>
      </c>
      <c r="D83" t="s">
        <v>242</v>
      </c>
      <c r="E83">
        <v>0.36845448573400003</v>
      </c>
      <c r="F83">
        <v>0.41451090741399998</v>
      </c>
    </row>
    <row r="84" spans="2:6" x14ac:dyDescent="0.25">
      <c r="B84">
        <v>86</v>
      </c>
      <c r="C84" t="s">
        <v>113</v>
      </c>
      <c r="D84" t="s">
        <v>242</v>
      </c>
      <c r="E84">
        <v>-0.89988004259099996</v>
      </c>
      <c r="F84">
        <v>0.58455068333600002</v>
      </c>
    </row>
    <row r="85" spans="2:6" x14ac:dyDescent="0.25">
      <c r="B85">
        <v>87</v>
      </c>
      <c r="C85" t="s">
        <v>114</v>
      </c>
      <c r="D85" t="s">
        <v>242</v>
      </c>
      <c r="E85">
        <v>-1.54651800243</v>
      </c>
      <c r="F85">
        <v>0.28922210484799998</v>
      </c>
    </row>
    <row r="86" spans="2:6" x14ac:dyDescent="0.25">
      <c r="B86">
        <v>88</v>
      </c>
      <c r="C86" t="s">
        <v>115</v>
      </c>
      <c r="D86" t="s">
        <v>241</v>
      </c>
      <c r="E86">
        <v>0</v>
      </c>
      <c r="F86">
        <v>1</v>
      </c>
    </row>
    <row r="87" spans="2:6" x14ac:dyDescent="0.25">
      <c r="B87">
        <v>89</v>
      </c>
      <c r="C87" t="s">
        <v>116</v>
      </c>
      <c r="D87" t="s">
        <v>242</v>
      </c>
      <c r="E87">
        <v>-1.3661763944</v>
      </c>
      <c r="F87">
        <v>0.21083771707000001</v>
      </c>
    </row>
    <row r="88" spans="2:6" x14ac:dyDescent="0.25">
      <c r="B88">
        <v>90</v>
      </c>
      <c r="C88" t="s">
        <v>117</v>
      </c>
      <c r="D88" t="s">
        <v>241</v>
      </c>
      <c r="E88">
        <v>0</v>
      </c>
      <c r="F88">
        <v>1</v>
      </c>
    </row>
    <row r="89" spans="2:6" x14ac:dyDescent="0.25">
      <c r="B89">
        <v>91</v>
      </c>
      <c r="C89" t="s">
        <v>118</v>
      </c>
      <c r="D89" t="s">
        <v>242</v>
      </c>
      <c r="E89">
        <v>-0.69659049737500001</v>
      </c>
      <c r="F89">
        <v>0.118317298537</v>
      </c>
    </row>
    <row r="90" spans="2:6" x14ac:dyDescent="0.25">
      <c r="B90">
        <v>92</v>
      </c>
      <c r="C90" t="s">
        <v>119</v>
      </c>
      <c r="D90" t="s">
        <v>242</v>
      </c>
      <c r="E90">
        <v>-1.8309142732699999</v>
      </c>
      <c r="F90">
        <v>0.55098538730699997</v>
      </c>
    </row>
    <row r="91" spans="2:6" x14ac:dyDescent="0.25">
      <c r="B91">
        <v>93</v>
      </c>
      <c r="C91" t="s">
        <v>120</v>
      </c>
      <c r="D91" t="s">
        <v>242</v>
      </c>
      <c r="E91">
        <v>-1.59616837557</v>
      </c>
      <c r="F91">
        <v>0.19643171679400001</v>
      </c>
    </row>
    <row r="92" spans="2:6" x14ac:dyDescent="0.25">
      <c r="B92">
        <v>94</v>
      </c>
      <c r="C92" t="s">
        <v>121</v>
      </c>
      <c r="D92" t="s">
        <v>241</v>
      </c>
      <c r="E92">
        <v>0</v>
      </c>
      <c r="F92">
        <v>1</v>
      </c>
    </row>
    <row r="93" spans="2:6" x14ac:dyDescent="0.25">
      <c r="B93">
        <v>95</v>
      </c>
      <c r="C93" t="s">
        <v>122</v>
      </c>
      <c r="D93" t="s">
        <v>242</v>
      </c>
      <c r="E93">
        <v>-3.7524312125899999</v>
      </c>
      <c r="F93">
        <v>0.30709606176900001</v>
      </c>
    </row>
    <row r="94" spans="2:6" x14ac:dyDescent="0.25">
      <c r="B94">
        <v>96</v>
      </c>
      <c r="C94" t="s">
        <v>123</v>
      </c>
      <c r="D94" t="s">
        <v>242</v>
      </c>
      <c r="E94">
        <v>-5.15903380474</v>
      </c>
      <c r="F94">
        <v>0.17390909328599999</v>
      </c>
    </row>
    <row r="95" spans="2:6" x14ac:dyDescent="0.25">
      <c r="B95">
        <v>97</v>
      </c>
      <c r="C95" t="s">
        <v>124</v>
      </c>
      <c r="D95" t="s">
        <v>242</v>
      </c>
      <c r="E95">
        <v>-4.5752497230499998</v>
      </c>
      <c r="F95">
        <v>0.48893954592400002</v>
      </c>
    </row>
    <row r="96" spans="2:6" x14ac:dyDescent="0.25">
      <c r="B96">
        <v>98</v>
      </c>
      <c r="C96" t="s">
        <v>125</v>
      </c>
      <c r="D96" t="s">
        <v>242</v>
      </c>
      <c r="E96">
        <v>-1.55830930615</v>
      </c>
      <c r="F96">
        <v>0.29568339221599999</v>
      </c>
    </row>
    <row r="97" spans="2:6" x14ac:dyDescent="0.25">
      <c r="B97">
        <v>99</v>
      </c>
      <c r="C97" t="s">
        <v>126</v>
      </c>
      <c r="D97" t="s">
        <v>242</v>
      </c>
      <c r="E97">
        <v>-6.7687936642300004</v>
      </c>
      <c r="F97">
        <v>0.63961427466800003</v>
      </c>
    </row>
    <row r="98" spans="2:6" x14ac:dyDescent="0.25">
      <c r="B98">
        <v>100</v>
      </c>
      <c r="C98" t="s">
        <v>127</v>
      </c>
      <c r="D98" t="s">
        <v>241</v>
      </c>
      <c r="E98">
        <v>0</v>
      </c>
      <c r="F98">
        <v>1</v>
      </c>
    </row>
    <row r="99" spans="2:6" x14ac:dyDescent="0.25">
      <c r="B99">
        <v>101</v>
      </c>
      <c r="C99" t="s">
        <v>128</v>
      </c>
      <c r="D99" t="s">
        <v>242</v>
      </c>
      <c r="E99">
        <v>-4.6092008435</v>
      </c>
      <c r="F99">
        <v>0.35687158855500001</v>
      </c>
    </row>
    <row r="100" spans="2:6" x14ac:dyDescent="0.25">
      <c r="B100">
        <v>102</v>
      </c>
      <c r="C100" t="s">
        <v>129</v>
      </c>
      <c r="D100" t="s">
        <v>241</v>
      </c>
      <c r="E100">
        <v>0</v>
      </c>
      <c r="F100">
        <v>1</v>
      </c>
    </row>
    <row r="101" spans="2:6" x14ac:dyDescent="0.25">
      <c r="B101">
        <v>103</v>
      </c>
      <c r="C101" t="s">
        <v>130</v>
      </c>
      <c r="D101" t="s">
        <v>241</v>
      </c>
      <c r="E101">
        <v>0</v>
      </c>
      <c r="F101">
        <v>1</v>
      </c>
    </row>
    <row r="102" spans="2:6" x14ac:dyDescent="0.25">
      <c r="B102">
        <v>104</v>
      </c>
      <c r="C102" t="s">
        <v>131</v>
      </c>
      <c r="D102" t="s">
        <v>241</v>
      </c>
      <c r="E102">
        <v>5</v>
      </c>
      <c r="F102">
        <v>1</v>
      </c>
    </row>
    <row r="103" spans="2:6" x14ac:dyDescent="0.25">
      <c r="B103">
        <v>105</v>
      </c>
      <c r="C103" t="s">
        <v>132</v>
      </c>
      <c r="D103" t="s">
        <v>241</v>
      </c>
      <c r="E103">
        <v>5</v>
      </c>
      <c r="F103">
        <v>1</v>
      </c>
    </row>
    <row r="104" spans="2:6" x14ac:dyDescent="0.25">
      <c r="B104">
        <v>106</v>
      </c>
      <c r="C104" t="s">
        <v>133</v>
      </c>
      <c r="D104" t="s">
        <v>241</v>
      </c>
      <c r="E104">
        <v>0</v>
      </c>
      <c r="F104">
        <v>1</v>
      </c>
    </row>
    <row r="105" spans="2:6" x14ac:dyDescent="0.25">
      <c r="B105">
        <v>107</v>
      </c>
      <c r="C105" t="s">
        <v>134</v>
      </c>
      <c r="D105" t="s">
        <v>242</v>
      </c>
      <c r="E105">
        <v>3.2721559987400002</v>
      </c>
      <c r="F105">
        <v>0.189098453</v>
      </c>
    </row>
    <row r="106" spans="2:6" x14ac:dyDescent="0.25">
      <c r="B106">
        <v>108</v>
      </c>
      <c r="C106" t="s">
        <v>135</v>
      </c>
      <c r="D106" t="s">
        <v>241</v>
      </c>
      <c r="E106">
        <v>0</v>
      </c>
      <c r="F106">
        <v>1</v>
      </c>
    </row>
    <row r="107" spans="2:6" x14ac:dyDescent="0.25">
      <c r="B107">
        <v>109</v>
      </c>
      <c r="C107" t="s">
        <v>136</v>
      </c>
      <c r="D107" t="s">
        <v>242</v>
      </c>
      <c r="E107">
        <v>3.7780647491999999</v>
      </c>
      <c r="F107">
        <v>0.16415128970699999</v>
      </c>
    </row>
    <row r="108" spans="2:6" x14ac:dyDescent="0.25">
      <c r="B108">
        <v>110</v>
      </c>
      <c r="C108" t="s">
        <v>137</v>
      </c>
      <c r="D108" t="s">
        <v>242</v>
      </c>
      <c r="E108">
        <v>3.6698694381700001</v>
      </c>
      <c r="F108">
        <v>0.17265670632899999</v>
      </c>
    </row>
    <row r="109" spans="2:6" x14ac:dyDescent="0.25">
      <c r="B109">
        <v>111</v>
      </c>
      <c r="C109" t="s">
        <v>138</v>
      </c>
      <c r="D109" t="s">
        <v>241</v>
      </c>
      <c r="E109">
        <v>0</v>
      </c>
      <c r="F109">
        <v>1</v>
      </c>
    </row>
    <row r="110" spans="2:6" x14ac:dyDescent="0.25">
      <c r="B110">
        <v>112</v>
      </c>
      <c r="C110" t="s">
        <v>139</v>
      </c>
      <c r="D110" t="s">
        <v>241</v>
      </c>
      <c r="E110">
        <v>0</v>
      </c>
      <c r="F110">
        <v>1</v>
      </c>
    </row>
    <row r="111" spans="2:6" x14ac:dyDescent="0.25">
      <c r="B111">
        <v>113</v>
      </c>
      <c r="C111" t="s">
        <v>140</v>
      </c>
      <c r="D111" t="s">
        <v>242</v>
      </c>
      <c r="E111">
        <v>1.3908719595400001</v>
      </c>
      <c r="F111">
        <v>0.25447036975100001</v>
      </c>
    </row>
    <row r="112" spans="2:6" x14ac:dyDescent="0.25">
      <c r="B112">
        <v>-1</v>
      </c>
    </row>
    <row r="113" spans="2:11" x14ac:dyDescent="0.25">
      <c r="B113">
        <v>13796</v>
      </c>
      <c r="C113" s="243">
        <v>-14054.777031400001</v>
      </c>
      <c r="D113" s="243">
        <v>-53772.333307300003</v>
      </c>
      <c r="E113" s="243">
        <v>-38222.555653299998</v>
      </c>
    </row>
    <row r="114" spans="2:11" x14ac:dyDescent="0.25">
      <c r="B114">
        <v>6</v>
      </c>
      <c r="C114" s="243" t="s">
        <v>349</v>
      </c>
      <c r="D114" s="243" t="s">
        <v>239</v>
      </c>
      <c r="E114" s="243">
        <v>30</v>
      </c>
      <c r="F114" t="s">
        <v>291</v>
      </c>
      <c r="G114">
        <v>20</v>
      </c>
    </row>
    <row r="115" spans="2:11" x14ac:dyDescent="0.2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2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2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2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2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2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2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2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2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2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2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2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2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2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2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2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2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2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2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2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2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2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2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2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2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2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2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2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2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2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2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2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2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2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2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2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2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2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2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2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2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2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2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2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2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2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2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2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2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2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2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2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2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2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2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2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2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2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2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2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2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2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2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2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2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2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2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2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2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2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2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2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2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2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2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2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2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2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2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2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2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2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2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2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2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2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2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2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2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2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2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2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2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2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2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2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2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2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2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2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2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2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2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2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2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2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2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2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2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2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2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2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2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2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2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2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2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2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2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2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2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2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2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2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2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2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2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2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2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2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2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2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2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2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2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2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2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2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2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2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2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2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2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2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2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2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2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2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2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2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2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2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2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2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2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2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2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2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2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2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2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2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2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2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2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2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2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2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2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2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2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2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2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2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2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2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2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2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2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2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2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2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2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2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2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2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2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2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2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2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2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2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2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2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2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2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2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2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2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2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2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2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2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2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2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2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2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2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2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2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2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2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2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2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2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2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2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2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2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2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2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2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2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2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2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2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2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2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2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2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2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2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2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2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2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2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2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2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2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2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2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2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2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2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2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2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2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2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2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2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2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2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2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2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2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2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2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2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2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2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2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2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2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2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2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2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2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2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2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2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2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2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2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2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2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2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2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2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2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2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2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2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2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2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2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2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2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2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2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2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2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2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2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2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2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2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2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2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2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2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2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2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2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2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2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2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2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2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2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2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2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2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2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2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2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2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2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2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2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2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2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2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2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2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2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2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2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2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2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2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2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2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2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2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2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2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2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2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2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2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2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2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2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2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2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2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2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2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2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2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2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2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2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2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2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2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2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2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2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2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2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2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2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2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2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2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2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2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2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2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2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2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2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2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2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2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2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2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2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2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2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2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2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2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2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2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2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2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2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2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opLeftCell="A26" workbookViewId="0">
      <selection activeCell="Q46" sqref="Q46:Q49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270</v>
      </c>
      <c r="S1" s="203"/>
      <c r="T1" s="203" t="s">
        <v>270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271</v>
      </c>
      <c r="Q2" s="284" t="s">
        <v>272</v>
      </c>
      <c r="R2" s="290" t="s">
        <v>350</v>
      </c>
      <c r="T2" s="208"/>
      <c r="U2" s="203" t="s">
        <v>274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Beta000001</v>
      </c>
      <c r="P3" s="213">
        <f>OtherTourDestination!E11</f>
        <v>1</v>
      </c>
      <c r="Q3" s="285">
        <f>_xlfn.IFNA(VLOOKUP(N3,$B$43:$D$46,3,FALSE),P3)</f>
        <v>1</v>
      </c>
      <c r="R3" s="212">
        <f>IF(P3=Q3,0,1)</f>
        <v>0</v>
      </c>
      <c r="T3">
        <v>1</v>
      </c>
      <c r="U3" s="202" t="s">
        <v>275</v>
      </c>
      <c r="V3"/>
      <c r="W3" s="208"/>
    </row>
    <row r="4" spans="3:23" x14ac:dyDescent="0.25">
      <c r="C4" s="217" t="s">
        <v>217</v>
      </c>
      <c r="D4" s="218">
        <f>TLFD!B11</f>
        <v>29638.905509385968</v>
      </c>
      <c r="F4" s="217" t="s">
        <v>217</v>
      </c>
      <c r="G4" s="218">
        <f>TLFD!F11</f>
        <v>24114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Beta000002</v>
      </c>
      <c r="P4" s="213">
        <f>OtherTourDestination!E12</f>
        <v>14.842474747500001</v>
      </c>
      <c r="Q4" s="285">
        <f>_xlfn.IFNA(VLOOKUP(N4,$B$43:$D$46,3,FALSE),P4)</f>
        <v>14.842474747500001</v>
      </c>
      <c r="R4" s="212">
        <f ref="R4:R67" si="0" t="shared">IF(P4=Q4,0,1)</f>
        <v>0</v>
      </c>
      <c r="T4">
        <v>2</v>
      </c>
      <c r="U4" s="202" t="s">
        <v>276</v>
      </c>
      <c r="V4"/>
      <c r="W4" s="208"/>
    </row>
    <row r="5" spans="3:23" x14ac:dyDescent="0.25">
      <c r="C5" s="204" t="s">
        <v>218</v>
      </c>
      <c r="D5" s="220">
        <f>TLFD!B12+TLFD!B13+(TLFD!B14/2)</f>
        <v>79270.344226689718</v>
      </c>
      <c r="F5" s="204" t="s">
        <v>218</v>
      </c>
      <c r="G5" s="220">
        <f>TLFD!F12+TLFD!F13+(TLFD!F14/2)</f>
        <v>88214.5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Beta000003</v>
      </c>
      <c r="P5" s="213">
        <f>OtherTourDestination!E13</f>
        <v>5.2231850982500001E-2</v>
      </c>
      <c r="Q5" s="285">
        <f ref="Q5:Q68" si="1" t="shared">_xlfn.IFNA(VLOOKUP(N5,$B$43:$D$46,3,FALSE),P5)</f>
        <v>5.2231850982500001E-2</v>
      </c>
      <c r="R5" s="212">
        <f si="0" t="shared"/>
        <v>0</v>
      </c>
      <c r="T5">
        <v>3</v>
      </c>
      <c r="U5" s="208" t="s">
        <v>277</v>
      </c>
      <c r="V5" s="208"/>
      <c r="W5" s="208"/>
    </row>
    <row r="6" spans="3:23" x14ac:dyDescent="0.25">
      <c r="C6" s="204" t="s">
        <v>214</v>
      </c>
      <c r="D6" s="220">
        <f>(TLFD!B14/2)+SUM(TLFD!B15:B20)</f>
        <v>76611.858656095006</v>
      </c>
      <c r="F6" s="204" t="s">
        <v>214</v>
      </c>
      <c r="G6" s="220">
        <f>(TLFD!F14/2)+SUM(TLFD!F15:F20)</f>
        <v>75868.5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Beta000004</v>
      </c>
      <c r="P6" s="213">
        <f>OtherTourDestination!E14</f>
        <v>-0.28042629390099999</v>
      </c>
      <c r="Q6" s="285">
        <f si="1" t="shared"/>
        <v>-0.28042629390099999</v>
      </c>
      <c r="R6" s="212">
        <f si="0" t="shared"/>
        <v>0</v>
      </c>
      <c r="T6">
        <v>4</v>
      </c>
      <c r="U6" s="208" t="s">
        <v>278</v>
      </c>
      <c r="V6" s="208"/>
      <c r="W6" s="208"/>
    </row>
    <row r="7" spans="3:23" x14ac:dyDescent="0.25">
      <c r="C7" s="205" t="s">
        <v>215</v>
      </c>
      <c r="D7" s="222">
        <f>SUM(TLFD!B21:B101)</f>
        <v>21359.055274977916</v>
      </c>
      <c r="F7" s="205" t="s">
        <v>215</v>
      </c>
      <c r="G7" s="222">
        <f>SUM(TLFD!F21:F101)</f>
        <v>21224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Beta000005</v>
      </c>
      <c r="P7" s="213">
        <f>OtherTourDestination!E15</f>
        <v>3.8864252169499999E-2</v>
      </c>
      <c r="Q7" s="285">
        <f si="1" t="shared"/>
        <v>3.8864252169499999E-2</v>
      </c>
      <c r="R7" s="212">
        <f si="0" t="shared"/>
        <v>0</v>
      </c>
      <c r="T7" s="208">
        <v>5</v>
      </c>
      <c r="U7" s="208" t="s">
        <v>279</v>
      </c>
      <c r="V7" s="208"/>
      <c r="W7" s="208"/>
    </row>
    <row ht="15.75" r="8" spans="3:23" thickBot="1" x14ac:dyDescent="0.3">
      <c r="C8" s="206" t="s">
        <v>4</v>
      </c>
      <c r="D8" s="224">
        <f>SUM(D4:D7)</f>
        <v>206880.16366714862</v>
      </c>
      <c r="E8" s="225"/>
      <c r="F8" s="206" t="s">
        <v>4</v>
      </c>
      <c r="G8" s="224">
        <f>SUM(G4:G7)</f>
        <v>209421</v>
      </c>
      <c r="H8" s="254"/>
      <c r="I8" s="254" t="s">
        <v>273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Beta000006</v>
      </c>
      <c r="P8" s="213">
        <f>OtherTourDestination!E16</f>
        <v>-5.4105027761100002E-2</v>
      </c>
      <c r="Q8" s="285">
        <f si="1" t="shared"/>
        <v>-5.4105027761100002E-2</v>
      </c>
      <c r="R8" s="212">
        <f si="0" t="shared"/>
        <v>0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Beta000007</v>
      </c>
      <c r="P9" s="213">
        <f>OtherTourDestination!E17</f>
        <v>-1.2443107654000001</v>
      </c>
      <c r="Q9" s="285">
        <f si="1" t="shared"/>
        <v>-1.2443107654000001</v>
      </c>
      <c r="R9" s="212">
        <f si="0" t="shared"/>
        <v>0</v>
      </c>
      <c r="T9" s="208"/>
      <c r="U9" s="289" t="s">
        <v>280</v>
      </c>
      <c r="V9" s="208"/>
      <c r="W9" s="208"/>
    </row>
    <row ht="15.75" r="10" spans="3:23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Beta000008</v>
      </c>
      <c r="P10" s="213">
        <f>OtherTourDestination!E18</f>
        <v>0.41298170440800003</v>
      </c>
      <c r="Q10" s="285">
        <f si="1" t="shared"/>
        <v>0.41298170440800003</v>
      </c>
      <c r="R10" s="212">
        <f si="0" t="shared"/>
        <v>0</v>
      </c>
      <c r="T10" s="208">
        <v>1</v>
      </c>
      <c r="U10" s="202" t="s">
        <v>275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Beta000009</v>
      </c>
      <c r="P11" s="213">
        <f>OtherTourDestination!E19</f>
        <v>-0.26420630814700002</v>
      </c>
      <c r="Q11" s="285">
        <f si="1" t="shared"/>
        <v>-0.26420630814700002</v>
      </c>
      <c r="R11" s="212">
        <f si="0" t="shared"/>
        <v>0</v>
      </c>
      <c r="T11" s="208">
        <v>2</v>
      </c>
      <c r="U11" s="208" t="s">
        <v>281</v>
      </c>
      <c r="V11" s="208"/>
      <c r="W11" s="208"/>
    </row>
    <row r="12" spans="3:23" x14ac:dyDescent="0.25">
      <c r="C12" s="217" t="s">
        <v>217</v>
      </c>
      <c r="D12" s="227">
        <f>D4/D$8</f>
        <v>0.14326605791492061</v>
      </c>
      <c r="F12" s="217" t="s">
        <v>217</v>
      </c>
      <c r="G12" s="227">
        <f>G4/G$8</f>
        <v>0.11514604552552037</v>
      </c>
      <c r="H12" s="227"/>
      <c r="I12" s="258">
        <f>D12/G12</f>
        <v>1.2442117074977437</v>
      </c>
      <c r="J12" s="259">
        <f>LN(I12)</f>
        <v>0.21850216271352454</v>
      </c>
      <c r="K12" s="259">
        <f>J8*J12</f>
        <v>0.21850216271352454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Beta000010</v>
      </c>
      <c r="P12" s="213">
        <f>OtherTourDestination!E20</f>
        <v>-0.35872692861799998</v>
      </c>
      <c r="Q12" s="285">
        <f si="1" t="shared"/>
        <v>-0.35872692861799998</v>
      </c>
      <c r="R12" s="212">
        <f si="0" t="shared"/>
        <v>0</v>
      </c>
      <c r="T12" s="208">
        <v>3</v>
      </c>
      <c r="U12" s="208" t="s">
        <v>282</v>
      </c>
      <c r="V12" s="208"/>
      <c r="W12" s="208"/>
    </row>
    <row r="13" spans="3:23" x14ac:dyDescent="0.25">
      <c r="C13" s="204" t="s">
        <v>218</v>
      </c>
      <c r="D13" s="228">
        <f ref="D13:D16" si="2" t="shared">D5/D$8</f>
        <v>0.38317034761355129</v>
      </c>
      <c r="F13" s="204" t="s">
        <v>218</v>
      </c>
      <c r="G13" s="228">
        <f ref="G13:G16" si="3" t="shared">G5/G$8</f>
        <v>0.42123044011823074</v>
      </c>
      <c r="H13" s="228"/>
      <c r="I13" s="258">
        <f ref="I13:I15" si="4" t="shared">D13/G13</f>
        <v>0.90964543660710573</v>
      </c>
      <c r="J13" s="259">
        <f ref="J13:J15" si="5" t="shared">LN(I13)</f>
        <v>-9.470038549885372E-2</v>
      </c>
      <c r="K13" s="259">
        <f>J8*(J13-J12)</f>
        <v>-0.31320254821237825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Beta000011</v>
      </c>
      <c r="P13" s="213">
        <f>OtherTourDestination!E21</f>
        <v>0.20317681554899999</v>
      </c>
      <c r="Q13" s="285">
        <f si="1" t="shared"/>
        <v>0.20317681554899999</v>
      </c>
      <c r="R13" s="212">
        <f si="0" t="shared"/>
        <v>0</v>
      </c>
      <c r="T13" s="208">
        <v>4</v>
      </c>
      <c r="U13" s="208" t="s">
        <v>283</v>
      </c>
      <c r="V13" s="208"/>
      <c r="W13" s="208"/>
    </row>
    <row r="14" spans="3:23" x14ac:dyDescent="0.25">
      <c r="C14" s="204" t="s">
        <v>214</v>
      </c>
      <c r="D14" s="228">
        <f si="2" t="shared"/>
        <v>0.3703199828252095</v>
      </c>
      <c r="F14" s="204" t="s">
        <v>214</v>
      </c>
      <c r="G14" s="228">
        <f si="3" t="shared"/>
        <v>0.36227742203503949</v>
      </c>
      <c r="H14" s="228"/>
      <c r="I14" s="258">
        <f si="4" t="shared"/>
        <v>1.022200005578576</v>
      </c>
      <c r="J14" s="259">
        <f si="5" t="shared"/>
        <v>2.1957172809463413E-2</v>
      </c>
      <c r="K14" s="259">
        <f>J8*(J14-J13-J12)</f>
        <v>-0.10184460440520741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Beta000012</v>
      </c>
      <c r="P14" s="213">
        <f>OtherTourDestination!E22</f>
        <v>-0.25772334575</v>
      </c>
      <c r="Q14" s="285">
        <f si="1" t="shared"/>
        <v>-0.25772334575</v>
      </c>
      <c r="R14" s="212">
        <f si="0" t="shared"/>
        <v>0</v>
      </c>
      <c r="T14" s="208">
        <v>5</v>
      </c>
      <c r="U14" s="202" t="s">
        <v>284</v>
      </c>
      <c r="V14" s="208"/>
      <c r="W14" s="208"/>
    </row>
    <row ht="15.75" r="15" spans="3:23" thickBot="1" x14ac:dyDescent="0.3">
      <c r="C15" s="205" t="s">
        <v>215</v>
      </c>
      <c r="D15" s="228">
        <f si="2" t="shared"/>
        <v>0.10324361164631857</v>
      </c>
      <c r="F15" s="205" t="s">
        <v>215</v>
      </c>
      <c r="G15" s="228">
        <f si="3" t="shared"/>
        <v>0.10134609232120943</v>
      </c>
      <c r="H15" s="228"/>
      <c r="I15" s="260">
        <f si="4" t="shared"/>
        <v>1.0187231622023973</v>
      </c>
      <c r="J15" s="261">
        <f si="5" t="shared"/>
        <v>1.8550041375522568E-2</v>
      </c>
      <c r="K15" s="261">
        <f>J8*(J15-J14-J13-J12)</f>
        <v>-0.12720890864861167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Beta000013</v>
      </c>
      <c r="P15" s="213">
        <f>OtherTourDestination!E23</f>
        <v>-1.51291507531</v>
      </c>
      <c r="Q15" s="285">
        <f si="1" t="shared"/>
        <v>-1.51291507531</v>
      </c>
      <c r="R15" s="212">
        <f si="0" t="shared"/>
        <v>0</v>
      </c>
      <c r="T15" s="208">
        <v>6</v>
      </c>
      <c r="U15" s="208" t="s">
        <v>285</v>
      </c>
      <c r="V15" s="208"/>
      <c r="W15" s="208"/>
    </row>
    <row ht="15.75" r="16" spans="3:23" thickBot="1" x14ac:dyDescent="0.3">
      <c r="C16" s="206" t="s">
        <v>4</v>
      </c>
      <c r="D16" s="230">
        <f si="2" t="shared"/>
        <v>1</v>
      </c>
      <c r="E16" s="225"/>
      <c r="F16" s="206" t="s">
        <v>4</v>
      </c>
      <c r="G16" s="230">
        <f si="3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Beta000014</v>
      </c>
      <c r="P16" s="213">
        <f>OtherTourDestination!E24</f>
        <v>-0.21776561918199999</v>
      </c>
      <c r="Q16" s="285">
        <f si="1" t="shared"/>
        <v>-0.21776561918199999</v>
      </c>
      <c r="R16" s="212">
        <f si="0" t="shared"/>
        <v>0</v>
      </c>
      <c r="T16" s="208">
        <v>7</v>
      </c>
      <c r="U16" s="208" t="s">
        <v>278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Beta000015</v>
      </c>
      <c r="P17" s="213">
        <f>OtherTourDestination!E25</f>
        <v>-1.27163179208</v>
      </c>
      <c r="Q17" s="285">
        <f si="1" t="shared"/>
        <v>-1.27163179208</v>
      </c>
      <c r="R17" s="212">
        <f si="0" t="shared"/>
        <v>0</v>
      </c>
      <c r="T17" s="208">
        <v>8</v>
      </c>
      <c r="U17" s="208" t="s">
        <v>286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Beta000016</v>
      </c>
      <c r="P18" s="213">
        <f>OtherTourDestination!E26</f>
        <v>-0.54089688480800002</v>
      </c>
      <c r="Q18" s="285">
        <f si="1" t="shared"/>
        <v>-0.54089688480800002</v>
      </c>
      <c r="R18" s="212">
        <f si="0" t="shared"/>
        <v>0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Beta000017</v>
      </c>
      <c r="P19" s="213">
        <f>OtherTourDestination!E27</f>
        <v>0</v>
      </c>
      <c r="Q19" s="285">
        <f si="1" t="shared"/>
        <v>0</v>
      </c>
      <c r="R19" s="212">
        <f si="0" t="shared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Beta000018</v>
      </c>
      <c r="P20" s="213">
        <f>OtherTourDestination!E28</f>
        <v>0</v>
      </c>
      <c r="Q20" s="285">
        <f si="1" t="shared"/>
        <v>0</v>
      </c>
      <c r="R20" s="212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Beta000019</v>
      </c>
      <c r="P21" s="213">
        <f>OtherTourDestination!E29</f>
        <v>0</v>
      </c>
      <c r="Q21" s="285">
        <f si="1" t="shared"/>
        <v>0</v>
      </c>
      <c r="R21" s="212">
        <f si="0" t="shared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Beta000020</v>
      </c>
      <c r="P22" s="213">
        <f>OtherTourDestination!E30</f>
        <v>0.43763139961699998</v>
      </c>
      <c r="Q22" s="285">
        <f si="1" t="shared"/>
        <v>0.43763139961699998</v>
      </c>
      <c r="R22" s="212">
        <f si="0" t="shared"/>
        <v>0</v>
      </c>
    </row>
    <row r="23" spans="2:23" x14ac:dyDescent="0.25">
      <c r="B23" s="263">
        <v>44</v>
      </c>
      <c r="C23" s="217" t="s">
        <v>217</v>
      </c>
      <c r="D23" s="267">
        <f>VLOOKUP($B23,$N:$P,3,FALSE)</f>
        <v>-13.482142205440001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Beta000021</v>
      </c>
      <c r="P23" s="213">
        <f>OtherTourDestination!E31</f>
        <v>-5.1729505125899999</v>
      </c>
      <c r="Q23" s="285">
        <f si="1" t="shared"/>
        <v>-5.1729505125899999</v>
      </c>
      <c r="R23" s="212">
        <f si="0" t="shared"/>
        <v>0</v>
      </c>
    </row>
    <row r="24" spans="2:23" x14ac:dyDescent="0.25">
      <c r="B24" s="263">
        <v>45</v>
      </c>
      <c r="C24" s="204" t="s">
        <v>218</v>
      </c>
      <c r="D24" s="267">
        <f ref="D24:D26" si="6" t="shared">VLOOKUP($B24,$N:$P,3,FALSE)</f>
        <v>-5.7740636752999999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Beta000022</v>
      </c>
      <c r="P24" s="213">
        <f>OtherTourDestination!E32</f>
        <v>-5.9112646193599998</v>
      </c>
      <c r="Q24" s="285">
        <f si="1" t="shared"/>
        <v>-5.9112646193599998</v>
      </c>
      <c r="R24" s="212">
        <f si="0" t="shared"/>
        <v>0</v>
      </c>
    </row>
    <row r="25" spans="2:23" x14ac:dyDescent="0.25">
      <c r="B25" s="263">
        <v>46</v>
      </c>
      <c r="C25" s="204" t="s">
        <v>214</v>
      </c>
      <c r="D25" s="267">
        <f si="6" t="shared"/>
        <v>-3.2513620839500001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Beta000023</v>
      </c>
      <c r="P25" s="213">
        <f>OtherTourDestination!E33</f>
        <v>-4.3510480079200002</v>
      </c>
      <c r="Q25" s="285">
        <f si="1" t="shared"/>
        <v>-4.3510480079200002</v>
      </c>
      <c r="R25" s="212">
        <f si="0" t="shared"/>
        <v>0</v>
      </c>
    </row>
    <row ht="15.75" r="26" spans="2:23" thickBot="1" x14ac:dyDescent="0.3">
      <c r="B26" s="264">
        <v>47</v>
      </c>
      <c r="C26" s="210" t="s">
        <v>215</v>
      </c>
      <c r="D26" s="268">
        <f si="6" t="shared"/>
        <v>-0.81757689945000001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Beta000024</v>
      </c>
      <c r="P26" s="213">
        <f>OtherTourDestination!E34</f>
        <v>0.219929989326</v>
      </c>
      <c r="Q26" s="285">
        <f si="1" t="shared"/>
        <v>0.219929989326</v>
      </c>
      <c r="R26" s="212">
        <f si="0" t="shared"/>
        <v>0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Beta000025</v>
      </c>
      <c r="P27" s="213">
        <f>OtherTourDestination!E35</f>
        <v>-0.19965371290799999</v>
      </c>
      <c r="Q27" s="285">
        <f si="1" t="shared"/>
        <v>-0.19965371290799999</v>
      </c>
      <c r="R27" s="212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Beta000026</v>
      </c>
      <c r="P28" s="213">
        <f>OtherTourDestination!E36</f>
        <v>0.456947594269</v>
      </c>
      <c r="Q28" s="285">
        <f si="1" t="shared"/>
        <v>0.456947594269</v>
      </c>
      <c r="R28" s="212">
        <f si="0" t="shared"/>
        <v>0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Beta000027</v>
      </c>
      <c r="P29" s="213">
        <f>OtherTourDestination!E37</f>
        <v>-16.041405463699999</v>
      </c>
      <c r="Q29" s="285">
        <f si="1" t="shared"/>
        <v>-16.041405463699999</v>
      </c>
      <c r="R29" s="212">
        <f si="0" t="shared"/>
        <v>0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Beta000028</v>
      </c>
      <c r="P30" s="213">
        <f>OtherTourDestination!E38</f>
        <v>-4.0058838759500004</v>
      </c>
      <c r="Q30" s="285">
        <f si="1" t="shared"/>
        <v>-4.0058838759500004</v>
      </c>
      <c r="R30" s="212">
        <f si="0" t="shared"/>
        <v>0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Beta000029</v>
      </c>
      <c r="P31" s="213">
        <f>OtherTourDestination!E39</f>
        <v>-2.2602358254700001</v>
      </c>
      <c r="Q31" s="285">
        <f si="1" t="shared"/>
        <v>-2.2602358254700001</v>
      </c>
      <c r="R31" s="212">
        <f si="0" t="shared"/>
        <v>0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Beta000030</v>
      </c>
      <c r="P32" s="213">
        <f>OtherTourDestination!E40</f>
        <v>-0.57131171698200001</v>
      </c>
      <c r="Q32" s="285">
        <f si="1" t="shared"/>
        <v>-0.57131171698200001</v>
      </c>
      <c r="R32" s="212">
        <f si="0" t="shared"/>
        <v>0</v>
      </c>
    </row>
    <row r="33" spans="2:19" x14ac:dyDescent="0.25">
      <c r="B33" s="263">
        <f>B23</f>
        <v>44</v>
      </c>
      <c r="C33" s="217" t="s">
        <v>217</v>
      </c>
      <c r="D33" s="269">
        <f>K12</f>
        <v>0.21850216271352454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Beta000031</v>
      </c>
      <c r="P33" s="213">
        <f>OtherTourDestination!E41</f>
        <v>-9.1432405138999993E-3</v>
      </c>
      <c r="Q33" s="285">
        <f si="1" t="shared"/>
        <v>-9.1432405138999993E-3</v>
      </c>
      <c r="R33" s="212">
        <f si="0" t="shared"/>
        <v>0</v>
      </c>
    </row>
    <row r="34" spans="2:19" x14ac:dyDescent="0.25">
      <c r="B34" s="263">
        <f ref="B34:B36" si="7" t="shared">B24</f>
        <v>45</v>
      </c>
      <c r="C34" s="204" t="s">
        <v>218</v>
      </c>
      <c r="D34" s="270">
        <f ref="D34:D36" si="8" t="shared">K13</f>
        <v>-0.31320254821237825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Beta000032</v>
      </c>
      <c r="P34" s="213">
        <f>OtherTourDestination!E42</f>
        <v>-0.11638214876</v>
      </c>
      <c r="Q34" s="285">
        <f si="1" t="shared"/>
        <v>-0.11638214876</v>
      </c>
      <c r="R34" s="212">
        <f si="0" t="shared"/>
        <v>0</v>
      </c>
    </row>
    <row r="35" spans="2:19" x14ac:dyDescent="0.25">
      <c r="B35" s="263">
        <f si="7" t="shared"/>
        <v>46</v>
      </c>
      <c r="C35" s="204" t="s">
        <v>214</v>
      </c>
      <c r="D35" s="270">
        <f si="8" t="shared"/>
        <v>-0.10184460440520741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Beta000033</v>
      </c>
      <c r="P35" s="213">
        <f>OtherTourDestination!E43</f>
        <v>5.6920874310099998E-2</v>
      </c>
      <c r="Q35" s="285">
        <f si="1" t="shared"/>
        <v>5.6920874310099998E-2</v>
      </c>
      <c r="R35" s="212">
        <f si="0" t="shared"/>
        <v>0</v>
      </c>
    </row>
    <row ht="15.75" r="36" spans="2:19" thickBot="1" x14ac:dyDescent="0.3">
      <c r="B36" s="265">
        <f si="7" t="shared"/>
        <v>47</v>
      </c>
      <c r="C36" s="210" t="s">
        <v>215</v>
      </c>
      <c r="D36" s="235">
        <f si="8" t="shared"/>
        <v>-0.12720890864861167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Beta000034</v>
      </c>
      <c r="P36" s="213">
        <f>OtherTourDestination!E44</f>
        <v>-1.9362324458399999E-2</v>
      </c>
      <c r="Q36" s="285">
        <f si="1" t="shared"/>
        <v>-1.9362324458399999E-2</v>
      </c>
      <c r="R36" s="212">
        <f si="0" t="shared"/>
        <v>0</v>
      </c>
    </row>
    <row ht="15.75" r="37" spans="2:19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Beta000035</v>
      </c>
      <c r="P37" s="213">
        <f>OtherTourDestination!E45</f>
        <v>1.8323476485999999E-2</v>
      </c>
      <c r="Q37" s="285">
        <f si="1" t="shared"/>
        <v>1.8323476485999999E-2</v>
      </c>
      <c r="R37" s="212">
        <f si="0" t="shared"/>
        <v>0</v>
      </c>
    </row>
    <row r="38" spans="2:19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Beta000036</v>
      </c>
      <c r="P38" s="213">
        <f>OtherTourDestination!E46</f>
        <v>2.3040582229000002</v>
      </c>
      <c r="Q38" s="285">
        <f si="1" t="shared"/>
        <v>2.3040582229000002</v>
      </c>
      <c r="R38" s="212">
        <f si="0" t="shared"/>
        <v>0</v>
      </c>
    </row>
    <row r="39" spans="2:19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Beta000037</v>
      </c>
      <c r="P39" s="213">
        <f>OtherTourDestination!E47</f>
        <v>-7.2225250615199998</v>
      </c>
      <c r="Q39" s="285">
        <f si="1" t="shared"/>
        <v>-7.2225250615199998</v>
      </c>
      <c r="R39" s="212">
        <f si="0" t="shared"/>
        <v>0</v>
      </c>
    </row>
    <row r="40" spans="2:19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Beta000038</v>
      </c>
      <c r="P40" s="213">
        <f>OtherTourDestination!E48</f>
        <v>-5.4693439766900003</v>
      </c>
      <c r="Q40" s="285">
        <f si="1" t="shared"/>
        <v>-5.4693439766900003</v>
      </c>
      <c r="R40" s="212">
        <f si="0" t="shared"/>
        <v>0</v>
      </c>
    </row>
    <row ht="15.75" r="41" spans="2:19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Beta000039</v>
      </c>
      <c r="P41" s="213">
        <f>OtherTourDestination!E49</f>
        <v>-2.4179033783600001</v>
      </c>
      <c r="Q41" s="285">
        <f si="1" t="shared"/>
        <v>-2.4179033783600001</v>
      </c>
      <c r="R41" s="212">
        <f si="0" t="shared"/>
        <v>0</v>
      </c>
    </row>
    <row r="42" spans="2:19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Beta000040</v>
      </c>
      <c r="P42" s="213">
        <f>OtherTourDestination!E50</f>
        <v>-0.24529497763800001</v>
      </c>
      <c r="Q42" s="285">
        <f si="1" t="shared"/>
        <v>-0.24529497763800001</v>
      </c>
      <c r="R42" s="212">
        <f si="0" t="shared"/>
        <v>0</v>
      </c>
    </row>
    <row r="43" spans="2:19" x14ac:dyDescent="0.25">
      <c r="B43" s="263">
        <f>B33</f>
        <v>44</v>
      </c>
      <c r="C43" s="217" t="s">
        <v>217</v>
      </c>
      <c r="D43" s="271">
        <f>D23+D33</f>
        <v>-13.263640042726475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Beta000041</v>
      </c>
      <c r="P43" s="213">
        <f>OtherTourDestination!E51</f>
        <v>-0.100545011408</v>
      </c>
      <c r="Q43" s="285">
        <f si="1" t="shared"/>
        <v>-0.100545011408</v>
      </c>
      <c r="R43" s="212">
        <f si="0" t="shared"/>
        <v>0</v>
      </c>
    </row>
    <row r="44" spans="2:19" x14ac:dyDescent="0.25">
      <c r="B44" s="263">
        <f ref="B44:B46" si="9" t="shared">B34</f>
        <v>45</v>
      </c>
      <c r="C44" s="204" t="s">
        <v>218</v>
      </c>
      <c r="D44" s="271">
        <f ref="D44:D46" si="10" t="shared">D24+D34</f>
        <v>-6.087266223512378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Beta000042</v>
      </c>
      <c r="P44" s="213">
        <f>OtherTourDestination!E52</f>
        <v>0.10049185695100001</v>
      </c>
      <c r="Q44" s="285">
        <f si="1" t="shared"/>
        <v>0.10049185695100001</v>
      </c>
      <c r="R44" s="212">
        <f si="0" t="shared"/>
        <v>0</v>
      </c>
    </row>
    <row r="45" spans="2:19" x14ac:dyDescent="0.25">
      <c r="B45" s="263">
        <f si="9" t="shared"/>
        <v>46</v>
      </c>
      <c r="C45" s="204" t="s">
        <v>214</v>
      </c>
      <c r="D45" s="271">
        <f si="10" t="shared"/>
        <v>-3.3532066883552076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Beta000043</v>
      </c>
      <c r="P45" s="213">
        <f>OtherTourDestination!E53</f>
        <v>1.7655971612000001</v>
      </c>
      <c r="Q45" s="285">
        <f si="1" t="shared"/>
        <v>1.7655971612000001</v>
      </c>
      <c r="R45" s="212">
        <f si="0" t="shared"/>
        <v>0</v>
      </c>
    </row>
    <row ht="15.75" r="46" spans="2:19" thickBot="1" x14ac:dyDescent="0.3">
      <c r="B46" s="265">
        <f si="9" t="shared"/>
        <v>47</v>
      </c>
      <c r="C46" s="210" t="s">
        <v>215</v>
      </c>
      <c r="D46" s="272">
        <f si="10" t="shared"/>
        <v>-0.94478580809861168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Beta000044</v>
      </c>
      <c r="P46" s="245">
        <f>OtherTourDestination!E54</f>
        <v>-13.482142205440001</v>
      </c>
      <c r="Q46" s="286">
        <f si="1" t="shared"/>
        <v>-13.263640042726475</v>
      </c>
      <c r="R46" s="212">
        <f si="0" t="shared"/>
        <v>1</v>
      </c>
      <c r="S46" s="212" t="str">
        <f>VLOOKUP(N46,Coeff_Descr!$A$2:$E$104,4,FALSE)</f>
        <v>distanceFromOrigin4  (0 -1 mile)</v>
      </c>
    </row>
    <row ht="15.75" r="47" spans="2:19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Beta000045</v>
      </c>
      <c r="P47" s="245">
        <f>OtherTourDestination!E55</f>
        <v>-5.7740636752999999</v>
      </c>
      <c r="Q47" s="286">
        <f si="1" t="shared"/>
        <v>-6.087266223512378</v>
      </c>
      <c r="R47" s="212">
        <f si="0" t="shared"/>
        <v>1</v>
      </c>
      <c r="S47" s="212" t="str">
        <f>VLOOKUP(N47,Coeff_Descr!$A$2:$E$104,4,FALSE)</f>
        <v>distanceFromOrigin8 (distance from 1 - 3.5 miles)</v>
      </c>
    </row>
    <row r="48" spans="2:19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Beta000046</v>
      </c>
      <c r="P48" s="245">
        <f>OtherTourDestination!E56</f>
        <v>-3.2513620839500001</v>
      </c>
      <c r="Q48" s="286">
        <f si="1" t="shared"/>
        <v>-3.3532066883552076</v>
      </c>
      <c r="R48" s="212">
        <f si="0" t="shared"/>
        <v>1</v>
      </c>
      <c r="S48" s="212" t="str">
        <f>VLOOKUP(N48,Coeff_Descr!$A$2:$E$104,4,FALSE)</f>
        <v>distanceFromOrigin9 (distance from 3.5 miles - 10 miles)</v>
      </c>
    </row>
    <row r="49" spans="13:19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Beta000047</v>
      </c>
      <c r="P49" s="245">
        <f>OtherTourDestination!E57</f>
        <v>-0.81757689945000001</v>
      </c>
      <c r="Q49" s="286">
        <f si="1" t="shared"/>
        <v>-0.94478580809861168</v>
      </c>
      <c r="R49" s="212">
        <f si="0" t="shared"/>
        <v>1</v>
      </c>
      <c r="S49" s="212" t="str">
        <f>VLOOKUP(N49,Coeff_Descr!$A$2:$E$104,4,FALSE)</f>
        <v>distanceFromOrigin3 (Distance over 10 miles)</v>
      </c>
    </row>
    <row r="50" spans="13:19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Beta000048</v>
      </c>
      <c r="P50" s="213">
        <f>OtherTourDestination!E58</f>
        <v>0.63335958983999996</v>
      </c>
      <c r="Q50" s="285">
        <f si="1" t="shared"/>
        <v>0.63335958983999996</v>
      </c>
      <c r="R50" s="212">
        <f si="0" t="shared"/>
        <v>0</v>
      </c>
    </row>
    <row r="51" spans="13:19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Beta000049</v>
      </c>
      <c r="P51" s="213">
        <f>OtherTourDestination!E59</f>
        <v>0.54194850979700004</v>
      </c>
      <c r="Q51" s="285">
        <f si="1" t="shared"/>
        <v>0.54194850979700004</v>
      </c>
      <c r="R51" s="212">
        <f si="0" t="shared"/>
        <v>0</v>
      </c>
    </row>
    <row r="52" spans="13:19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Beta000050</v>
      </c>
      <c r="P52" s="287">
        <f>OtherTourDestination!E60</f>
        <v>-26.641935956609998</v>
      </c>
      <c r="Q52" s="285">
        <f si="1" t="shared"/>
        <v>-26.641935956609998</v>
      </c>
      <c r="R52" s="212">
        <f si="0" t="shared"/>
        <v>0</v>
      </c>
    </row>
    <row r="53" spans="13:19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Beta000051</v>
      </c>
      <c r="P53" s="287">
        <f>OtherTourDestination!E61</f>
        <v>-5.8569921168899999</v>
      </c>
      <c r="Q53" s="285">
        <f si="1" t="shared"/>
        <v>-5.8569921168899999</v>
      </c>
      <c r="R53" s="212">
        <f si="0" t="shared"/>
        <v>0</v>
      </c>
    </row>
    <row r="54" spans="13:19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Beta000052</v>
      </c>
      <c r="P54" s="287">
        <f>OtherTourDestination!E62</f>
        <v>-3.0622160410500001</v>
      </c>
      <c r="Q54" s="285">
        <f si="1" t="shared"/>
        <v>-3.0622160410500001</v>
      </c>
      <c r="R54" s="212">
        <f si="0" t="shared"/>
        <v>0</v>
      </c>
    </row>
    <row r="55" spans="13:19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Beta000053</v>
      </c>
      <c r="P55" s="287">
        <f>OtherTourDestination!E63</f>
        <v>-1.4592147580599999</v>
      </c>
      <c r="Q55" s="285">
        <f si="1" t="shared"/>
        <v>-1.4592147580599999</v>
      </c>
      <c r="R55" s="212">
        <f si="0" t="shared"/>
        <v>0</v>
      </c>
    </row>
    <row r="56" spans="13:19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Beta000054</v>
      </c>
      <c r="P56" s="287">
        <f>OtherTourDestination!E64</f>
        <v>-0.160744421114</v>
      </c>
      <c r="Q56" s="285">
        <f si="1" t="shared"/>
        <v>-0.160744421114</v>
      </c>
      <c r="R56" s="212">
        <f si="0" t="shared"/>
        <v>0</v>
      </c>
    </row>
    <row r="57" spans="13:19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Beta000055</v>
      </c>
      <c r="P57" s="213">
        <f>OtherTourDestination!E65</f>
        <v>0.101769944302</v>
      </c>
      <c r="Q57" s="285">
        <f si="1" t="shared"/>
        <v>0.101769944302</v>
      </c>
      <c r="R57" s="212">
        <f si="0" t="shared"/>
        <v>0</v>
      </c>
    </row>
    <row r="58" spans="13:19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Beta000056</v>
      </c>
      <c r="P58" s="213">
        <f>OtherTourDestination!E66</f>
        <v>-7.3004796389399995E-2</v>
      </c>
      <c r="Q58" s="285">
        <f si="1" t="shared"/>
        <v>-7.3004796389399995E-2</v>
      </c>
      <c r="R58" s="212">
        <f si="0" t="shared"/>
        <v>0</v>
      </c>
    </row>
    <row r="59" spans="13:19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Beta000057</v>
      </c>
      <c r="P59" s="213">
        <f>OtherTourDestination!E67</f>
        <v>4.7664283443500002E-2</v>
      </c>
      <c r="Q59" s="285">
        <f si="1" t="shared"/>
        <v>4.7664283443500002E-2</v>
      </c>
      <c r="R59" s="212">
        <f si="0" t="shared"/>
        <v>0</v>
      </c>
    </row>
    <row r="60" spans="13:19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0.70165957865100004</v>
      </c>
      <c r="Q60" s="285">
        <f si="1" t="shared"/>
        <v>0.70165957865100004</v>
      </c>
      <c r="R60" s="212">
        <f si="0" t="shared"/>
        <v>0</v>
      </c>
    </row>
    <row r="61" spans="13:19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 si="1" t="shared"/>
        <v>0</v>
      </c>
      <c r="R61" s="212">
        <f si="0" t="shared"/>
        <v>0</v>
      </c>
    </row>
    <row r="62" spans="13:19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0</v>
      </c>
      <c r="Q62" s="285">
        <f si="1" t="shared"/>
        <v>0</v>
      </c>
      <c r="R62" s="212">
        <f si="0" t="shared"/>
        <v>0</v>
      </c>
    </row>
    <row r="63" spans="13:19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-1.0451393946200001</v>
      </c>
      <c r="Q63" s="285">
        <f si="1" t="shared"/>
        <v>-1.0451393946200001</v>
      </c>
      <c r="R63" s="212">
        <f si="0" t="shared"/>
        <v>0</v>
      </c>
    </row>
    <row r="64" spans="13:19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0</v>
      </c>
      <c r="Q64" s="285">
        <f si="1" t="shared"/>
        <v>0</v>
      </c>
      <c r="R64" s="212">
        <f si="0" t="shared"/>
        <v>0</v>
      </c>
    </row>
    <row r="65" spans="13:18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-0.200987204384</v>
      </c>
      <c r="Q65" s="285">
        <f si="1" t="shared"/>
        <v>-0.200987204384</v>
      </c>
      <c r="R65" s="212">
        <f si="0" t="shared"/>
        <v>0</v>
      </c>
    </row>
    <row r="66" spans="13:18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-0.24680877359100001</v>
      </c>
      <c r="Q66" s="285">
        <f si="1" t="shared"/>
        <v>-0.24680877359100001</v>
      </c>
      <c r="R66" s="212">
        <f si="0" t="shared"/>
        <v>0</v>
      </c>
    </row>
    <row r="67" spans="13:18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0.105207287565</v>
      </c>
      <c r="Q67" s="285">
        <f si="1" t="shared"/>
        <v>0.105207287565</v>
      </c>
      <c r="R67" s="212">
        <f si="0" t="shared"/>
        <v>0</v>
      </c>
    </row>
    <row r="68" spans="13:18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-3.0261765923500001</v>
      </c>
      <c r="Q68" s="285">
        <f si="1" t="shared"/>
        <v>-3.0261765923500001</v>
      </c>
      <c r="R68" s="212">
        <f ref="R68:R104" si="11" t="shared">IF(P68=Q68,0,1)</f>
        <v>0</v>
      </c>
    </row>
    <row r="69" spans="13:18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-3.16760127533</v>
      </c>
      <c r="Q69" s="285">
        <f ref="Q69:Q104" si="12" t="shared">_xlfn.IFNA(VLOOKUP(N69,$B$43:$D$46,3,FALSE),P69)</f>
        <v>-3.16760127533</v>
      </c>
      <c r="R69" s="212">
        <f si="11" t="shared"/>
        <v>0</v>
      </c>
    </row>
    <row r="70" spans="13:18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3.88384299801</v>
      </c>
      <c r="Q70" s="285">
        <f si="12" t="shared"/>
        <v>3.88384299801</v>
      </c>
      <c r="R70" s="212">
        <f si="11" t="shared"/>
        <v>0</v>
      </c>
    </row>
    <row r="71" spans="13:18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1.2853400619999999</v>
      </c>
      <c r="Q71" s="285">
        <f si="12" t="shared"/>
        <v>1.2853400619999999</v>
      </c>
      <c r="R71" s="212">
        <f si="11" t="shared"/>
        <v>0</v>
      </c>
    </row>
    <row r="72" spans="13:18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0</v>
      </c>
      <c r="Q72" s="285">
        <f si="12" t="shared"/>
        <v>0</v>
      </c>
      <c r="R72" s="212">
        <f si="11" t="shared"/>
        <v>0</v>
      </c>
    </row>
    <row r="73" spans="13:18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1.5962822273599999</v>
      </c>
      <c r="Q73" s="285">
        <f si="12" t="shared"/>
        <v>1.5962822273599999</v>
      </c>
      <c r="R73" s="212">
        <f si="11" t="shared"/>
        <v>0</v>
      </c>
    </row>
    <row r="74" spans="13:18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1.8203743806399999</v>
      </c>
      <c r="Q74" s="285">
        <f si="12" t="shared"/>
        <v>1.8203743806399999</v>
      </c>
      <c r="R74" s="212">
        <f si="11" t="shared"/>
        <v>0</v>
      </c>
    </row>
    <row r="75" spans="13:18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0.36845448573400003</v>
      </c>
      <c r="Q75" s="285">
        <f si="12" t="shared"/>
        <v>0.36845448573400003</v>
      </c>
      <c r="R75" s="212">
        <f si="11" t="shared"/>
        <v>0</v>
      </c>
    </row>
    <row r="76" spans="13:18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-0.89988004259099996</v>
      </c>
      <c r="Q76" s="285">
        <f si="12" t="shared"/>
        <v>-0.89988004259099996</v>
      </c>
      <c r="R76" s="212">
        <f si="11" t="shared"/>
        <v>0</v>
      </c>
    </row>
    <row r="77" spans="13:18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-1.54651800243</v>
      </c>
      <c r="Q77" s="285">
        <f si="12" t="shared"/>
        <v>-1.54651800243</v>
      </c>
      <c r="R77" s="212">
        <f si="11" t="shared"/>
        <v>0</v>
      </c>
    </row>
    <row r="78" spans="13:18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 si="12" t="shared"/>
        <v>0</v>
      </c>
      <c r="R78" s="212">
        <f si="11" t="shared"/>
        <v>0</v>
      </c>
    </row>
    <row r="79" spans="13:18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-1.3661763944</v>
      </c>
      <c r="Q79" s="285">
        <f si="12" t="shared"/>
        <v>-1.3661763944</v>
      </c>
      <c r="R79" s="212">
        <f si="11" t="shared"/>
        <v>0</v>
      </c>
    </row>
    <row r="80" spans="13:18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0</v>
      </c>
      <c r="Q80" s="285">
        <f si="12" t="shared"/>
        <v>0</v>
      </c>
      <c r="R80" s="212">
        <f si="11" t="shared"/>
        <v>0</v>
      </c>
    </row>
    <row r="81" spans="13:18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-0.69659049737500001</v>
      </c>
      <c r="Q81" s="285">
        <f si="12" t="shared"/>
        <v>-0.69659049737500001</v>
      </c>
      <c r="R81" s="212">
        <f si="11" t="shared"/>
        <v>0</v>
      </c>
    </row>
    <row r="82" spans="13:18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-1.8309142732699999</v>
      </c>
      <c r="Q82" s="285">
        <f si="12" t="shared"/>
        <v>-1.8309142732699999</v>
      </c>
      <c r="R82" s="212">
        <f si="11" t="shared"/>
        <v>0</v>
      </c>
    </row>
    <row r="83" spans="13:18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-1.59616837557</v>
      </c>
      <c r="Q83" s="285">
        <f si="12" t="shared"/>
        <v>-1.59616837557</v>
      </c>
      <c r="R83" s="212">
        <f si="11" t="shared"/>
        <v>0</v>
      </c>
    </row>
    <row r="84" spans="13:18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 si="12" t="shared"/>
        <v>0</v>
      </c>
      <c r="R84" s="212">
        <f si="11" t="shared"/>
        <v>0</v>
      </c>
    </row>
    <row r="85" spans="13:18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-3.7524312125899999</v>
      </c>
      <c r="Q85" s="285">
        <f si="12" t="shared"/>
        <v>-3.7524312125899999</v>
      </c>
      <c r="R85" s="212">
        <f si="11" t="shared"/>
        <v>0</v>
      </c>
    </row>
    <row r="86" spans="13:18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-5.15903380474</v>
      </c>
      <c r="Q86" s="285">
        <f si="12" t="shared"/>
        <v>-5.15903380474</v>
      </c>
      <c r="R86" s="212">
        <f si="11" t="shared"/>
        <v>0</v>
      </c>
    </row>
    <row r="87" spans="13:18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-4.5752497230499998</v>
      </c>
      <c r="Q87" s="285">
        <f si="12" t="shared"/>
        <v>-4.5752497230499998</v>
      </c>
      <c r="R87" s="212">
        <f si="11" t="shared"/>
        <v>0</v>
      </c>
    </row>
    <row r="88" spans="13:18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-1.55830930615</v>
      </c>
      <c r="Q88" s="285">
        <f si="12" t="shared"/>
        <v>-1.55830930615</v>
      </c>
      <c r="R88" s="212">
        <f si="11" t="shared"/>
        <v>0</v>
      </c>
    </row>
    <row r="89" spans="13:18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-6.7687936642300004</v>
      </c>
      <c r="Q89" s="285">
        <f si="12" t="shared"/>
        <v>-6.7687936642300004</v>
      </c>
      <c r="R89" s="212">
        <f si="11" t="shared"/>
        <v>0</v>
      </c>
    </row>
    <row r="90" spans="13:18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 si="12" t="shared"/>
        <v>0</v>
      </c>
      <c r="R90" s="212">
        <f si="11" t="shared"/>
        <v>0</v>
      </c>
    </row>
    <row r="91" spans="13:18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-4.6092008435</v>
      </c>
      <c r="Q91" s="285">
        <f si="12" t="shared"/>
        <v>-4.6092008435</v>
      </c>
      <c r="R91" s="212">
        <f si="11" t="shared"/>
        <v>0</v>
      </c>
    </row>
    <row r="92" spans="13:18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 si="12" t="shared"/>
        <v>0</v>
      </c>
      <c r="R92" s="212">
        <f si="11" t="shared"/>
        <v>0</v>
      </c>
    </row>
    <row r="93" spans="13:18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0</v>
      </c>
      <c r="Q93" s="285">
        <f si="12" t="shared"/>
        <v>0</v>
      </c>
      <c r="R93" s="212">
        <f si="11" t="shared"/>
        <v>0</v>
      </c>
    </row>
    <row r="94" spans="13:18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5</v>
      </c>
      <c r="Q94" s="285">
        <f si="12" t="shared"/>
        <v>5</v>
      </c>
      <c r="R94" s="212">
        <f si="11" t="shared"/>
        <v>0</v>
      </c>
    </row>
    <row r="95" spans="13:18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5</v>
      </c>
      <c r="Q95" s="285">
        <f si="12" t="shared"/>
        <v>5</v>
      </c>
      <c r="R95" s="212">
        <f si="11" t="shared"/>
        <v>0</v>
      </c>
    </row>
    <row r="96" spans="13:18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0</v>
      </c>
      <c r="Q96" s="285">
        <f si="12" t="shared"/>
        <v>0</v>
      </c>
      <c r="R96" s="212">
        <f si="11" t="shared"/>
        <v>0</v>
      </c>
    </row>
    <row r="97" spans="13:18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3.2721559987400002</v>
      </c>
      <c r="Q97" s="285">
        <f si="12" t="shared"/>
        <v>3.2721559987400002</v>
      </c>
      <c r="R97" s="212">
        <f si="11" t="shared"/>
        <v>0</v>
      </c>
    </row>
    <row r="98" spans="13:18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0</v>
      </c>
      <c r="Q98" s="285">
        <f si="12" t="shared"/>
        <v>0</v>
      </c>
      <c r="R98" s="212">
        <f si="11" t="shared"/>
        <v>0</v>
      </c>
    </row>
    <row r="99" spans="13:18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3.7780647491999999</v>
      </c>
      <c r="Q99" s="285">
        <f si="12" t="shared"/>
        <v>3.7780647491999999</v>
      </c>
      <c r="R99" s="212">
        <f si="11" t="shared"/>
        <v>0</v>
      </c>
    </row>
    <row r="100" spans="13:18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3.6698694381700001</v>
      </c>
      <c r="Q100" s="285">
        <f si="12" t="shared"/>
        <v>3.6698694381700001</v>
      </c>
      <c r="R100" s="212">
        <f si="11" t="shared"/>
        <v>0</v>
      </c>
    </row>
    <row r="101" spans="13:18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 si="12" t="shared"/>
        <v>0</v>
      </c>
      <c r="R101" s="212">
        <f si="11" t="shared"/>
        <v>0</v>
      </c>
    </row>
    <row r="102" spans="13:18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 si="12" t="shared"/>
        <v>0</v>
      </c>
      <c r="R102" s="212">
        <f si="11" t="shared"/>
        <v>0</v>
      </c>
    </row>
    <row r="103" spans="13:18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1.3908719595400001</v>
      </c>
      <c r="Q103" s="285">
        <f si="12" t="shared"/>
        <v>1.3908719595400001</v>
      </c>
      <c r="R103" s="212">
        <f si="11" t="shared"/>
        <v>0</v>
      </c>
    </row>
    <row r="104" spans="13:18" x14ac:dyDescent="0.25">
      <c r="M104" s="212" t="e">
        <f>VLOOKUP(N104,Coeff_Descr!$A:$D,3,FALSE)</f>
        <v>#N/A</v>
      </c>
      <c r="N104" s="212">
        <f>OtherTourDestination!B112</f>
        <v>-1</v>
      </c>
      <c r="O104" s="212">
        <f>OtherTourDestination!C112</f>
        <v>0</v>
      </c>
      <c r="P104" s="213">
        <f>OtherTourDestination!E112</f>
        <v>0</v>
      </c>
      <c r="Q104" s="285">
        <f si="12" t="shared"/>
        <v>0</v>
      </c>
      <c r="R104" s="212">
        <f si="11" t="shared"/>
        <v>0</v>
      </c>
    </row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2022-03-10T16:25:01Z</dcterms:modified>
</cp:coreProperties>
</file>