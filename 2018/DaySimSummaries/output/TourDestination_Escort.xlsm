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Q3"/>
  <c i="1" r="AD41"/>
  <c i="1" r="AD40"/>
  <c i="1" r="AD34"/>
  <c i="1" r="AD35"/>
  <c i="1" r="AD36"/>
  <c i="1" r="AD37"/>
  <c i="1" r="AD38"/>
  <c i="1" r="AD33"/>
  <c i="1" r="Y39"/>
  <c i="1" r="Z39"/>
  <c i="1" r="AA39"/>
  <c i="1" r="AB39"/>
  <c i="1" r="AC39"/>
  <c i="1" r="AD39"/>
  <c i="1" r="AE39"/>
  <c i="1" r="AF39"/>
  <c i="1" r="X39"/>
  <c i="1" r="S34"/>
  <c i="1" r="S35"/>
  <c i="1" r="S36"/>
  <c i="1" r="S37"/>
  <c i="1" r="S38"/>
  <c i="1" r="S41"/>
  <c i="1" r="S40"/>
  <c i="1" r="S33"/>
  <c i="1" r="N39"/>
  <c i="1" r="O39"/>
  <c i="1" r="P39"/>
  <c i="1" r="Q39"/>
  <c i="1" r="R39"/>
  <c i="1" r="S39"/>
  <c i="1" r="T39"/>
  <c i="1" r="U39"/>
  <c i="1" r="M39"/>
  <c i="1" r="H34"/>
  <c i="1" r="H35"/>
  <c i="1" r="H36"/>
  <c i="1" r="H37"/>
  <c i="1" r="H38"/>
  <c i="1" r="H33"/>
  <c i="1" r="H41"/>
  <c i="1" r="H40"/>
  <c i="1" r="C39"/>
  <c i="1" r="D39"/>
  <c i="1" r="E39"/>
  <c i="1" r="F39"/>
  <c i="1" r="G39"/>
  <c i="1" r="H39"/>
  <c i="1" r="I39"/>
  <c i="1" r="J39"/>
  <c i="1" r="B39"/>
  <c i="1" r="T28"/>
  <c i="1" r="S21"/>
  <c i="1" r="S22"/>
  <c i="1" r="S23"/>
  <c i="1" r="S24"/>
  <c i="1" r="S25"/>
  <c i="1" r="S26"/>
  <c i="1" r="S20"/>
  <c i="1" r="S28"/>
  <c i="1" r="S27"/>
  <c i="1" r="N26"/>
  <c i="1" r="O26"/>
  <c i="1" r="P26"/>
  <c i="1" r="Q26"/>
  <c i="1" r="R26"/>
  <c i="1" r="T26"/>
  <c i="1" r="U26"/>
  <c i="1" r="M26"/>
  <c i="1" r="H21"/>
  <c i="1" r="H22"/>
  <c i="1" r="H23"/>
  <c i="1" r="H24"/>
  <c i="1" r="H25"/>
  <c i="1" r="H20"/>
  <c i="1" r="H28" s="1"/>
  <c i="1" r="H27"/>
  <c i="1" r="C26"/>
  <c i="1" r="D26"/>
  <c i="1" r="E26"/>
  <c i="1" r="F26"/>
  <c i="1" r="G26"/>
  <c i="1" r="H26"/>
  <c i="1" r="I26"/>
  <c i="1" r="J26"/>
  <c i="1" r="B26"/>
  <c i="1" r="U13"/>
  <c i="1" r="S15"/>
  <c i="1" r="J13"/>
  <c i="1" r="H15"/>
  <c i="1" r="B15"/>
  <c i="1" r="C15"/>
  <c i="1" r="D15"/>
  <c i="1" r="E15"/>
  <c i="1" r="F15"/>
  <c i="1" r="G15"/>
  <c i="1" r="B19"/>
  <c i="1" r="C19"/>
  <c i="1" r="D19"/>
  <c i="1" r="E19"/>
  <c i="1" r="F19"/>
  <c i="1" r="G19"/>
  <c i="1" r="A20"/>
  <c i="1" l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N104"/>
  <c i="6" r="M104" s="1"/>
  <c i="6" r="O104"/>
  <c i="6" r="P104"/>
  <c i="6" r="N105"/>
  <c i="6" r="O105"/>
  <c i="6" r="P105"/>
  <c i="6" r="N106"/>
  <c i="6" r="M106" s="1"/>
  <c i="6" r="O106"/>
  <c i="6" r="P106"/>
  <c i="6" r="N107"/>
  <c i="6" r="M107" s="1"/>
  <c i="6" r="O107"/>
  <c i="6" r="P107"/>
  <c i="6" r="N108"/>
  <c i="6" r="O108"/>
  <c i="6" r="P108"/>
  <c i="6" r="N109"/>
  <c i="6" r="M109" s="1"/>
  <c i="6" r="O109"/>
  <c i="6" r="P109"/>
  <c i="6" r="N110"/>
  <c i="6" l="1" r="M108"/>
  <c i="6" r="M105"/>
  <c i="6" r="B34"/>
  <c i="6" r="B44" s="1"/>
  <c i="6" r="B35"/>
  <c i="6" r="B45" s="1"/>
  <c i="6" r="B33"/>
  <c i="6" r="B43" s="1"/>
  <c i="6" r="Q109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104"/>
  <c i="6" r="Q105"/>
  <c i="6" r="Q106"/>
  <c i="6" r="Q107"/>
  <c i="6" r="Q108"/>
  <c i="6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6" l="1" r="G7"/>
  <c i="6" r="D7"/>
  <c i="6" r="G6"/>
  <c i="6" r="D6"/>
  <c i="6" r="G5"/>
  <c i="6" r="D5"/>
  <c i="6" r="G4"/>
  <c i="6" r="D4"/>
  <c i="6" l="1" r="G8"/>
  <c i="6" r="G12" s="1"/>
  <c i="6" r="D8"/>
  <c i="6" r="D14" s="1"/>
  <c i="6" l="1" r="G13"/>
  <c i="6" r="G15"/>
  <c i="6" r="G14"/>
  <c i="6" r="G16"/>
  <c i="6" r="D16"/>
  <c i="6" r="D13"/>
  <c i="6" r="D12"/>
  <c i="6" r="I12" s="1"/>
  <c i="6" r="D15"/>
  <c i="6" r="I14" s="1"/>
  <c i="6" r="J14" s="1"/>
  <c i="6" l="1" r="J12"/>
  <c i="6" r="K12" s="1"/>
  <c i="6" r="D33" s="1"/>
  <c i="6" r="D43" s="1"/>
  <c i="6" r="Q23" s="1"/>
  <c i="6" r="I13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L12"/>
  <c i="1" r="L11"/>
  <c i="1" r="L10"/>
  <c i="1" r="L9"/>
  <c i="1" r="L8"/>
  <c i="1" r="L7"/>
  <c i="6" l="1" r="J13"/>
  <c i="6" r="K13" s="1"/>
  <c i="6" r="D34" s="1"/>
  <c i="6" r="D44" s="1"/>
  <c i="6" r="Q24" s="1"/>
  <c i="1" r="Q15"/>
  <c i="1" r="Q28" s="1"/>
  <c i="1" r="R15"/>
  <c i="1" r="R28" s="1"/>
  <c i="1" r="U10"/>
  <c i="1" r="U11"/>
  <c i="1" r="U12"/>
  <c i="1" r="J10"/>
  <c i="1" r="J11"/>
  <c i="1" r="J12"/>
  <c i="1" l="1" r="F25"/>
  <c i="1" r="B25"/>
  <c i="1" r="C25"/>
  <c i="1" r="D25"/>
  <c i="1" r="E25"/>
  <c i="1" r="G25"/>
  <c i="1" r="I25"/>
  <c i="1" r="D24"/>
  <c i="1" r="I24"/>
  <c i="1" r="E24"/>
  <c i="1" r="F24"/>
  <c i="1" r="G24"/>
  <c i="1" r="C24"/>
  <c i="1" r="B24"/>
  <c i="1" r="F23"/>
  <c i="1" r="C23"/>
  <c i="1" r="G23"/>
  <c i="1" r="B23"/>
  <c i="1" r="E23"/>
  <c i="1" r="D23"/>
  <c i="1" r="I23"/>
  <c i="6" r="K14"/>
  <c i="6" r="D35" s="1"/>
  <c i="6" r="D45" s="1"/>
  <c i="6" r="Q25" s="1"/>
  <c i="1" r="U25"/>
  <c i="1" r="U24"/>
  <c i="1" r="U23"/>
  <c i="1" r="M20"/>
  <c i="1" r="T15"/>
  <c i="1" r="P15"/>
  <c i="1" r="P28" s="1"/>
  <c i="1" r="O15"/>
  <c i="1" r="O28" s="1"/>
  <c i="1" r="N15"/>
  <c i="1" r="N28" s="1"/>
  <c i="1" r="M15"/>
  <c i="1" r="M28" s="1"/>
  <c i="1" r="I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B20"/>
  <c i="1" r="D20"/>
  <c i="1" r="C20"/>
  <c i="1" r="E20"/>
  <c i="1" r="F20"/>
  <c i="1" r="G20"/>
  <c i="1" r="I20"/>
  <c i="1" r="B21"/>
  <c i="1" r="G21"/>
  <c i="1" r="C21"/>
  <c i="1" r="D21"/>
  <c i="1" r="I21"/>
  <c i="1" r="E21"/>
  <c i="1" r="F21"/>
  <c i="1" r="B22"/>
  <c i="1" r="I22"/>
  <c i="1" r="D22"/>
  <c i="1" r="G22"/>
  <c i="1" r="F22"/>
  <c i="1" r="C22"/>
  <c i="1" r="E22"/>
  <c i="1" r="U27"/>
  <c i="1" r="C27"/>
  <c i="1" r="F27"/>
  <c i="1" r="D27"/>
  <c i="1" r="E27"/>
  <c i="1" r="B27"/>
  <c i="1" r="G27"/>
  <c i="1" r="I27"/>
  <c i="1" r="J23"/>
  <c i="1" r="J25"/>
  <c i="1" r="J24"/>
  <c i="1" r="U20"/>
  <c i="1" r="U21"/>
  <c i="1" r="J15"/>
  <c i="1" r="U15"/>
  <c i="1" r="U28" s="1"/>
  <c i="1" r="U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O38"/>
  <c i="1" r="M35"/>
  <c i="1" r="P38"/>
  <c i="1" r="Q40"/>
  <c i="1" r="Q34"/>
  <c i="1" r="R33"/>
  <c i="1" r="N35"/>
  <c i="1" r="R35"/>
  <c i="1" r="N37"/>
  <c i="1" r="R37"/>
  <c i="1" r="Q38"/>
  <c i="1" r="M34"/>
  <c i="1" r="T34"/>
  <c i="1" r="P35"/>
  <c i="1" r="M37"/>
  <c i="1" r="Q37"/>
  <c i="1" r="T37"/>
  <c i="1" r="R38"/>
  <c i="1" r="R40"/>
  <c i="1" r="N33"/>
  <c i="1" r="Q33"/>
  <c i="1" r="O36"/>
  <c i="1" r="T38"/>
  <c i="1" r="N34"/>
  <c i="1" r="O33"/>
  <c i="1" r="Q36"/>
  <c i="1" r="P37"/>
  <c i="1" r="M40"/>
  <c i="1" r="T40"/>
  <c i="1" r="N40"/>
  <c i="1" r="T33"/>
  <c i="1" r="T35"/>
  <c i="1" r="O40"/>
  <c i="1" r="O34"/>
  <c i="1" r="P33"/>
  <c i="1" r="O35"/>
  <c i="1" r="N38"/>
  <c i="1" r="P40"/>
  <c i="1" r="R34"/>
  <c i="1" r="Q35"/>
  <c i="1" r="M36"/>
  <c i="1" r="P36"/>
  <c i="1" r="T36"/>
  <c i="1" r="O37"/>
  <c i="1" r="N36"/>
  <c i="1" r="R36"/>
  <c i="1" r="M38"/>
  <c i="1" r="P34"/>
  <c i="1" r="M33"/>
  <c i="1" r="G28"/>
  <c i="1" r="J27"/>
  <c i="1" r="U40"/>
  <c i="1" r="J20"/>
  <c i="1" r="I28"/>
  <c i="1" r="C28"/>
  <c i="1" r="F28"/>
  <c i="1" r="R41"/>
  <c i="1" r="Q41"/>
  <c i="1" r="E28"/>
  <c i="1" r="U35"/>
  <c i="1" r="U36"/>
  <c i="1" r="M41"/>
  <c i="1" r="U41"/>
  <c i="1" r="T41"/>
  <c i="1" r="U37"/>
  <c i="1" r="N41"/>
  <c i="1" r="P41"/>
  <c i="1" r="U38"/>
  <c i="1" r="J21"/>
  <c i="1" r="B28"/>
  <c i="1" r="J22"/>
  <c i="1" r="O41"/>
  <c i="1" r="D28"/>
  <c i="1" r="U34"/>
  <c i="1" r="U33"/>
  <c i="1" l="1" r="J28"/>
  <c i="1" l="1" r="D36"/>
  <c i="1" r="Z36" s="1"/>
  <c i="1" r="F38"/>
  <c i="1" r="AB38" s="1"/>
  <c i="1" r="E36"/>
  <c i="1" r="AA36" s="1"/>
  <c i="1" r="F37"/>
  <c i="1" r="AB37" s="1"/>
  <c i="1" r="I36"/>
  <c i="1" r="AE36" s="1"/>
  <c i="1" r="I38"/>
  <c i="1" r="AE38" s="1"/>
  <c i="1" r="G38"/>
  <c i="1" r="AC38" s="1"/>
  <c i="1" r="B36"/>
  <c i="1" r="X36" s="1"/>
  <c i="1" r="C37"/>
  <c i="1" r="Y37" s="1"/>
  <c i="1" r="E38"/>
  <c i="1" r="AA38" s="1"/>
  <c i="1" r="C36"/>
  <c i="1" r="Y36" s="1"/>
  <c i="1" r="E37"/>
  <c i="1" r="AA37" s="1"/>
  <c i="1" r="D38"/>
  <c i="1" r="Z38" s="1"/>
  <c i="1" r="F36"/>
  <c i="1" r="AB36" s="1"/>
  <c i="1" r="I37"/>
  <c i="1" r="AE37" s="1"/>
  <c i="1" r="C38"/>
  <c i="1" r="Y38" s="1"/>
  <c i="1" r="B37"/>
  <c i="1" r="X37" s="1"/>
  <c i="1" r="G37"/>
  <c i="1" r="AC37" s="1"/>
  <c i="1" r="G36"/>
  <c i="1" r="AC36" s="1"/>
  <c i="1" r="D37"/>
  <c i="1" r="Z37" s="1"/>
  <c i="1" r="B38"/>
  <c i="1" r="X38" s="1"/>
  <c i="1" r="G33"/>
  <c i="1" r="AC33" s="1"/>
  <c i="1" r="B40"/>
  <c i="1" r="X40" s="1"/>
  <c i="1" r="E35"/>
  <c i="1" r="AA35" s="1"/>
  <c i="1" r="F33"/>
  <c i="1" r="AB33" s="1"/>
  <c i="1" r="E33"/>
  <c i="1" r="AA33" s="1"/>
  <c i="1" r="I35"/>
  <c i="1" r="AE35" s="1"/>
  <c i="1" r="C35"/>
  <c i="1" r="Y35" s="1"/>
  <c i="1" r="C33"/>
  <c i="1" r="Y33" s="1"/>
  <c i="1" r="I33"/>
  <c i="1" r="AE33" s="1"/>
  <c i="1" r="D33"/>
  <c i="1" r="Z33" s="1"/>
  <c i="1" r="D35"/>
  <c i="1" r="Z35" s="1"/>
  <c i="1" r="B33"/>
  <c i="1" r="X33" s="1"/>
  <c i="1" r="E34"/>
  <c i="1" r="AA34" s="1"/>
  <c i="1" r="I34"/>
  <c i="1" r="AE34" s="1"/>
  <c i="1" r="I40"/>
  <c i="1" r="AE40" s="1"/>
  <c i="1" r="E40"/>
  <c i="1" r="AA40" s="1"/>
  <c i="1" r="G34"/>
  <c i="1" r="AC34" s="1"/>
  <c i="1" r="D34"/>
  <c i="1" r="Z34" s="1"/>
  <c i="1" r="C40"/>
  <c i="1" r="Y40" s="1"/>
  <c i="1" r="G35"/>
  <c i="1" r="AC35" s="1"/>
  <c i="1" r="G40"/>
  <c i="1" r="AC40" s="1"/>
  <c i="1" r="B35"/>
  <c i="1" r="X35" s="1"/>
  <c i="1" r="B34"/>
  <c i="1" r="X34" s="1"/>
  <c i="1" r="F34"/>
  <c i="1" r="AB34" s="1"/>
  <c i="1" r="F40"/>
  <c i="1" r="AB40" s="1"/>
  <c i="1" r="C34"/>
  <c i="1" r="Y34" s="1"/>
  <c i="1" r="D40"/>
  <c i="1" r="Z40" s="1"/>
  <c i="1" r="F35"/>
  <c i="1" r="AB35" s="1"/>
  <c i="1" r="I41"/>
  <c i="1" r="AE41" s="1"/>
  <c i="1" r="J37"/>
  <c i="1" r="AF37" s="1"/>
  <c i="1" r="E41"/>
  <c i="1" r="AA41" s="1"/>
  <c i="1" r="G41"/>
  <c i="1" r="AC41" s="1"/>
  <c i="1" r="F41"/>
  <c i="1" r="AB41" s="1"/>
  <c i="1" r="B41"/>
  <c i="1" r="X41" s="1"/>
  <c i="1" r="J34"/>
  <c i="1" r="AF34" s="1"/>
  <c i="1" r="D41"/>
  <c i="1" r="Z41" s="1"/>
  <c i="1" r="C41"/>
  <c i="1" r="Y41" s="1"/>
  <c i="1" r="J40"/>
  <c i="1" r="AF40" s="1"/>
  <c i="1" r="J33"/>
  <c i="1" r="AF33" s="1"/>
  <c i="1" r="J35"/>
  <c i="1" r="AF35" s="1"/>
  <c i="1" r="J41"/>
  <c i="1" r="AF41" s="1"/>
  <c i="1" r="J38"/>
  <c i="1" r="AF38" s="1"/>
  <c i="1" r="J36"/>
  <c i="1" r="AF36" s="1"/>
</calcChain>
</file>

<file path=xl/sharedStrings.xml><?xml version="1.0" encoding="utf-8"?>
<sst xmlns="http://schemas.openxmlformats.org/spreadsheetml/2006/main" count="727" uniqueCount="292">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</sst>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0.12918007558094718</c:v>
                </c:pt>
                <c:pt idx="1">
                  <c:v>0.13976650889566278</c:v>
                </c:pt>
                <c:pt idx="2">
                  <c:v>5.9349629312691686E-2</c:v>
                </c:pt>
                <c:pt idx="3">
                  <c:v>9.4793241587254592E-2</c:v>
                </c:pt>
                <c:pt idx="4">
                  <c:v>7.4130133976653703E-2</c:v>
                </c:pt>
                <c:pt idx="5">
                  <c:v>0.13402229490514128</c:v>
                </c:pt>
                <c:pt idx="6">
                  <c:v>8.3706479891927324E-2</c:v>
                </c:pt>
                <c:pt idx="7">
                  <c:v>5.2301543094991548E-2</c:v>
                </c:pt>
                <c:pt idx="8">
                  <c:v>3.6174798551090695E-2</c:v>
                </c:pt>
                <c:pt idx="9">
                  <c:v>2.5101671224329596E-2</c:v>
                </c:pt>
                <c:pt idx="10">
                  <c:v>2.6613892349315257E-2</c:v>
                </c:pt>
                <c:pt idx="11">
                  <c:v>2.3445970013281973E-2</c:v>
                </c:pt>
                <c:pt idx="12">
                  <c:v>1.7594547865010496E-2</c:v>
                </c:pt>
                <c:pt idx="13">
                  <c:v>4.0931944386725207E-3</c:v>
                </c:pt>
                <c:pt idx="14">
                  <c:v>1.9244629202556093E-2</c:v>
                </c:pt>
                <c:pt idx="15">
                  <c:v>4.48924703627737E-3</c:v>
                </c:pt>
                <c:pt idx="16">
                  <c:v>2.1823138303661199E-2</c:v>
                </c:pt>
                <c:pt idx="17">
                  <c:v>1.0265849759034471E-2</c:v>
                </c:pt>
                <c:pt idx="18">
                  <c:v>2.9387329601164693E-3</c:v>
                </c:pt>
                <c:pt idx="19">
                  <c:v>1.147855627933414E-2</c:v>
                </c:pt>
                <c:pt idx="20">
                  <c:v>1.6729362182171838E-4</c:v>
                </c:pt>
                <c:pt idx="21">
                  <c:v>6.2451384989431081E-3</c:v>
                </c:pt>
                <c:pt idx="22">
                  <c:v>8.8781000735080687E-4</c:v>
                </c:pt>
                <c:pt idx="23">
                  <c:v>2.1636212465122946E-3</c:v>
                </c:pt>
                <c:pt idx="24">
                  <c:v>6.730665850646223E-3</c:v>
                </c:pt>
                <c:pt idx="25">
                  <c:v>1.8170644870952352E-3</c:v>
                </c:pt>
                <c:pt idx="26">
                  <c:v>2.8744457630630225E-4</c:v>
                </c:pt>
                <c:pt idx="27">
                  <c:v>5.589116913026958E-4</c:v>
                </c:pt>
                <c:pt idx="28">
                  <c:v>0</c:v>
                </c:pt>
                <c:pt idx="29">
                  <c:v>0</c:v>
                </c:pt>
                <c:pt idx="30">
                  <c:v>9.1521169817714791E-4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3.3634692030775726E-3</c:v>
                </c:pt>
                <c:pt idx="35">
                  <c:v>2.5889373108311346E-3</c:v>
                </c:pt>
                <c:pt idx="36">
                  <c:v>4.2988227899060051E-4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1.7055229205541902E-4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5.6402969977857804E-4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1.65000677995757E-4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0.10850422143295396</c:v>
                </c:pt>
                <c:pt idx="1">
                  <c:v>0.15398940536990469</c:v>
                </c:pt>
                <c:pt idx="2">
                  <c:v>0.13978257675921846</c:v>
                </c:pt>
                <c:pt idx="3">
                  <c:v>0.11559035249181206</c:v>
                </c:pt>
                <c:pt idx="4">
                  <c:v>9.0888272453097593E-2</c:v>
                </c:pt>
                <c:pt idx="5">
                  <c:v>7.1496469896905432E-2</c:v>
                </c:pt>
                <c:pt idx="6">
                  <c:v>5.3025000216040584E-2</c:v>
                </c:pt>
                <c:pt idx="7">
                  <c:v>4.0978577415981821E-2</c:v>
                </c:pt>
                <c:pt idx="8">
                  <c:v>2.755381570874273E-2</c:v>
                </c:pt>
                <c:pt idx="9">
                  <c:v>1.9141195482159368E-2</c:v>
                </c:pt>
                <c:pt idx="10">
                  <c:v>1.4029675334214779E-2</c:v>
                </c:pt>
                <c:pt idx="11">
                  <c:v>1.3277854112116421E-2</c:v>
                </c:pt>
                <c:pt idx="12">
                  <c:v>1.2815527268642142E-2</c:v>
                </c:pt>
                <c:pt idx="13">
                  <c:v>1.291058512430975E-2</c:v>
                </c:pt>
                <c:pt idx="14">
                  <c:v>1.1934081697906135E-2</c:v>
                </c:pt>
                <c:pt idx="15">
                  <c:v>1.1186581287429031E-2</c:v>
                </c:pt>
                <c:pt idx="16">
                  <c:v>1.0300814905071769E-2</c:v>
                </c:pt>
                <c:pt idx="17">
                  <c:v>9.9637915986138838E-3</c:v>
                </c:pt>
                <c:pt idx="18">
                  <c:v>8.766926779526266E-3</c:v>
                </c:pt>
                <c:pt idx="19">
                  <c:v>7.660799004485002E-3</c:v>
                </c:pt>
                <c:pt idx="20">
                  <c:v>7.4534000466647656E-3</c:v>
                </c:pt>
                <c:pt idx="21">
                  <c:v>6.5460296062012291E-3</c:v>
                </c:pt>
                <c:pt idx="22">
                  <c:v>5.7380378330265554E-3</c:v>
                </c:pt>
                <c:pt idx="23">
                  <c:v>5.1115201479445902E-3</c:v>
                </c:pt>
                <c:pt idx="24">
                  <c:v>4.6362308696065472E-3</c:v>
                </c:pt>
                <c:pt idx="25">
                  <c:v>4.100450228570935E-3</c:v>
                </c:pt>
                <c:pt idx="26">
                  <c:v>3.6424441967179114E-3</c:v>
                </c:pt>
                <c:pt idx="27">
                  <c:v>3.2578919624262222E-3</c:v>
                </c:pt>
                <c:pt idx="28">
                  <c:v>2.8258108003007287E-3</c:v>
                </c:pt>
                <c:pt idx="29">
                  <c:v>2.7523570027393946E-3</c:v>
                </c:pt>
                <c:pt idx="30">
                  <c:v>2.4369377543877841E-3</c:v>
                </c:pt>
                <c:pt idx="31">
                  <c:v>2.1215185060361737E-3</c:v>
                </c:pt>
                <c:pt idx="32">
                  <c:v>1.7542495182295043E-3</c:v>
                </c:pt>
                <c:pt idx="33">
                  <c:v>1.4950008209542081E-3</c:v>
                </c:pt>
                <c:pt idx="34">
                  <c:v>1.4431510814991487E-3</c:v>
                </c:pt>
                <c:pt idx="35">
                  <c:v>1.2011856307088723E-3</c:v>
                </c:pt>
                <c:pt idx="36">
                  <c:v>1.166619137738833E-3</c:v>
                </c:pt>
                <c:pt idx="37">
                  <c:v>9.1169125208479158E-4</c:v>
                </c:pt>
                <c:pt idx="38">
                  <c:v>7.2589635237082931E-4</c:v>
                </c:pt>
                <c:pt idx="39">
                  <c:v>6.8700904777953492E-4</c:v>
                </c:pt>
                <c:pt idx="40">
                  <c:v>6.2219687346071087E-4</c:v>
                </c:pt>
                <c:pt idx="41">
                  <c:v>6.0923443859694604E-4</c:v>
                </c:pt>
                <c:pt idx="42">
                  <c:v>4.8393090158055287E-4</c:v>
                </c:pt>
                <c:pt idx="43">
                  <c:v>4.4504359698925848E-4</c:v>
                </c:pt>
                <c:pt idx="44">
                  <c:v>3.672689878066696E-4</c:v>
                </c:pt>
                <c:pt idx="45">
                  <c:v>3.5862736456415971E-4</c:v>
                </c:pt>
                <c:pt idx="46">
                  <c:v>3.1541924835161038E-4</c:v>
                </c:pt>
                <c:pt idx="47">
                  <c:v>2.5060707403278632E-4</c:v>
                </c:pt>
                <c:pt idx="48">
                  <c:v>2.8949437862408077E-4</c:v>
                </c:pt>
                <c:pt idx="49">
                  <c:v>2.2900301592651163E-4</c:v>
                </c:pt>
                <c:pt idx="50">
                  <c:v>1.9443652295647213E-4</c:v>
                </c:pt>
                <c:pt idx="51">
                  <c:v>2.4628626241153138E-4</c:v>
                </c:pt>
                <c:pt idx="52">
                  <c:v>1.8147408809270733E-4</c:v>
                </c:pt>
                <c:pt idx="53">
                  <c:v>1.5987002998643266E-4</c:v>
                </c:pt>
                <c:pt idx="54">
                  <c:v>1.6851165322894252E-4</c:v>
                </c:pt>
                <c:pt idx="55">
                  <c:v>1.4690759512266783E-4</c:v>
                </c:pt>
                <c:pt idx="56">
                  <c:v>1.4690759512266783E-4</c:v>
                </c:pt>
                <c:pt idx="57">
                  <c:v>1.5122840674392277E-4</c:v>
                </c:pt>
                <c:pt idx="58">
                  <c:v>9.0737044046353664E-5</c:v>
                </c:pt>
                <c:pt idx="59">
                  <c:v>9.9378667288863538E-5</c:v>
                </c:pt>
                <c:pt idx="60">
                  <c:v>8.2095420803843789E-5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2.0238297255700609E-2</c:v>
                </c:pt>
                <c:pt idx="1">
                  <c:v>0.122335743820166</c:v>
                </c:pt>
                <c:pt idx="2">
                  <c:v>8.4936341111327723E-2</c:v>
                </c:pt>
                <c:pt idx="3">
                  <c:v>5.3131765086591252E-2</c:v>
                </c:pt>
                <c:pt idx="4">
                  <c:v>5.7559955031568945E-2</c:v>
                </c:pt>
                <c:pt idx="5">
                  <c:v>6.7410772975327174E-2</c:v>
                </c:pt>
                <c:pt idx="6">
                  <c:v>5.811998452828869E-2</c:v>
                </c:pt>
                <c:pt idx="7">
                  <c:v>6.5236140121801858E-2</c:v>
                </c:pt>
                <c:pt idx="8">
                  <c:v>0.11326964539243727</c:v>
                </c:pt>
                <c:pt idx="9">
                  <c:v>2.8927618300234551E-2</c:v>
                </c:pt>
                <c:pt idx="10">
                  <c:v>3.9153475784631846E-2</c:v>
                </c:pt>
                <c:pt idx="11">
                  <c:v>6.7056357075105794E-2</c:v>
                </c:pt>
                <c:pt idx="12">
                  <c:v>2.7173062774670381E-2</c:v>
                </c:pt>
                <c:pt idx="13">
                  <c:v>5.1166910310598307E-2</c:v>
                </c:pt>
                <c:pt idx="14">
                  <c:v>4.7346944175034071E-3</c:v>
                </c:pt>
                <c:pt idx="15">
                  <c:v>3.1390506413631343E-2</c:v>
                </c:pt>
                <c:pt idx="16">
                  <c:v>1.0206909048711507E-2</c:v>
                </c:pt>
                <c:pt idx="17">
                  <c:v>1.5476826827605121E-2</c:v>
                </c:pt>
                <c:pt idx="18">
                  <c:v>1.4939153960044917E-2</c:v>
                </c:pt>
                <c:pt idx="19">
                  <c:v>4.8822482333136978E-3</c:v>
                </c:pt>
                <c:pt idx="20">
                  <c:v>1.0016253236759236E-2</c:v>
                </c:pt>
                <c:pt idx="21">
                  <c:v>7.3076628578456647E-3</c:v>
                </c:pt>
                <c:pt idx="22">
                  <c:v>1.0492121627697805E-2</c:v>
                </c:pt>
                <c:pt idx="23">
                  <c:v>6.9842058443459073E-4</c:v>
                </c:pt>
                <c:pt idx="24">
                  <c:v>1.1035112771879926E-2</c:v>
                </c:pt>
                <c:pt idx="25">
                  <c:v>8.4780782749697883E-3</c:v>
                </c:pt>
                <c:pt idx="26">
                  <c:v>1.1884035439886846E-3</c:v>
                </c:pt>
                <c:pt idx="27">
                  <c:v>9.7306948181645242E-4</c:v>
                </c:pt>
                <c:pt idx="28">
                  <c:v>1.0887308571221407E-4</c:v>
                </c:pt>
                <c:pt idx="29">
                  <c:v>0</c:v>
                </c:pt>
                <c:pt idx="30">
                  <c:v>7.5294361538143337E-4</c:v>
                </c:pt>
                <c:pt idx="31">
                  <c:v>2.3242756778088056E-4</c:v>
                </c:pt>
                <c:pt idx="32">
                  <c:v>0</c:v>
                </c:pt>
                <c:pt idx="33">
                  <c:v>4.744628198632754E-4</c:v>
                </c:pt>
                <c:pt idx="34">
                  <c:v>4.9055342228617003E-4</c:v>
                </c:pt>
                <c:pt idx="35">
                  <c:v>1.020790885920169E-3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1.7095171422538788E-3</c:v>
                </c:pt>
                <c:pt idx="41">
                  <c:v>1.5204845283506828E-3</c:v>
                </c:pt>
                <c:pt idx="42">
                  <c:v>0</c:v>
                </c:pt>
                <c:pt idx="43">
                  <c:v>0</c:v>
                </c:pt>
                <c:pt idx="44">
                  <c:v>2.3941195038136918E-3</c:v>
                </c:pt>
                <c:pt idx="45">
                  <c:v>0</c:v>
                </c:pt>
                <c:pt idx="46">
                  <c:v>9.9391197876917887E-4</c:v>
                </c:pt>
                <c:pt idx="47">
                  <c:v>1.7055229205541908E-4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1.6500067799575706E-4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2.8383411540023679E-2</c:v>
                </c:pt>
                <c:pt idx="1">
                  <c:v>8.1425695002549273E-2</c:v>
                </c:pt>
                <c:pt idx="2">
                  <c:v>9.6946050346097004E-2</c:v>
                </c:pt>
                <c:pt idx="3">
                  <c:v>9.9067568852133178E-2</c:v>
                </c:pt>
                <c:pt idx="4">
                  <c:v>9.5662769294584296E-2</c:v>
                </c:pt>
                <c:pt idx="5">
                  <c:v>8.7254469879622182E-2</c:v>
                </c:pt>
                <c:pt idx="6">
                  <c:v>7.7148091497506885E-2</c:v>
                </c:pt>
                <c:pt idx="7">
                  <c:v>6.2954225321684432E-2</c:v>
                </c:pt>
                <c:pt idx="8">
                  <c:v>5.2623164735263871E-2</c:v>
                </c:pt>
                <c:pt idx="9">
                  <c:v>4.2521107164769832E-2</c:v>
                </c:pt>
                <c:pt idx="10">
                  <c:v>3.3131983511782856E-2</c:v>
                </c:pt>
                <c:pt idx="11">
                  <c:v>2.8525998323525092E-2</c:v>
                </c:pt>
                <c:pt idx="12">
                  <c:v>2.1530604308713348E-2</c:v>
                </c:pt>
                <c:pt idx="13">
                  <c:v>1.6345630363207426E-2</c:v>
                </c:pt>
                <c:pt idx="14">
                  <c:v>1.45740975984929E-2</c:v>
                </c:pt>
                <c:pt idx="15">
                  <c:v>1.4038316957457289E-2</c:v>
                </c:pt>
                <c:pt idx="16">
                  <c:v>1.1925440074663625E-2</c:v>
                </c:pt>
                <c:pt idx="17">
                  <c:v>1.1381017810385502E-2</c:v>
                </c:pt>
                <c:pt idx="18">
                  <c:v>1.0789066618273576E-2</c:v>
                </c:pt>
                <c:pt idx="19">
                  <c:v>1.0642159023150908E-2</c:v>
                </c:pt>
                <c:pt idx="20">
                  <c:v>9.6742972199898025E-3</c:v>
                </c:pt>
                <c:pt idx="21">
                  <c:v>9.2033287532730153E-3</c:v>
                </c:pt>
                <c:pt idx="22">
                  <c:v>9.0953084627416417E-3</c:v>
                </c:pt>
                <c:pt idx="23">
                  <c:v>7.656478192863748E-3</c:v>
                </c:pt>
                <c:pt idx="24">
                  <c:v>6.8268823615827996E-3</c:v>
                </c:pt>
                <c:pt idx="25">
                  <c:v>6.157156560288285E-3</c:v>
                </c:pt>
                <c:pt idx="26">
                  <c:v>5.8244540654516543E-3</c:v>
                </c:pt>
                <c:pt idx="27">
                  <c:v>5.1071993363233353E-3</c:v>
                </c:pt>
                <c:pt idx="28">
                  <c:v>4.575739506908978E-3</c:v>
                </c:pt>
                <c:pt idx="29">
                  <c:v>4.2084705191023078E-3</c:v>
                </c:pt>
                <c:pt idx="30">
                  <c:v>3.9405801985845021E-3</c:v>
                </c:pt>
                <c:pt idx="31">
                  <c:v>3.4047995575488899E-3</c:v>
                </c:pt>
                <c:pt idx="32">
                  <c:v>3.0159265116359458E-3</c:v>
                </c:pt>
                <c:pt idx="33">
                  <c:v>2.9554351489383766E-3</c:v>
                </c:pt>
                <c:pt idx="34">
                  <c:v>2.4887874938428435E-3</c:v>
                </c:pt>
                <c:pt idx="35">
                  <c:v>2.04806470847484E-3</c:v>
                </c:pt>
                <c:pt idx="36">
                  <c:v>1.8147408809270733E-3</c:v>
                </c:pt>
                <c:pt idx="37">
                  <c:v>1.69807896715319E-3</c:v>
                </c:pt>
                <c:pt idx="38">
                  <c:v>1.3956221536653446E-3</c:v>
                </c:pt>
                <c:pt idx="39">
                  <c:v>1.3221683561040105E-3</c:v>
                </c:pt>
                <c:pt idx="40">
                  <c:v>1.0672404704499692E-3</c:v>
                </c:pt>
                <c:pt idx="41">
                  <c:v>9.7218261478236069E-4</c:v>
                </c:pt>
                <c:pt idx="42">
                  <c:v>8.0799177317467314E-4</c:v>
                </c:pt>
                <c:pt idx="43">
                  <c:v>7.9935014993216325E-4</c:v>
                </c:pt>
                <c:pt idx="44">
                  <c:v>7.3021716399208425E-4</c:v>
                </c:pt>
                <c:pt idx="45">
                  <c:v>5.4442226427812198E-4</c:v>
                </c:pt>
                <c:pt idx="46">
                  <c:v>5.5738469914188681E-4</c:v>
                </c:pt>
                <c:pt idx="47">
                  <c:v>4.4504359698925848E-4</c:v>
                </c:pt>
                <c:pt idx="48">
                  <c:v>4.8393090158055287E-4</c:v>
                </c:pt>
                <c:pt idx="49">
                  <c:v>4.1479791564047393E-4</c:v>
                </c:pt>
                <c:pt idx="50">
                  <c:v>3.2838168321537516E-4</c:v>
                </c:pt>
                <c:pt idx="51">
                  <c:v>2.8085275538157088E-4</c:v>
                </c:pt>
                <c:pt idx="52">
                  <c:v>2.6789032051780605E-4</c:v>
                </c:pt>
                <c:pt idx="53">
                  <c:v>1.9875733457772708E-4</c:v>
                </c:pt>
                <c:pt idx="54">
                  <c:v>2.6789032051780605E-4</c:v>
                </c:pt>
                <c:pt idx="55">
                  <c:v>2.0739895782023697E-4</c:v>
                </c:pt>
                <c:pt idx="56">
                  <c:v>2.1604058106274683E-4</c:v>
                </c:pt>
                <c:pt idx="57">
                  <c:v>1.9443652295647213E-4</c:v>
                </c:pt>
                <c:pt idx="58">
                  <c:v>1.3394516025890302E-4</c:v>
                </c:pt>
                <c:pt idx="59">
                  <c:v>1.2962434863764811E-4</c:v>
                </c:pt>
                <c:pt idx="60">
                  <c:v>1.5122840674392277E-4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6" sqref="U1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241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10821.499522</v>
      </c>
      <c r="C11" s="11">
        <f>B11/B$102</f>
        <v>0.12918007558094718</v>
      </c>
      <c r="E11" s="19">
        <v>0</v>
      </c>
      <c r="F11" s="337" t="n">
        <v>14076.0</v>
      </c>
      <c r="G11" s="11">
        <f>F11/F$102</f>
        <v>0.10850422143295396</v>
      </c>
      <c r="K11" s="8" t="n">
        <v>5.234990159330007</v>
      </c>
      <c r="L11" s="8" t="n">
        <v>10.163688834620363</v>
      </c>
    </row>
    <row r="12" spans="1:12" x14ac:dyDescent="0.25">
      <c r="A12">
        <v>1</v>
      </c>
      <c r="B12" s="335" t="n">
        <v>33914.5358</v>
      </c>
      <c r="C12" s="11">
        <f>B12/B$102</f>
        <v>0.13976650889566278</v>
      </c>
      <c r="E12" s="20">
        <v>1</v>
      </c>
      <c r="F12" s="337" t="n">
        <v>17187.0</v>
      </c>
      <c r="G12" s="11">
        <f>F12/F$102</f>
        <v>0.15398940536990469</v>
      </c>
      <c r="K12" s="8"/>
      <c r="L12" s="289"/>
    </row>
    <row r="13" spans="1:12" x14ac:dyDescent="0.25">
      <c r="A13">
        <v>2</v>
      </c>
      <c r="B13" s="335" t="n">
        <v>25162.425599</v>
      </c>
      <c r="C13" s="11">
        <f ref="C13:C76" si="0" t="shared">B13/B$102</f>
        <v>5.9349629312691686E-2</v>
      </c>
      <c r="E13" s="21">
        <v>2</v>
      </c>
      <c r="F13" s="337" t="n">
        <v>21175.0</v>
      </c>
      <c r="G13" s="11">
        <f ref="G13:G76" si="1" t="shared">F13/F$102</f>
        <v>0.13978257675921846</v>
      </c>
    </row>
    <row r="14" spans="1:12" x14ac:dyDescent="0.25">
      <c r="A14">
        <v>3</v>
      </c>
      <c r="B14" s="335" t="n">
        <v>27480.508157</v>
      </c>
      <c r="C14" s="11">
        <f si="0" t="shared"/>
        <v>9.4793241587254592E-2</v>
      </c>
      <c r="E14" s="22">
        <v>3</v>
      </c>
      <c r="F14" s="337" t="n">
        <v>23013.0</v>
      </c>
      <c r="G14" s="11">
        <f si="1" t="shared"/>
        <v>0.11559035249181206</v>
      </c>
    </row>
    <row r="15" spans="1:12" x14ac:dyDescent="0.25">
      <c r="A15">
        <v>4</v>
      </c>
      <c r="B15" s="335" t="n">
        <v>15702.879826</v>
      </c>
      <c r="C15" s="11">
        <f si="0" t="shared"/>
        <v>7.4130133976653703E-2</v>
      </c>
      <c r="E15" s="23">
        <v>4</v>
      </c>
      <c r="F15" s="337" t="n">
        <v>19047.0</v>
      </c>
      <c r="G15" s="11">
        <f si="1" t="shared"/>
        <v>9.0888272453097593E-2</v>
      </c>
    </row>
    <row r="16" spans="1:12" x14ac:dyDescent="0.25">
      <c r="A16">
        <v>5</v>
      </c>
      <c r="B16" s="335" t="n">
        <v>13072.135491</v>
      </c>
      <c r="C16" s="11">
        <f si="0" t="shared"/>
        <v>0.13402229490514128</v>
      </c>
      <c r="E16" s="24">
        <v>5</v>
      </c>
      <c r="F16" s="337" t="n">
        <v>15183.0</v>
      </c>
      <c r="G16" s="11">
        <f si="1" t="shared"/>
        <v>7.1496469896905432E-2</v>
      </c>
    </row>
    <row r="17" spans="1:7" x14ac:dyDescent="0.25">
      <c r="A17">
        <v>6</v>
      </c>
      <c r="B17" s="335" t="n">
        <v>10025.522043</v>
      </c>
      <c r="C17" s="11">
        <f si="0" t="shared"/>
        <v>8.3706479891927324E-2</v>
      </c>
      <c r="E17" s="25">
        <v>6</v>
      </c>
      <c r="F17" s="337" t="n">
        <v>10601.0</v>
      </c>
      <c r="G17" s="11">
        <f si="1" t="shared"/>
        <v>5.3025000216040584E-2</v>
      </c>
    </row>
    <row r="18" spans="1:7" x14ac:dyDescent="0.25">
      <c r="A18">
        <v>7</v>
      </c>
      <c r="B18" s="335" t="n">
        <v>6740.622166</v>
      </c>
      <c r="C18" s="11">
        <f si="0" t="shared"/>
        <v>5.2301543094991548E-2</v>
      </c>
      <c r="E18" s="26">
        <v>7</v>
      </c>
      <c r="F18" s="337" t="n">
        <v>7661.0</v>
      </c>
      <c r="G18" s="11">
        <f si="1" t="shared"/>
        <v>4.0978577415981821E-2</v>
      </c>
    </row>
    <row r="19" spans="1:7" x14ac:dyDescent="0.25">
      <c r="A19">
        <v>8</v>
      </c>
      <c r="B19" s="335" t="n">
        <v>7162.998027</v>
      </c>
      <c r="C19" s="11">
        <f si="0" t="shared"/>
        <v>3.6174798551090695E-2</v>
      </c>
      <c r="E19" s="27">
        <v>8</v>
      </c>
      <c r="F19" s="337" t="n">
        <v>5303.0</v>
      </c>
      <c r="G19" s="11">
        <f si="1" t="shared"/>
        <v>2.755381570874273E-2</v>
      </c>
    </row>
    <row r="20" spans="1:7" x14ac:dyDescent="0.25">
      <c r="A20">
        <v>9</v>
      </c>
      <c r="B20" s="335" t="n">
        <v>4420.1616779999995</v>
      </c>
      <c r="C20" s="11">
        <f si="0" t="shared"/>
        <v>2.5101671224329596E-2</v>
      </c>
      <c r="E20" s="28">
        <v>9</v>
      </c>
      <c r="F20" s="337" t="n">
        <v>3932.0</v>
      </c>
      <c r="G20" s="11">
        <f si="1" t="shared"/>
        <v>1.9141195482159368E-2</v>
      </c>
    </row>
    <row r="21" spans="1:7" x14ac:dyDescent="0.25">
      <c r="A21">
        <v>10</v>
      </c>
      <c r="B21" s="335" t="n">
        <v>2157.606243</v>
      </c>
      <c r="C21" s="11">
        <f si="0" t="shared"/>
        <v>2.6613892349315257E-2</v>
      </c>
      <c r="E21" s="29">
        <v>10</v>
      </c>
      <c r="F21" s="337" t="n">
        <v>3353.0</v>
      </c>
      <c r="G21" s="11">
        <f si="1" t="shared"/>
        <v>1.4029675334214779E-2</v>
      </c>
    </row>
    <row r="22" spans="1:7" x14ac:dyDescent="0.25">
      <c r="A22">
        <v>11</v>
      </c>
      <c r="B22" s="335" t="n">
        <v>4876.495533</v>
      </c>
      <c r="C22" s="11">
        <f si="0" t="shared"/>
        <v>2.3445970013281973E-2</v>
      </c>
      <c r="E22" s="30">
        <v>11</v>
      </c>
      <c r="F22" s="337" t="n">
        <v>3356.0</v>
      </c>
      <c r="G22" s="11">
        <f si="1" t="shared"/>
        <v>1.3277854112116421E-2</v>
      </c>
    </row>
    <row r="23" spans="1:7" x14ac:dyDescent="0.25">
      <c r="A23">
        <v>12</v>
      </c>
      <c r="B23" s="335" t="n">
        <v>2878.979075</v>
      </c>
      <c r="C23" s="11">
        <f si="0" t="shared"/>
        <v>1.7594547865010496E-2</v>
      </c>
      <c r="E23" s="31">
        <v>12</v>
      </c>
      <c r="F23" s="337" t="n">
        <v>3271.0</v>
      </c>
      <c r="G23" s="11">
        <f si="1" t="shared"/>
        <v>1.2815527268642142E-2</v>
      </c>
    </row>
    <row r="24" spans="1:7" x14ac:dyDescent="0.25">
      <c r="A24">
        <v>13</v>
      </c>
      <c r="B24" s="335" t="n">
        <v>2344.260895</v>
      </c>
      <c r="C24" s="11">
        <f si="0" t="shared"/>
        <v>4.0931944386725207E-3</v>
      </c>
      <c r="E24" s="32">
        <v>13</v>
      </c>
      <c r="F24" s="337" t="n">
        <v>3156.0</v>
      </c>
      <c r="G24" s="11">
        <f si="1" t="shared"/>
        <v>1.291058512430975E-2</v>
      </c>
    </row>
    <row r="25" spans="1:7" x14ac:dyDescent="0.25">
      <c r="A25">
        <v>14</v>
      </c>
      <c r="B25" s="335" t="n">
        <v>1604.029749</v>
      </c>
      <c r="C25" s="11">
        <f si="0" t="shared"/>
        <v>1.9244629202556093E-2</v>
      </c>
      <c r="E25" s="33">
        <v>14</v>
      </c>
      <c r="F25" s="337" t="n">
        <v>2996.0</v>
      </c>
      <c r="G25" s="11">
        <f si="1" t="shared"/>
        <v>1.1934081697906135E-2</v>
      </c>
    </row>
    <row r="26" spans="1:7" x14ac:dyDescent="0.25">
      <c r="A26">
        <v>15</v>
      </c>
      <c r="B26" s="335" t="n">
        <v>2655.556737</v>
      </c>
      <c r="C26" s="11">
        <f si="0" t="shared"/>
        <v>4.48924703627737E-3</v>
      </c>
      <c r="E26" s="34">
        <v>15</v>
      </c>
      <c r="F26" s="337" t="n">
        <v>2935.0</v>
      </c>
      <c r="G26" s="11">
        <f si="1" t="shared"/>
        <v>1.1186581287429031E-2</v>
      </c>
    </row>
    <row r="27" spans="1:7" x14ac:dyDescent="0.25">
      <c r="A27">
        <v>16</v>
      </c>
      <c r="B27" s="335" t="n">
        <v>967.554379</v>
      </c>
      <c r="C27" s="11">
        <f si="0" t="shared"/>
        <v>2.1823138303661199E-2</v>
      </c>
      <c r="E27" s="35">
        <v>16</v>
      </c>
      <c r="F27" s="337" t="n">
        <v>2712.0</v>
      </c>
      <c r="G27" s="11">
        <f si="1" t="shared"/>
        <v>1.0300814905071769E-2</v>
      </c>
    </row>
    <row r="28" spans="1:7" x14ac:dyDescent="0.25">
      <c r="A28">
        <v>17</v>
      </c>
      <c r="B28" s="335" t="n">
        <v>458.37197299999997</v>
      </c>
      <c r="C28" s="11">
        <f si="0" t="shared"/>
        <v>1.0265849759034471E-2</v>
      </c>
      <c r="E28" s="36">
        <v>17</v>
      </c>
      <c r="F28" s="337" t="n">
        <v>2671.0</v>
      </c>
      <c r="G28" s="11">
        <f si="1" t="shared"/>
        <v>9.9637915986138838E-3</v>
      </c>
    </row>
    <row r="29" spans="1:7" x14ac:dyDescent="0.25">
      <c r="A29">
        <v>18</v>
      </c>
      <c r="B29" s="335" t="n">
        <v>184.585806</v>
      </c>
      <c r="C29" s="11">
        <f si="0" t="shared"/>
        <v>2.9387329601164693E-3</v>
      </c>
      <c r="E29" s="37">
        <v>18</v>
      </c>
      <c r="F29" s="337" t="n">
        <v>2339.0</v>
      </c>
      <c r="G29" s="11">
        <f si="1" t="shared"/>
        <v>8.766926779526266E-3</v>
      </c>
    </row>
    <row r="30" spans="1:7" x14ac:dyDescent="0.25">
      <c r="A30">
        <v>19</v>
      </c>
      <c r="B30" s="335" t="n">
        <v>225.675774</v>
      </c>
      <c r="C30" s="11">
        <f si="0" t="shared"/>
        <v>1.147855627933414E-2</v>
      </c>
      <c r="E30" s="38">
        <v>19</v>
      </c>
      <c r="F30" s="337" t="n">
        <v>2137.0</v>
      </c>
      <c r="G30" s="11">
        <f si="1" t="shared"/>
        <v>7.660799004485002E-3</v>
      </c>
    </row>
    <row r="31" spans="1:7" x14ac:dyDescent="0.25">
      <c r="A31">
        <v>20</v>
      </c>
      <c r="B31" s="335" t="n">
        <v>363.39209999999997</v>
      </c>
      <c r="C31" s="11">
        <f si="0" t="shared"/>
        <v>1.6729362182171838E-4</v>
      </c>
      <c r="E31" s="39">
        <v>20</v>
      </c>
      <c r="F31" s="337" t="n">
        <v>2083.0</v>
      </c>
      <c r="G31" s="11">
        <f si="1" t="shared"/>
        <v>7.4534000466647656E-3</v>
      </c>
    </row>
    <row r="32" spans="1:7" x14ac:dyDescent="0.25">
      <c r="A32">
        <v>21</v>
      </c>
      <c r="B32" s="335" t="n">
        <v>174.122999</v>
      </c>
      <c r="C32" s="11">
        <f si="0" t="shared"/>
        <v>6.2451384989431081E-3</v>
      </c>
      <c r="E32" s="40">
        <v>21</v>
      </c>
      <c r="F32" s="337" t="n">
        <v>1986.0</v>
      </c>
      <c r="G32" s="11">
        <f si="1" t="shared"/>
        <v>6.5460296062012291E-3</v>
      </c>
    </row>
    <row r="33" spans="1:7" x14ac:dyDescent="0.25">
      <c r="A33">
        <v>22</v>
      </c>
      <c r="B33" s="335" t="n">
        <v>607.037636</v>
      </c>
      <c r="C33" s="11">
        <f si="0" t="shared"/>
        <v>8.8781000735080687E-4</v>
      </c>
      <c r="E33" s="41">
        <v>22</v>
      </c>
      <c r="F33" s="337" t="n">
        <v>1915.0</v>
      </c>
      <c r="G33" s="11">
        <f si="1" t="shared"/>
        <v>5.7380378330265554E-3</v>
      </c>
    </row>
    <row r="34" spans="1:7" x14ac:dyDescent="0.25">
      <c r="A34">
        <v>23</v>
      </c>
      <c r="B34" s="335" t="n">
        <v>295.273343</v>
      </c>
      <c r="C34" s="11">
        <f si="0" t="shared"/>
        <v>2.1636212465122946E-3</v>
      </c>
      <c r="E34" s="42">
        <v>23</v>
      </c>
      <c r="F34" s="337" t="n">
        <v>1853.0</v>
      </c>
      <c r="G34" s="11">
        <f si="1" t="shared"/>
        <v>5.1115201479445902E-3</v>
      </c>
    </row>
    <row r="35" spans="1:7" x14ac:dyDescent="0.25">
      <c r="A35">
        <v>24</v>
      </c>
      <c r="B35" s="335" t="n">
        <v>265.635765</v>
      </c>
      <c r="C35" s="11">
        <f si="0" t="shared"/>
        <v>6.730665850646223E-3</v>
      </c>
      <c r="E35" s="43">
        <v>24</v>
      </c>
      <c r="F35" s="337" t="n">
        <v>1701.0</v>
      </c>
      <c r="G35" s="11">
        <f si="1" t="shared"/>
        <v>4.6362308696065472E-3</v>
      </c>
    </row>
    <row r="36" spans="1:7" x14ac:dyDescent="0.25">
      <c r="A36">
        <v>25</v>
      </c>
      <c r="B36" s="335" t="n">
        <v>63.00099</v>
      </c>
      <c r="C36" s="11">
        <f si="0" t="shared"/>
        <v>1.8170644870952352E-3</v>
      </c>
      <c r="E36" s="44">
        <v>25</v>
      </c>
      <c r="F36" s="337" t="n">
        <v>1609.0</v>
      </c>
      <c r="G36" s="11">
        <f si="1" t="shared"/>
        <v>4.100450228570935E-3</v>
      </c>
    </row>
    <row r="37" spans="1:7" x14ac:dyDescent="0.25">
      <c r="A37">
        <v>26</v>
      </c>
      <c r="B37" s="335" t="n">
        <v>255.382031</v>
      </c>
      <c r="C37" s="11">
        <f si="0" t="shared"/>
        <v>2.8744457630630225E-4</v>
      </c>
      <c r="E37" s="45">
        <v>26</v>
      </c>
      <c r="F37" s="337" t="n">
        <v>1674.0</v>
      </c>
      <c r="G37" s="11">
        <f si="1" t="shared"/>
        <v>3.6424441967179114E-3</v>
      </c>
    </row>
    <row r="38" spans="1:7" x14ac:dyDescent="0.25">
      <c r="A38">
        <v>27</v>
      </c>
      <c r="B38" s="335" t="n">
        <v>0.0</v>
      </c>
      <c r="C38" s="11">
        <f si="0" t="shared"/>
        <v>5.589116913026958E-4</v>
      </c>
      <c r="E38" s="46">
        <v>27</v>
      </c>
      <c r="F38" s="337" t="n">
        <v>1523.0</v>
      </c>
      <c r="G38" s="11">
        <f si="1" t="shared"/>
        <v>3.2578919624262222E-3</v>
      </c>
    </row>
    <row r="39" spans="1:7" x14ac:dyDescent="0.25">
      <c r="A39">
        <v>28</v>
      </c>
      <c r="B39" s="335" t="n">
        <v>19.788944</v>
      </c>
      <c r="C39" s="11">
        <f si="0" t="shared"/>
        <v>0</v>
      </c>
      <c r="E39" s="47">
        <v>28</v>
      </c>
      <c r="F39" s="337" t="n">
        <v>1382.0</v>
      </c>
      <c r="G39" s="11">
        <f si="1" t="shared"/>
        <v>2.8258108003007287E-3</v>
      </c>
    </row>
    <row r="40" spans="1:7" x14ac:dyDescent="0.25">
      <c r="A40">
        <v>29</v>
      </c>
      <c r="B40" s="335" t="n">
        <v>142.94046</v>
      </c>
      <c r="C40" s="11">
        <f si="0" t="shared"/>
        <v>0</v>
      </c>
      <c r="E40" s="48">
        <v>29</v>
      </c>
      <c r="F40" s="337" t="n">
        <v>1313.0</v>
      </c>
      <c r="G40" s="11">
        <f si="1" t="shared"/>
        <v>2.7523570027393946E-3</v>
      </c>
    </row>
    <row r="41" spans="1:7" x14ac:dyDescent="0.25">
      <c r="A41">
        <v>30</v>
      </c>
      <c r="B41" s="335" t="n">
        <v>0.0</v>
      </c>
      <c r="C41" s="11">
        <f si="0" t="shared"/>
        <v>9.1521169817714791E-4</v>
      </c>
      <c r="E41" s="49">
        <v>30</v>
      </c>
      <c r="F41" s="337" t="n">
        <v>1196.0</v>
      </c>
      <c r="G41" s="11">
        <f si="1" t="shared"/>
        <v>2.4369377543877841E-3</v>
      </c>
    </row>
    <row r="42" spans="1:7" x14ac:dyDescent="0.25">
      <c r="A42">
        <v>31</v>
      </c>
      <c r="B42" s="335" t="n">
        <v>0.0</v>
      </c>
      <c r="C42" s="11">
        <f si="0" t="shared"/>
        <v>0</v>
      </c>
      <c r="E42" s="50">
        <v>31</v>
      </c>
      <c r="F42" s="337" t="n">
        <v>1079.0</v>
      </c>
      <c r="G42" s="11">
        <f si="1" t="shared"/>
        <v>2.1215185060361737E-3</v>
      </c>
    </row>
    <row r="43" spans="1:7" x14ac:dyDescent="0.25">
      <c r="A43">
        <v>32</v>
      </c>
      <c r="B43" s="335" t="n">
        <v>194.049587</v>
      </c>
      <c r="C43" s="11">
        <f si="0" t="shared"/>
        <v>0</v>
      </c>
      <c r="E43" s="51">
        <v>32</v>
      </c>
      <c r="F43" s="337" t="n">
        <v>999.0</v>
      </c>
      <c r="G43" s="11">
        <f si="1" t="shared"/>
        <v>1.7542495182295043E-3</v>
      </c>
    </row>
    <row r="44" spans="1:7" x14ac:dyDescent="0.25">
      <c r="A44">
        <v>33</v>
      </c>
      <c r="B44" s="335" t="n">
        <v>156.62924</v>
      </c>
      <c r="C44" s="11">
        <f si="0" t="shared"/>
        <v>0</v>
      </c>
      <c r="E44" s="52">
        <v>33</v>
      </c>
      <c r="F44" s="337" t="n">
        <v>934.0</v>
      </c>
      <c r="G44" s="11">
        <f si="1" t="shared"/>
        <v>1.4950008209542081E-3</v>
      </c>
    </row>
    <row r="45" spans="1:7" x14ac:dyDescent="0.25">
      <c r="A45">
        <v>34</v>
      </c>
      <c r="B45" s="335" t="n">
        <v>55.577715</v>
      </c>
      <c r="C45" s="11">
        <f si="0" t="shared"/>
        <v>3.3634692030775726E-3</v>
      </c>
      <c r="E45" s="53">
        <v>34</v>
      </c>
      <c r="F45" s="337" t="n">
        <v>879.0</v>
      </c>
      <c r="G45" s="11">
        <f si="1" t="shared"/>
        <v>1.4431510814991487E-3</v>
      </c>
    </row>
    <row r="46" spans="1:7" x14ac:dyDescent="0.25">
      <c r="A46">
        <v>35</v>
      </c>
      <c r="B46" s="335" t="n">
        <v>120.905139</v>
      </c>
      <c r="C46" s="11">
        <f si="0" t="shared"/>
        <v>2.5889373108311346E-3</v>
      </c>
      <c r="E46" s="54">
        <v>35</v>
      </c>
      <c r="F46" s="337" t="n">
        <v>946.0</v>
      </c>
      <c r="G46" s="11">
        <f si="1" t="shared"/>
        <v>1.2011856307088723E-3</v>
      </c>
    </row>
    <row r="47" spans="1:7" x14ac:dyDescent="0.25">
      <c r="A47">
        <v>36</v>
      </c>
      <c r="B47" s="335" t="n">
        <v>0.0</v>
      </c>
      <c r="C47" s="11">
        <f si="0" t="shared"/>
        <v>4.2988227899060051E-4</v>
      </c>
      <c r="E47" s="55">
        <v>36</v>
      </c>
      <c r="F47" s="337" t="n">
        <v>811.0</v>
      </c>
      <c r="G47" s="11">
        <f si="1" t="shared"/>
        <v>1.166619137738833E-3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686.0</v>
      </c>
      <c r="G48" s="11">
        <f si="1" t="shared"/>
        <v>9.1169125208479158E-4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716.0</v>
      </c>
      <c r="G49" s="11">
        <f si="1" t="shared"/>
        <v>7.2589635237082931E-4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629.0</v>
      </c>
      <c r="G50" s="11">
        <f si="1" t="shared"/>
        <v>6.8700904777953492E-4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548.0</v>
      </c>
      <c r="G51" s="11">
        <f si="1" t="shared"/>
        <v>6.2219687346071087E-4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520.0</v>
      </c>
      <c r="G52" s="11">
        <f si="1" t="shared"/>
        <v>6.0923443859694604E-4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445.0</v>
      </c>
      <c r="G53" s="11">
        <f si="1" t="shared"/>
        <v>4.8393090158055287E-4</v>
      </c>
    </row>
    <row r="54" spans="1:7" x14ac:dyDescent="0.25">
      <c r="A54">
        <v>43</v>
      </c>
      <c r="B54" s="335" t="n">
        <v>44.546927</v>
      </c>
      <c r="C54" s="11">
        <f si="0" t="shared"/>
        <v>1.7055229205541902E-4</v>
      </c>
      <c r="E54" s="62">
        <v>43</v>
      </c>
      <c r="F54" s="337" t="n">
        <v>509.0</v>
      </c>
      <c r="G54" s="11">
        <f si="1" t="shared"/>
        <v>4.4504359698925848E-4</v>
      </c>
    </row>
    <row r="55" spans="1:7" x14ac:dyDescent="0.25">
      <c r="A55">
        <v>44</v>
      </c>
      <c r="B55" s="335" t="n">
        <v>503.959574</v>
      </c>
      <c r="C55" s="11">
        <f si="0" t="shared"/>
        <v>0</v>
      </c>
      <c r="E55" s="63">
        <v>44</v>
      </c>
      <c r="F55" s="337" t="n">
        <v>378.0</v>
      </c>
      <c r="G55" s="11">
        <f si="1" t="shared"/>
        <v>3.672689878066696E-4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311.0</v>
      </c>
      <c r="G56" s="11">
        <f si="1" t="shared"/>
        <v>3.5862736456415971E-4</v>
      </c>
    </row>
    <row r="57" spans="1:7" x14ac:dyDescent="0.25">
      <c r="A57">
        <v>46</v>
      </c>
      <c r="B57" s="335" t="n">
        <v>160.895459</v>
      </c>
      <c r="C57" s="11">
        <f si="0" t="shared"/>
        <v>0</v>
      </c>
      <c r="E57" s="65">
        <v>46</v>
      </c>
      <c r="F57" s="337" t="n">
        <v>324.0</v>
      </c>
      <c r="G57" s="11">
        <f si="1" t="shared"/>
        <v>3.1541924835161038E-4</v>
      </c>
    </row>
    <row r="58" spans="1:7" x14ac:dyDescent="0.25">
      <c r="A58">
        <v>47</v>
      </c>
      <c r="B58" s="335" t="n">
        <v>20.848398</v>
      </c>
      <c r="C58" s="11">
        <f si="0" t="shared"/>
        <v>5.6402969977857804E-4</v>
      </c>
      <c r="E58" s="66">
        <v>47</v>
      </c>
      <c r="F58" s="337" t="n">
        <v>360.0</v>
      </c>
      <c r="G58" s="11">
        <f si="1" t="shared"/>
        <v>2.5060707403278632E-4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266.0</v>
      </c>
      <c r="G59" s="11">
        <f si="1" t="shared"/>
        <v>2.8949437862408077E-4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249.0</v>
      </c>
      <c r="G60" s="11">
        <f si="1" t="shared"/>
        <v>2.2900301592651163E-4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233.0</v>
      </c>
      <c r="G61" s="11">
        <f si="1" t="shared"/>
        <v>1.9443652295647213E-4</v>
      </c>
    </row>
    <row r="62" spans="1:7" x14ac:dyDescent="0.25">
      <c r="A62">
        <v>51</v>
      </c>
      <c r="B62" s="335" t="n">
        <v>0.0</v>
      </c>
      <c r="C62" s="11">
        <f si="0" t="shared"/>
        <v>1.65000677995757E-4</v>
      </c>
      <c r="E62" s="70">
        <v>51</v>
      </c>
      <c r="F62" s="337" t="n">
        <v>235.0</v>
      </c>
      <c r="G62" s="11">
        <f si="1" t="shared"/>
        <v>2.4628626241153138E-4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210.0</v>
      </c>
      <c r="G63" s="11">
        <f si="1" t="shared"/>
        <v>1.8147408809270733E-4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186.0</v>
      </c>
      <c r="G64" s="11">
        <f si="1" t="shared"/>
        <v>1.5987002998643266E-4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136.0</v>
      </c>
      <c r="G65" s="11">
        <f si="1" t="shared"/>
        <v>1.6851165322894252E-4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165.0</v>
      </c>
      <c r="G66" s="11">
        <f si="1" t="shared"/>
        <v>1.4690759512266783E-4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123.0</v>
      </c>
      <c r="G67" s="11">
        <f si="1" t="shared"/>
        <v>1.4690759512266783E-4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115.0</v>
      </c>
      <c r="G68" s="11">
        <f si="1" t="shared"/>
        <v>1.5122840674392277E-4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102.0</v>
      </c>
      <c r="G69" s="11">
        <f si="1" t="shared"/>
        <v>9.0737044046353664E-5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168.0</v>
      </c>
      <c r="G70" s="11">
        <f si="1" t="shared"/>
        <v>9.9378667288863538E-5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74.0</v>
      </c>
      <c r="G71" s="11">
        <f si="1" t="shared"/>
        <v>8.2095420803843789E-5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59.0</v>
      </c>
      <c r="G72" s="11">
        <f si="1" t="shared"/>
        <v>6.9132985940078984E-5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31.0</v>
      </c>
      <c r="G73" s="11">
        <f si="1" t="shared"/>
        <v>6.0491362697569109E-5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45.0</v>
      </c>
      <c r="G74" s="11">
        <f si="1" t="shared"/>
        <v>4.3208116212549367E-5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110.0</v>
      </c>
      <c r="G75" s="11">
        <f si="1" t="shared"/>
        <v>1.7283246485019746E-5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29.0</v>
      </c>
      <c r="G76" s="11">
        <f si="1" t="shared"/>
        <v>3.4566492970039492E-5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40.0</v>
      </c>
      <c r="G77" s="11">
        <f ref="G77:G102" si="3" t="shared">F77/F$102</f>
        <v>5.6170551076314172E-5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71.0</v>
      </c>
      <c r="G78" s="11">
        <f si="3" t="shared"/>
        <v>3.0245681348784555E-5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23.0</v>
      </c>
      <c r="G79" s="11">
        <f si="3" t="shared"/>
        <v>3.8887304591294429E-5</v>
      </c>
    </row>
    <row r="80" spans="1:7" x14ac:dyDescent="0.25">
      <c r="A80">
        <v>69</v>
      </c>
      <c r="B80" s="335" t="n">
        <v>0.0</v>
      </c>
      <c r="C80" s="11">
        <f si="2" t="shared"/>
        <v>2.4308316311645903E-3</v>
      </c>
      <c r="E80" s="88">
        <v>69</v>
      </c>
      <c r="F80" s="337" t="n">
        <v>20.0</v>
      </c>
      <c r="G80" s="11">
        <f si="3" t="shared"/>
        <v>3.0245681348784555E-5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44.0</v>
      </c>
      <c r="G81" s="11">
        <f si="3" t="shared"/>
        <v>2.1604058106274683E-5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9.0</v>
      </c>
      <c r="G82" s="11">
        <f si="3" t="shared"/>
        <v>1.296243486376481E-5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12.0</v>
      </c>
      <c r="G83" s="11">
        <f si="3" t="shared"/>
        <v>1.7283246485019746E-5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5.0</v>
      </c>
      <c r="G84" s="11">
        <f si="3" t="shared"/>
        <v>8.641623242509873E-6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16.0</v>
      </c>
      <c r="G85" s="11">
        <f si="3" t="shared"/>
        <v>4.3208116212549365E-6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11.0</v>
      </c>
      <c r="G86" s="11">
        <f si="3" t="shared"/>
        <v>2.1604058106274683E-5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1.0</v>
      </c>
      <c r="G87" s="11">
        <f si="3" t="shared"/>
        <v>4.3208116212549365E-6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5.0</v>
      </c>
      <c r="G88" s="11">
        <f si="3" t="shared"/>
        <v>8.641623242509873E-6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38.0</v>
      </c>
      <c r="G89" s="11">
        <f si="3" t="shared"/>
        <v>2.1604058106274683E-5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8.0</v>
      </c>
      <c r="G90" s="11">
        <f si="3" t="shared"/>
        <v>4.3208116212549365E-6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9.0</v>
      </c>
      <c r="G91" s="11">
        <f si="3" t="shared"/>
        <v>8.641623242509873E-6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5.0</v>
      </c>
      <c r="G92" s="11">
        <f si="3" t="shared"/>
        <v>4.3208116212549365E-6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5.0</v>
      </c>
      <c r="G93" s="11">
        <f si="3" t="shared"/>
        <v>8.641623242509873E-6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13.0</v>
      </c>
      <c r="G94" s="11">
        <f si="3" t="shared"/>
        <v>4.3208116212549365E-6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2.0</v>
      </c>
      <c r="G95" s="11">
        <f si="3" t="shared"/>
        <v>4.3208116212549365E-6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2.0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9.0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1.0</v>
      </c>
      <c r="G98" s="11">
        <f si="3" t="shared"/>
        <v>8.641623242509873E-6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9.0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1.0</v>
      </c>
      <c r="G100" s="11">
        <f si="3" t="shared"/>
        <v>1.296243486376481E-5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135.0</v>
      </c>
      <c r="G101" s="11">
        <f si="3" t="shared"/>
        <v>0</v>
      </c>
    </row>
    <row r="102" spans="1:7" x14ac:dyDescent="0.25">
      <c r="B102" s="335">
        <f>SUM(B11:B101)</f>
        <v>186245.29531200009</v>
      </c>
      <c r="C102" s="11">
        <f si="2" t="shared"/>
        <v>1</v>
      </c>
      <c r="F102" s="335">
        <f>SUM(F11:F101)</f>
        <v>231438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2.0238297255700609E-2</v>
      </c>
      <c r="E11" s="109">
        <v>0</v>
      </c>
      <c r="F11" s="199" t="n">
        <v>3818.0</v>
      </c>
      <c r="G11" s="11">
        <f>F11/F$102</f>
        <v>2.8383411540023679E-2</v>
      </c>
      <c r="K11" s="8" t="n">
        <v>12.18927389702332</v>
      </c>
      <c r="L11" s="8" t="n">
        <v>18.00949017962848</v>
      </c>
    </row>
    <row r="12" spans="1:12" x14ac:dyDescent="0.25">
      <c r="A12">
        <v>1</v>
      </c>
      <c r="B12" s="8" t="n">
        <v>0.0</v>
      </c>
      <c r="C12" s="11">
        <f>B12/B$102</f>
        <v>0.122335743820166</v>
      </c>
      <c r="E12" s="110">
        <v>1</v>
      </c>
      <c r="F12" s="200" t="n">
        <v>1795.0</v>
      </c>
      <c r="G12" s="11">
        <f>F12/F$102</f>
        <v>8.1425695002549273E-2</v>
      </c>
      <c r="K12" s="8"/>
      <c r="L12" s="290"/>
    </row>
    <row r="13" spans="1:12" x14ac:dyDescent="0.25">
      <c r="A13">
        <v>2</v>
      </c>
      <c r="B13" s="8" t="n">
        <v>1121.838574</v>
      </c>
      <c r="C13" s="11">
        <f ref="C13:C76" si="0" t="shared">B13/B$102</f>
        <v>8.4936341111327723E-2</v>
      </c>
      <c r="E13" s="111">
        <v>2</v>
      </c>
      <c r="F13" s="201" t="n">
        <v>2152.0</v>
      </c>
      <c r="G13" s="11">
        <f ref="G13:G76" si="1" t="shared">F13/F$102</f>
        <v>9.6946050346097004E-2</v>
      </c>
    </row>
    <row r="14" spans="1:12" x14ac:dyDescent="0.25">
      <c r="A14">
        <v>3</v>
      </c>
      <c r="B14" s="8" t="n">
        <v>10393.753657</v>
      </c>
      <c r="C14" s="11">
        <f si="0" t="shared"/>
        <v>5.3131765086591252E-2</v>
      </c>
      <c r="E14" s="112">
        <v>3</v>
      </c>
      <c r="F14" s="202" t="n">
        <v>3451.0</v>
      </c>
      <c r="G14" s="11">
        <f si="1" t="shared"/>
        <v>9.9067568852133178E-2</v>
      </c>
    </row>
    <row r="15" spans="1:12" x14ac:dyDescent="0.25">
      <c r="A15">
        <v>4</v>
      </c>
      <c r="B15" s="8" t="n">
        <v>9735.070683</v>
      </c>
      <c r="C15" s="11">
        <f si="0" t="shared"/>
        <v>5.7559955031568945E-2</v>
      </c>
      <c r="E15" s="113">
        <v>4</v>
      </c>
      <c r="F15" s="203" t="n">
        <v>5084.0</v>
      </c>
      <c r="G15" s="11">
        <f si="1" t="shared"/>
        <v>9.5662769294584296E-2</v>
      </c>
    </row>
    <row r="16" spans="1:12" x14ac:dyDescent="0.25">
      <c r="A16">
        <v>5</v>
      </c>
      <c r="B16" s="8" t="n">
        <v>17784.716802</v>
      </c>
      <c r="C16" s="11">
        <f si="0" t="shared"/>
        <v>6.7410772975327174E-2</v>
      </c>
      <c r="E16" s="114">
        <v>5</v>
      </c>
      <c r="F16" s="204" t="n">
        <v>7465.0</v>
      </c>
      <c r="G16" s="11">
        <f si="1" t="shared"/>
        <v>8.7254469879622182E-2</v>
      </c>
    </row>
    <row r="17" spans="1:7" x14ac:dyDescent="0.25">
      <c r="A17">
        <v>6</v>
      </c>
      <c r="B17" s="8" t="n">
        <v>12139.414612999999</v>
      </c>
      <c r="C17" s="11">
        <f si="0" t="shared"/>
        <v>5.811998452828869E-2</v>
      </c>
      <c r="E17" s="115">
        <v>6</v>
      </c>
      <c r="F17" s="205" t="n">
        <v>9362.0</v>
      </c>
      <c r="G17" s="11">
        <f si="1" t="shared"/>
        <v>7.7148091497506885E-2</v>
      </c>
    </row>
    <row r="18" spans="1:7" x14ac:dyDescent="0.25">
      <c r="A18">
        <v>7</v>
      </c>
      <c r="B18" s="8" t="n">
        <v>12311.017688</v>
      </c>
      <c r="C18" s="11">
        <f si="0" t="shared"/>
        <v>6.5236140121801858E-2</v>
      </c>
      <c r="E18" s="116">
        <v>7</v>
      </c>
      <c r="F18" s="206" t="n">
        <v>11453.0</v>
      </c>
      <c r="G18" s="11">
        <f si="1" t="shared"/>
        <v>6.2954225321684432E-2</v>
      </c>
    </row>
    <row r="19" spans="1:7" x14ac:dyDescent="0.25">
      <c r="A19">
        <v>8</v>
      </c>
      <c r="B19" s="8" t="n">
        <v>18217.190643</v>
      </c>
      <c r="C19" s="11">
        <f si="0" t="shared"/>
        <v>0.11326964539243727</v>
      </c>
      <c r="E19" s="117">
        <v>8</v>
      </c>
      <c r="F19" s="207" t="n">
        <v>12902.0</v>
      </c>
      <c r="G19" s="11">
        <f si="1" t="shared"/>
        <v>5.2623164735263871E-2</v>
      </c>
    </row>
    <row r="20" spans="1:7" x14ac:dyDescent="0.25">
      <c r="A20">
        <v>9</v>
      </c>
      <c r="B20" s="8" t="n">
        <v>14638.265004</v>
      </c>
      <c r="C20" s="11">
        <f si="0" t="shared"/>
        <v>2.8927618300234551E-2</v>
      </c>
      <c r="E20" s="118">
        <v>9</v>
      </c>
      <c r="F20" s="208" t="n">
        <v>13348.0</v>
      </c>
      <c r="G20" s="11">
        <f si="1" t="shared"/>
        <v>4.2521107164769832E-2</v>
      </c>
    </row>
    <row r="21" spans="1:7" x14ac:dyDescent="0.25">
      <c r="A21">
        <v>10</v>
      </c>
      <c r="B21" s="8" t="n">
        <v>9409.422647</v>
      </c>
      <c r="C21" s="11">
        <f si="0" t="shared"/>
        <v>3.9153475784631846E-2</v>
      </c>
      <c r="E21" s="119">
        <v>10</v>
      </c>
      <c r="F21" s="209" t="n">
        <v>13498.0</v>
      </c>
      <c r="G21" s="11">
        <f si="1" t="shared"/>
        <v>3.3131983511782856E-2</v>
      </c>
    </row>
    <row r="22" spans="1:7" x14ac:dyDescent="0.25">
      <c r="A22">
        <v>11</v>
      </c>
      <c r="B22" s="8" t="n">
        <v>11783.493018</v>
      </c>
      <c r="C22" s="11">
        <f si="0" t="shared"/>
        <v>6.7056357075105794E-2</v>
      </c>
      <c r="E22" s="120">
        <v>11</v>
      </c>
      <c r="F22" s="210" t="n">
        <v>11450.0</v>
      </c>
      <c r="G22" s="11">
        <f si="1" t="shared"/>
        <v>2.8525998323525092E-2</v>
      </c>
    </row>
    <row r="23" spans="1:7" x14ac:dyDescent="0.25">
      <c r="A23">
        <v>12</v>
      </c>
      <c r="B23" s="8" t="n">
        <v>3670.747149</v>
      </c>
      <c r="C23" s="11">
        <f si="0" t="shared"/>
        <v>2.7173062774670381E-2</v>
      </c>
      <c r="E23" s="121">
        <v>12</v>
      </c>
      <c r="F23" s="211" t="n">
        <v>10025.0</v>
      </c>
      <c r="G23" s="11">
        <f si="1" t="shared"/>
        <v>2.1530604308713348E-2</v>
      </c>
    </row>
    <row r="24" spans="1:7" x14ac:dyDescent="0.25">
      <c r="A24">
        <v>13</v>
      </c>
      <c r="B24" s="8" t="n">
        <v>7602.005882</v>
      </c>
      <c r="C24" s="11">
        <f si="0" t="shared"/>
        <v>5.1166910310598307E-2</v>
      </c>
      <c r="E24" s="122">
        <v>13</v>
      </c>
      <c r="F24" s="212" t="n">
        <v>8607.0</v>
      </c>
      <c r="G24" s="11">
        <f si="1" t="shared"/>
        <v>1.6345630363207426E-2</v>
      </c>
    </row>
    <row r="25" spans="1:7" x14ac:dyDescent="0.25">
      <c r="A25">
        <v>14</v>
      </c>
      <c r="B25" s="8" t="n">
        <v>5652.049696</v>
      </c>
      <c r="C25" s="11">
        <f si="0" t="shared"/>
        <v>4.7346944175034071E-3</v>
      </c>
      <c r="E25" s="123">
        <v>14</v>
      </c>
      <c r="F25" s="213" t="n">
        <v>6950.0</v>
      </c>
      <c r="G25" s="11">
        <f si="1" t="shared"/>
        <v>1.45740975984929E-2</v>
      </c>
    </row>
    <row r="26" spans="1:7" x14ac:dyDescent="0.25">
      <c r="A26">
        <v>15</v>
      </c>
      <c r="B26" s="8" t="n">
        <v>3708.204694</v>
      </c>
      <c r="C26" s="11">
        <f si="0" t="shared"/>
        <v>3.1390506413631343E-2</v>
      </c>
      <c r="E26" s="124">
        <v>15</v>
      </c>
      <c r="F26" s="214" t="n">
        <v>5798.0</v>
      </c>
      <c r="G26" s="11">
        <f si="1" t="shared"/>
        <v>1.4038316957457289E-2</v>
      </c>
    </row>
    <row r="27" spans="1:7" x14ac:dyDescent="0.25">
      <c r="A27">
        <v>16</v>
      </c>
      <c r="B27" s="8" t="n">
        <v>1901.110162</v>
      </c>
      <c r="C27" s="11">
        <f si="0" t="shared"/>
        <v>1.0206909048711507E-2</v>
      </c>
      <c r="E27" s="125">
        <v>16</v>
      </c>
      <c r="F27" s="215" t="n">
        <v>4664.0</v>
      </c>
      <c r="G27" s="11">
        <f si="1" t="shared"/>
        <v>1.1925440074663625E-2</v>
      </c>
    </row>
    <row r="28" spans="1:7" x14ac:dyDescent="0.25">
      <c r="A28">
        <v>17</v>
      </c>
      <c r="B28" s="8" t="n">
        <v>2910.264425</v>
      </c>
      <c r="C28" s="11">
        <f si="0" t="shared"/>
        <v>1.5476826827605121E-2</v>
      </c>
      <c r="E28" s="126">
        <v>17</v>
      </c>
      <c r="F28" s="216" t="n">
        <v>4020.0</v>
      </c>
      <c r="G28" s="11">
        <f si="1" t="shared"/>
        <v>1.1381017810385502E-2</v>
      </c>
    </row>
    <row r="29" spans="1:7" x14ac:dyDescent="0.25">
      <c r="A29">
        <v>18</v>
      </c>
      <c r="B29" s="8" t="n">
        <v>3546.392609</v>
      </c>
      <c r="C29" s="11">
        <f si="0" t="shared"/>
        <v>1.4939153960044917E-2</v>
      </c>
      <c r="E29" s="127">
        <v>18</v>
      </c>
      <c r="F29" s="217" t="n">
        <v>3475.0</v>
      </c>
      <c r="G29" s="11">
        <f si="1" t="shared"/>
        <v>1.0789066618273576E-2</v>
      </c>
    </row>
    <row r="30" spans="1:7" x14ac:dyDescent="0.25">
      <c r="A30">
        <v>19</v>
      </c>
      <c r="B30" s="8" t="n">
        <v>3916.418683</v>
      </c>
      <c r="C30" s="11">
        <f si="0" t="shared"/>
        <v>4.8822482333136978E-3</v>
      </c>
      <c r="E30" s="128">
        <v>19</v>
      </c>
      <c r="F30" s="218" t="n">
        <v>3161.0</v>
      </c>
      <c r="G30" s="11">
        <f si="1" t="shared"/>
        <v>1.0642159023150908E-2</v>
      </c>
    </row>
    <row r="31" spans="1:7" x14ac:dyDescent="0.25">
      <c r="A31">
        <v>20</v>
      </c>
      <c r="B31" s="8" t="n">
        <v>3506.079846</v>
      </c>
      <c r="C31" s="11">
        <f si="0" t="shared"/>
        <v>1.0016253236759236E-2</v>
      </c>
      <c r="E31" s="129">
        <v>20</v>
      </c>
      <c r="F31" s="219" t="n">
        <v>2851.0</v>
      </c>
      <c r="G31" s="11">
        <f si="1" t="shared"/>
        <v>9.6742972199898025E-3</v>
      </c>
    </row>
    <row r="32" spans="1:7" x14ac:dyDescent="0.25">
      <c r="A32">
        <v>21</v>
      </c>
      <c r="B32" s="8" t="n">
        <v>1115.8250269999999</v>
      </c>
      <c r="C32" s="11">
        <f si="0" t="shared"/>
        <v>7.3076628578456647E-3</v>
      </c>
      <c r="E32" s="130">
        <v>21</v>
      </c>
      <c r="F32" s="220" t="n">
        <v>2844.0</v>
      </c>
      <c r="G32" s="11">
        <f si="1" t="shared"/>
        <v>9.2033287532730153E-3</v>
      </c>
    </row>
    <row r="33" spans="1:7" x14ac:dyDescent="0.25">
      <c r="A33">
        <v>22</v>
      </c>
      <c r="B33" s="8" t="n">
        <v>2684.453959</v>
      </c>
      <c r="C33" s="11">
        <f si="0" t="shared"/>
        <v>1.0492121627697805E-2</v>
      </c>
      <c r="E33" s="131">
        <v>22</v>
      </c>
      <c r="F33" s="221" t="n">
        <v>2774.0</v>
      </c>
      <c r="G33" s="11">
        <f si="1" t="shared"/>
        <v>9.0953084627416417E-3</v>
      </c>
    </row>
    <row r="34" spans="1:7" x14ac:dyDescent="0.25">
      <c r="A34">
        <v>23</v>
      </c>
      <c r="B34" s="8" t="n">
        <v>2022.470787</v>
      </c>
      <c r="C34" s="11">
        <f si="0" t="shared"/>
        <v>6.9842058443459073E-4</v>
      </c>
      <c r="E34" s="132">
        <v>23</v>
      </c>
      <c r="F34" s="222" t="n">
        <v>2646.0</v>
      </c>
      <c r="G34" s="11">
        <f si="1" t="shared"/>
        <v>7.656478192863748E-3</v>
      </c>
    </row>
    <row r="35" spans="1:7" x14ac:dyDescent="0.25">
      <c r="A35">
        <v>24</v>
      </c>
      <c r="B35" s="8" t="n">
        <v>2221.055175</v>
      </c>
      <c r="C35" s="11">
        <f si="0" t="shared"/>
        <v>1.1035112771879926E-2</v>
      </c>
      <c r="E35" s="133">
        <v>24</v>
      </c>
      <c r="F35" s="223" t="n">
        <v>2521.0</v>
      </c>
      <c r="G35" s="11">
        <f si="1" t="shared"/>
        <v>6.8268823615827996E-3</v>
      </c>
    </row>
    <row r="36" spans="1:7" x14ac:dyDescent="0.25">
      <c r="A36">
        <v>25</v>
      </c>
      <c r="B36" s="8" t="n">
        <v>1635.692494</v>
      </c>
      <c r="C36" s="11">
        <f si="0" t="shared"/>
        <v>8.4780782749697883E-3</v>
      </c>
      <c r="E36" s="134">
        <v>25</v>
      </c>
      <c r="F36" s="224" t="n">
        <v>2439.0</v>
      </c>
      <c r="G36" s="11">
        <f si="1" t="shared"/>
        <v>6.157156560288285E-3</v>
      </c>
    </row>
    <row r="37" spans="1:7" x14ac:dyDescent="0.25">
      <c r="A37">
        <v>26</v>
      </c>
      <c r="B37" s="8" t="n">
        <v>1961.034921</v>
      </c>
      <c r="C37" s="11">
        <f si="0" t="shared"/>
        <v>1.1884035439886846E-3</v>
      </c>
      <c r="E37" s="135">
        <v>26</v>
      </c>
      <c r="F37" s="225" t="n">
        <v>2367.0</v>
      </c>
      <c r="G37" s="11">
        <f si="1" t="shared"/>
        <v>5.8244540654516543E-3</v>
      </c>
    </row>
    <row r="38" spans="1:7" x14ac:dyDescent="0.25">
      <c r="A38">
        <v>27</v>
      </c>
      <c r="B38" s="8" t="n">
        <v>1645.284595</v>
      </c>
      <c r="C38" s="11">
        <f si="0" t="shared"/>
        <v>9.7306948181645242E-4</v>
      </c>
      <c r="E38" s="136">
        <v>27</v>
      </c>
      <c r="F38" s="226" t="n">
        <v>2206.0</v>
      </c>
      <c r="G38" s="11">
        <f si="1" t="shared"/>
        <v>5.1071993363233353E-3</v>
      </c>
    </row>
    <row r="39" spans="1:7" x14ac:dyDescent="0.25">
      <c r="A39">
        <v>28</v>
      </c>
      <c r="B39" s="8" t="n">
        <v>264.640981</v>
      </c>
      <c r="C39" s="11">
        <f si="0" t="shared"/>
        <v>1.0887308571221407E-4</v>
      </c>
      <c r="E39" s="137">
        <v>28</v>
      </c>
      <c r="F39" s="227" t="n">
        <v>2145.0</v>
      </c>
      <c r="G39" s="11">
        <f si="1" t="shared"/>
        <v>4.575739506908978E-3</v>
      </c>
    </row>
    <row r="40" spans="1:7" x14ac:dyDescent="0.25">
      <c r="A40">
        <v>29</v>
      </c>
      <c r="B40" s="8" t="n">
        <v>499.424523</v>
      </c>
      <c r="C40" s="11">
        <f si="0" t="shared"/>
        <v>0</v>
      </c>
      <c r="E40" s="138">
        <v>29</v>
      </c>
      <c r="F40" s="228" t="n">
        <v>2020.0</v>
      </c>
      <c r="G40" s="11">
        <f si="1" t="shared"/>
        <v>4.2084705191023078E-3</v>
      </c>
    </row>
    <row r="41" spans="1:7" x14ac:dyDescent="0.25">
      <c r="A41">
        <v>30</v>
      </c>
      <c r="B41" s="8" t="n">
        <v>524.1172819999999</v>
      </c>
      <c r="C41" s="11">
        <f si="0" t="shared"/>
        <v>7.5294361538143337E-4</v>
      </c>
      <c r="E41" s="139">
        <v>30</v>
      </c>
      <c r="F41" s="229" t="n">
        <v>2001.0</v>
      </c>
      <c r="G41" s="11">
        <f si="1" t="shared"/>
        <v>3.9405801985845021E-3</v>
      </c>
    </row>
    <row r="42" spans="1:7" x14ac:dyDescent="0.25">
      <c r="A42">
        <v>31</v>
      </c>
      <c r="B42" s="8" t="n">
        <v>2275.572807</v>
      </c>
      <c r="C42" s="11">
        <f si="0" t="shared"/>
        <v>2.3242756778088056E-4</v>
      </c>
      <c r="E42" s="140">
        <v>31</v>
      </c>
      <c r="F42" s="230" t="n">
        <v>1799.0</v>
      </c>
      <c r="G42" s="11">
        <f si="1" t="shared"/>
        <v>3.4047995575488899E-3</v>
      </c>
    </row>
    <row r="43" spans="1:7" x14ac:dyDescent="0.25">
      <c r="A43">
        <v>32</v>
      </c>
      <c r="B43" s="8" t="n">
        <v>435.592789</v>
      </c>
      <c r="C43" s="11">
        <f si="0" t="shared"/>
        <v>0</v>
      </c>
      <c r="E43" s="141">
        <v>32</v>
      </c>
      <c r="F43" s="231" t="n">
        <v>1835.0</v>
      </c>
      <c r="G43" s="11">
        <f si="1" t="shared"/>
        <v>3.0159265116359458E-3</v>
      </c>
    </row>
    <row r="44" spans="1:7" x14ac:dyDescent="0.25">
      <c r="A44">
        <v>33</v>
      </c>
      <c r="B44" s="8" t="n">
        <v>569.147447</v>
      </c>
      <c r="C44" s="11">
        <f si="0" t="shared"/>
        <v>4.744628198632754E-4</v>
      </c>
      <c r="E44" s="142">
        <v>33</v>
      </c>
      <c r="F44" s="232" t="n">
        <v>1762.0</v>
      </c>
      <c r="G44" s="11">
        <f si="1" t="shared"/>
        <v>2.9554351489383766E-3</v>
      </c>
    </row>
    <row r="45" spans="1:7" x14ac:dyDescent="0.25">
      <c r="A45">
        <v>34</v>
      </c>
      <c r="B45" s="8" t="n">
        <v>357.00707</v>
      </c>
      <c r="C45" s="11">
        <f si="0" t="shared"/>
        <v>4.9055342228617003E-4</v>
      </c>
      <c r="E45" s="143">
        <v>34</v>
      </c>
      <c r="F45" s="233" t="n">
        <v>1563.0</v>
      </c>
      <c r="G45" s="11">
        <f si="1" t="shared"/>
        <v>2.4887874938428435E-3</v>
      </c>
    </row>
    <row r="46" spans="1:7" x14ac:dyDescent="0.25">
      <c r="A46">
        <v>35</v>
      </c>
      <c r="B46" s="8" t="n">
        <v>33.485045</v>
      </c>
      <c r="C46" s="11">
        <f si="0" t="shared"/>
        <v>1.020790885920169E-3</v>
      </c>
      <c r="E46" s="144">
        <v>35</v>
      </c>
      <c r="F46" s="234" t="n">
        <v>1562.0</v>
      </c>
      <c r="G46" s="11">
        <f si="1" t="shared"/>
        <v>2.04806470847484E-3</v>
      </c>
    </row>
    <row r="47" spans="1:7" x14ac:dyDescent="0.25">
      <c r="A47">
        <v>36</v>
      </c>
      <c r="B47" s="8" t="n">
        <v>203.601224</v>
      </c>
      <c r="C47" s="11">
        <f si="0" t="shared"/>
        <v>0</v>
      </c>
      <c r="E47" s="145">
        <v>36</v>
      </c>
      <c r="F47" s="235" t="n">
        <v>1390.0</v>
      </c>
      <c r="G47" s="11">
        <f si="1" t="shared"/>
        <v>1.8147408809270733E-3</v>
      </c>
    </row>
    <row r="48" spans="1:7" x14ac:dyDescent="0.25">
      <c r="A48">
        <v>37</v>
      </c>
      <c r="B48" s="8" t="n">
        <v>106.309523</v>
      </c>
      <c r="C48" s="11">
        <f si="0" t="shared"/>
        <v>0</v>
      </c>
      <c r="E48" s="146">
        <v>37</v>
      </c>
      <c r="F48" s="236" t="n">
        <v>1310.0</v>
      </c>
      <c r="G48" s="11">
        <f si="1" t="shared"/>
        <v>1.69807896715319E-3</v>
      </c>
    </row>
    <row r="49" spans="1:7" x14ac:dyDescent="0.25">
      <c r="A49">
        <v>38</v>
      </c>
      <c r="B49" s="8" t="n">
        <v>120.025946</v>
      </c>
      <c r="C49" s="11">
        <f si="0" t="shared"/>
        <v>0</v>
      </c>
      <c r="E49" s="147">
        <v>38</v>
      </c>
      <c r="F49" s="237" t="n">
        <v>1219.0</v>
      </c>
      <c r="G49" s="11">
        <f si="1" t="shared"/>
        <v>1.3956221536653446E-3</v>
      </c>
    </row>
    <row r="50" spans="1:7" x14ac:dyDescent="0.25">
      <c r="A50">
        <v>39</v>
      </c>
      <c r="B50" s="8" t="n">
        <v>30.573918</v>
      </c>
      <c r="C50" s="11">
        <f si="0" t="shared"/>
        <v>0</v>
      </c>
      <c r="E50" s="148">
        <v>39</v>
      </c>
      <c r="F50" s="238" t="n">
        <v>1135.0</v>
      </c>
      <c r="G50" s="11">
        <f si="1" t="shared"/>
        <v>1.3221683561040105E-3</v>
      </c>
    </row>
    <row r="51" spans="1:7" x14ac:dyDescent="0.25">
      <c r="A51">
        <v>40</v>
      </c>
      <c r="B51" s="8" t="n">
        <v>224.054687</v>
      </c>
      <c r="C51" s="11">
        <f si="0" t="shared"/>
        <v>1.7095171422538788E-3</v>
      </c>
      <c r="E51" s="149">
        <v>40</v>
      </c>
      <c r="F51" s="239" t="n">
        <v>1038.0</v>
      </c>
      <c r="G51" s="11">
        <f si="1" t="shared"/>
        <v>1.0672404704499692E-3</v>
      </c>
    </row>
    <row r="52" spans="1:7" x14ac:dyDescent="0.25">
      <c r="A52">
        <v>41</v>
      </c>
      <c r="B52" s="8" t="n">
        <v>856.363831</v>
      </c>
      <c r="C52" s="11">
        <f si="0" t="shared"/>
        <v>1.5204845283506828E-3</v>
      </c>
      <c r="E52" s="150">
        <v>41</v>
      </c>
      <c r="F52" s="240" t="n">
        <v>990.0</v>
      </c>
      <c r="G52" s="11">
        <f si="1" t="shared"/>
        <v>9.7218261478236069E-4</v>
      </c>
    </row>
    <row r="53" spans="1:7" x14ac:dyDescent="0.25">
      <c r="A53">
        <v>42</v>
      </c>
      <c r="B53" s="8" t="n">
        <v>330.459504</v>
      </c>
      <c r="C53" s="11">
        <f si="0" t="shared"/>
        <v>0</v>
      </c>
      <c r="E53" s="151">
        <v>42</v>
      </c>
      <c r="F53" s="241" t="n">
        <v>961.0</v>
      </c>
      <c r="G53" s="11">
        <f si="1" t="shared"/>
        <v>8.0799177317467314E-4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899.0</v>
      </c>
      <c r="G54" s="11">
        <f si="1" t="shared"/>
        <v>7.9935014993216325E-4</v>
      </c>
    </row>
    <row r="55" spans="1:7" x14ac:dyDescent="0.25">
      <c r="A55">
        <v>44</v>
      </c>
      <c r="B55" s="8" t="n">
        <v>149.001511</v>
      </c>
      <c r="C55" s="11">
        <f si="0" t="shared"/>
        <v>2.3941195038136918E-3</v>
      </c>
      <c r="E55" s="153">
        <v>44</v>
      </c>
      <c r="F55" s="243" t="n">
        <v>815.0</v>
      </c>
      <c r="G55" s="11">
        <f si="1" t="shared"/>
        <v>7.3021716399208425E-4</v>
      </c>
    </row>
    <row r="56" spans="1:7" x14ac:dyDescent="0.25">
      <c r="A56">
        <v>45</v>
      </c>
      <c r="B56" s="8" t="n">
        <v>21.917044</v>
      </c>
      <c r="C56" s="11">
        <f si="0" t="shared"/>
        <v>0</v>
      </c>
      <c r="E56" s="154">
        <v>45</v>
      </c>
      <c r="F56" s="244" t="n">
        <v>756.0</v>
      </c>
      <c r="G56" s="11">
        <f si="1" t="shared"/>
        <v>5.4442226427812198E-4</v>
      </c>
    </row>
    <row r="57" spans="1:7" x14ac:dyDescent="0.25">
      <c r="A57">
        <v>46</v>
      </c>
      <c r="B57" s="8" t="n">
        <v>66.206165</v>
      </c>
      <c r="C57" s="11">
        <f si="0" t="shared"/>
        <v>9.9391197876917887E-4</v>
      </c>
      <c r="E57" s="155">
        <v>46</v>
      </c>
      <c r="F57" s="245" t="n">
        <v>700.0</v>
      </c>
      <c r="G57" s="11">
        <f si="1" t="shared"/>
        <v>5.5738469914188681E-4</v>
      </c>
    </row>
    <row r="58" spans="1:7" x14ac:dyDescent="0.25">
      <c r="A58">
        <v>47</v>
      </c>
      <c r="B58" s="8" t="n">
        <v>74.049043</v>
      </c>
      <c r="C58" s="11">
        <f si="0" t="shared"/>
        <v>1.7055229205541908E-4</v>
      </c>
      <c r="E58" s="156">
        <v>47</v>
      </c>
      <c r="F58" s="246" t="n">
        <v>697.0</v>
      </c>
      <c r="G58" s="11">
        <f si="1" t="shared"/>
        <v>4.4504359698925848E-4</v>
      </c>
    </row>
    <row r="59" spans="1:7" x14ac:dyDescent="0.25">
      <c r="A59">
        <v>48</v>
      </c>
      <c r="B59" s="8" t="n">
        <v>104.968046</v>
      </c>
      <c r="C59" s="11">
        <f si="0" t="shared"/>
        <v>0</v>
      </c>
      <c r="E59" s="157">
        <v>48</v>
      </c>
      <c r="F59" s="247" t="n">
        <v>563.0</v>
      </c>
      <c r="G59" s="11">
        <f si="1" t="shared"/>
        <v>4.8393090158055287E-4</v>
      </c>
    </row>
    <row r="60" spans="1:7" x14ac:dyDescent="0.25">
      <c r="A60">
        <v>49</v>
      </c>
      <c r="B60" s="8" t="n">
        <v>38.513922</v>
      </c>
      <c r="C60" s="11">
        <f si="0" t="shared"/>
        <v>0</v>
      </c>
      <c r="E60" s="158">
        <v>49</v>
      </c>
      <c r="F60" s="248" t="n">
        <v>525.0</v>
      </c>
      <c r="G60" s="11">
        <f si="1" t="shared"/>
        <v>4.1479791564047393E-4</v>
      </c>
    </row>
    <row r="61" spans="1:7" x14ac:dyDescent="0.25">
      <c r="A61">
        <v>50</v>
      </c>
      <c r="B61" s="8" t="n">
        <v>139.291027</v>
      </c>
      <c r="C61" s="11">
        <f si="0" t="shared"/>
        <v>0</v>
      </c>
      <c r="E61" s="159">
        <v>50</v>
      </c>
      <c r="F61" s="249" t="n">
        <v>488.0</v>
      </c>
      <c r="G61" s="11">
        <f si="1" t="shared"/>
        <v>3.2838168321537516E-4</v>
      </c>
    </row>
    <row r="62" spans="1:7" x14ac:dyDescent="0.25">
      <c r="A62">
        <v>51</v>
      </c>
      <c r="B62" s="8" t="n">
        <v>126.111321</v>
      </c>
      <c r="C62" s="11">
        <f si="0" t="shared"/>
        <v>0</v>
      </c>
      <c r="E62" s="160">
        <v>51</v>
      </c>
      <c r="F62" s="250" t="n">
        <v>454.0</v>
      </c>
      <c r="G62" s="11">
        <f si="1" t="shared"/>
        <v>2.8085275538157088E-4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408.0</v>
      </c>
      <c r="G63" s="11">
        <f si="1" t="shared"/>
        <v>2.6789032051780605E-4</v>
      </c>
    </row>
    <row r="64" spans="1:7" x14ac:dyDescent="0.25">
      <c r="A64">
        <v>53</v>
      </c>
      <c r="B64" s="8" t="n">
        <v>96.541248</v>
      </c>
      <c r="C64" s="11">
        <f si="0" t="shared"/>
        <v>1.6500067799575706E-4</v>
      </c>
      <c r="E64" s="162">
        <v>53</v>
      </c>
      <c r="F64" s="252" t="n">
        <v>354.0</v>
      </c>
      <c r="G64" s="11">
        <f si="1" t="shared"/>
        <v>1.9875733457772708E-4</v>
      </c>
    </row>
    <row r="65" spans="1:7" x14ac:dyDescent="0.25">
      <c r="A65">
        <v>54</v>
      </c>
      <c r="B65" s="8" t="n">
        <v>258.770447</v>
      </c>
      <c r="C65" s="11">
        <f si="0" t="shared"/>
        <v>0</v>
      </c>
      <c r="E65" s="163">
        <v>54</v>
      </c>
      <c r="F65" s="253" t="n">
        <v>339.0</v>
      </c>
      <c r="G65" s="11">
        <f si="1" t="shared"/>
        <v>2.6789032051780605E-4</v>
      </c>
    </row>
    <row r="66" spans="1:7" x14ac:dyDescent="0.25">
      <c r="A66">
        <v>55</v>
      </c>
      <c r="B66" s="8" t="n">
        <v>98.008544</v>
      </c>
      <c r="C66" s="11">
        <f si="0" t="shared"/>
        <v>0</v>
      </c>
      <c r="E66" s="164">
        <v>55</v>
      </c>
      <c r="F66" s="254" t="n">
        <v>296.0</v>
      </c>
      <c r="G66" s="11">
        <f si="1" t="shared"/>
        <v>2.0739895782023697E-4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293.0</v>
      </c>
      <c r="G67" s="11">
        <f si="1" t="shared"/>
        <v>2.1604058106274683E-4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257.0</v>
      </c>
      <c r="G68" s="11">
        <f si="1" t="shared"/>
        <v>1.9443652295647213E-4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263.0</v>
      </c>
      <c r="G69" s="11">
        <f si="1" t="shared"/>
        <v>1.3394516025890302E-4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214.0</v>
      </c>
      <c r="G70" s="11">
        <f si="1" t="shared"/>
        <v>1.2962434863764811E-4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202.0</v>
      </c>
      <c r="G71" s="11">
        <f si="1" t="shared"/>
        <v>1.5122840674392277E-4</v>
      </c>
    </row>
    <row r="72" spans="1:7" x14ac:dyDescent="0.25">
      <c r="A72">
        <v>61</v>
      </c>
      <c r="B72" s="8" t="n">
        <v>77.297641</v>
      </c>
      <c r="C72" s="11">
        <f si="0" t="shared"/>
        <v>0</v>
      </c>
      <c r="E72" s="170">
        <v>61</v>
      </c>
      <c r="F72" s="260" t="n">
        <v>188.0</v>
      </c>
      <c r="G72" s="11">
        <f si="1" t="shared"/>
        <v>1.0802029053137341E-4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169.0</v>
      </c>
      <c r="G73" s="11">
        <f si="1" t="shared"/>
        <v>1.2098272539513822E-4</v>
      </c>
    </row>
    <row r="74" spans="1:7" x14ac:dyDescent="0.25">
      <c r="A74">
        <v>63</v>
      </c>
      <c r="B74" s="8" t="n">
        <v>120.905139</v>
      </c>
      <c r="C74" s="11">
        <f si="0" t="shared"/>
        <v>0</v>
      </c>
      <c r="E74" s="172">
        <v>63</v>
      </c>
      <c r="F74" s="262" t="n">
        <v>142.0</v>
      </c>
      <c r="G74" s="11">
        <f si="1" t="shared"/>
        <v>6.9132985940078984E-5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138.0</v>
      </c>
      <c r="G75" s="11">
        <f si="1" t="shared"/>
        <v>9.5057855667608608E-5</v>
      </c>
    </row>
    <row r="76" spans="1:7" x14ac:dyDescent="0.25">
      <c r="A76">
        <v>65</v>
      </c>
      <c r="B76" s="8" t="n">
        <v>503.959574</v>
      </c>
      <c r="C76" s="11">
        <f si="0" t="shared"/>
        <v>0</v>
      </c>
      <c r="E76" s="174">
        <v>65</v>
      </c>
      <c r="F76" s="264" t="n">
        <v>150.0</v>
      </c>
      <c r="G76" s="11">
        <f si="1" t="shared"/>
        <v>9.5057855667608608E-5</v>
      </c>
    </row>
    <row r="77" spans="1:7" x14ac:dyDescent="0.25">
      <c r="A77">
        <v>66</v>
      </c>
      <c r="B77" s="8" t="n">
        <v>38.578848</v>
      </c>
      <c r="C77" s="11">
        <f ref="C77:C102" si="2" t="shared">B77/B$102</f>
        <v>0</v>
      </c>
      <c r="E77" s="175">
        <v>66</v>
      </c>
      <c r="F77" s="265" t="n">
        <v>109.0</v>
      </c>
      <c r="G77" s="11">
        <f ref="G77:G102" si="3" t="shared">F77/F$102</f>
        <v>9.0737044046353664E-5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115.0</v>
      </c>
      <c r="G78" s="11">
        <f si="3" t="shared"/>
        <v>9.5057855667608608E-5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107.0</v>
      </c>
      <c r="G79" s="11">
        <f si="3" t="shared"/>
        <v>6.0491362697569109E-5</v>
      </c>
    </row>
    <row r="80" spans="1:7" x14ac:dyDescent="0.25">
      <c r="A80">
        <v>69</v>
      </c>
      <c r="B80" s="8" t="n">
        <v>40.752751</v>
      </c>
      <c r="C80" s="11">
        <f si="2" t="shared"/>
        <v>0</v>
      </c>
      <c r="E80" s="178">
        <v>69</v>
      </c>
      <c r="F80" s="268" t="n">
        <v>68.0</v>
      </c>
      <c r="G80" s="11">
        <f si="3" t="shared"/>
        <v>7.7774609182588859E-5</v>
      </c>
    </row>
    <row r="81" spans="1:7" x14ac:dyDescent="0.25">
      <c r="A81">
        <v>70</v>
      </c>
      <c r="B81" s="8" t="n">
        <v>160.895459</v>
      </c>
      <c r="C81" s="11">
        <f si="2" t="shared"/>
        <v>0</v>
      </c>
      <c r="E81" s="179">
        <v>70</v>
      </c>
      <c r="F81" s="269" t="n">
        <v>86.0</v>
      </c>
      <c r="G81" s="11">
        <f si="3" t="shared"/>
        <v>6.4812174318824053E-5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71.0</v>
      </c>
      <c r="G82" s="11">
        <f si="3" t="shared"/>
        <v>7.7774609182588859E-5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62.0</v>
      </c>
      <c r="G83" s="11">
        <f si="3" t="shared"/>
        <v>5.6170551076314172E-5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43.0</v>
      </c>
      <c r="G84" s="11">
        <f si="3" t="shared"/>
        <v>4.7528927833804304E-5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82.0</v>
      </c>
      <c r="G85" s="11">
        <f si="3" t="shared"/>
        <v>3.4566492970039492E-5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67.0</v>
      </c>
      <c r="G86" s="11">
        <f si="3" t="shared"/>
        <v>4.3208116212549367E-5</v>
      </c>
    </row>
    <row r="87" spans="1:7" x14ac:dyDescent="0.25">
      <c r="A87">
        <v>76</v>
      </c>
      <c r="B87" s="8" t="n">
        <v>55.577715</v>
      </c>
      <c r="C87" s="11">
        <f si="2" t="shared"/>
        <v>2.4308316311645911E-3</v>
      </c>
      <c r="E87" s="185">
        <v>76</v>
      </c>
      <c r="F87" s="275" t="n">
        <v>37.0</v>
      </c>
      <c r="G87" s="11">
        <f si="3" t="shared"/>
        <v>4.3208116212549367E-5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25.0</v>
      </c>
      <c r="G88" s="11">
        <f si="3" t="shared"/>
        <v>2.5924869727529621E-5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17.0</v>
      </c>
      <c r="G89" s="11">
        <f si="3" t="shared"/>
        <v>4.3208116212549367E-5</v>
      </c>
    </row>
    <row r="90" spans="1:7" x14ac:dyDescent="0.25">
      <c r="A90">
        <v>79</v>
      </c>
      <c r="B90" s="8" t="n">
        <v>44.546927</v>
      </c>
      <c r="C90" s="11">
        <f si="2" t="shared"/>
        <v>0</v>
      </c>
      <c r="E90" s="188">
        <v>79</v>
      </c>
      <c r="F90" s="278" t="n">
        <v>19.0</v>
      </c>
      <c r="G90" s="11">
        <f si="3" t="shared"/>
        <v>2.1604058106274683E-5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25.0</v>
      </c>
      <c r="G91" s="11">
        <f si="3" t="shared"/>
        <v>4.3208116212549365E-6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16.0</v>
      </c>
      <c r="G92" s="11">
        <f si="3" t="shared"/>
        <v>3.4566492970039492E-5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15.0</v>
      </c>
      <c r="G93" s="11">
        <f si="3" t="shared"/>
        <v>2.1604058106274683E-5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17.0</v>
      </c>
      <c r="G94" s="11">
        <f si="3" t="shared"/>
        <v>8.641623242509873E-6</v>
      </c>
    </row>
    <row r="95" spans="1:7" x14ac:dyDescent="0.25">
      <c r="A95">
        <v>84</v>
      </c>
      <c r="B95" s="8" t="n">
        <v>20.848398</v>
      </c>
      <c r="C95" s="11">
        <f si="2" t="shared"/>
        <v>0</v>
      </c>
      <c r="E95" s="193">
        <v>84</v>
      </c>
      <c r="F95" s="283" t="n">
        <v>15.0</v>
      </c>
      <c r="G95" s="11">
        <f si="3" t="shared"/>
        <v>3.4566492970039492E-5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17.0</v>
      </c>
      <c r="G96" s="11">
        <f si="3" t="shared"/>
        <v>1.7283246485019746E-5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15.0</v>
      </c>
      <c r="G97" s="11">
        <f si="3" t="shared"/>
        <v>8.641623242509873E-6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17.0</v>
      </c>
      <c r="G98" s="11">
        <f si="3" t="shared"/>
        <v>4.3208116212549365E-6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28.0</v>
      </c>
      <c r="G99" s="11">
        <f si="3" t="shared"/>
        <v>1.296243486376481E-5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16.0</v>
      </c>
      <c r="G100" s="11">
        <f si="3" t="shared"/>
        <v>8.641623242509873E-6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2188.0</v>
      </c>
      <c r="G101" s="11">
        <f si="3" t="shared"/>
        <v>9.0737044046353664E-5</v>
      </c>
    </row>
    <row r="102" spans="1:7" x14ac:dyDescent="0.25">
      <c r="B102" s="8">
        <f>SUM(B11:B101)</f>
        <v>186245.29531200003</v>
      </c>
      <c r="C102" s="11">
        <f si="2" t="shared"/>
        <v>1</v>
      </c>
      <c r="F102" s="8">
        <f>SUM(F11:F101)</f>
        <v>231438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0" workbookViewId="0">
      <selection activeCell="AC41" sqref="AC41:AD4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3">
        <v>1</v>
      </c>
      <c r="B7" s="12" t="n">
        <v>66991.375991</v>
      </c>
      <c r="C7" s="12" t="n">
        <v>0.0</v>
      </c>
      <c r="D7" s="12" t="n">
        <v>0.0</v>
      </c>
      <c r="E7" s="12" t="n">
        <v>137.29399899999999</v>
      </c>
      <c r="F7" s="12" t="n">
        <v>532.872316</v>
      </c>
      <c r="G7" s="12" t="n">
        <v>2128.5478869999997</v>
      </c>
      <c r="H7" s="12" t="n">
        <v>0.0</v>
      </c>
      <c r="I7" s="12"/>
      <c r="J7" s="12">
        <f ref="J7:J14" si="0" t="shared">SUM(B7:I7)</f>
        <v>26882</v>
      </c>
      <c r="K7" s="12"/>
      <c r="L7">
        <f>$A$7</f>
        <v>1</v>
      </c>
      <c r="M7" s="337" t="n">
        <v>70220.0</v>
      </c>
      <c r="N7" s="337" t="n">
        <v>20.0</v>
      </c>
      <c r="O7" s="337" t="n">
        <v>44.0</v>
      </c>
      <c r="P7" s="337" t="n">
        <v>2696.0</v>
      </c>
      <c r="Q7" s="337" t="n">
        <v>498.0</v>
      </c>
      <c r="R7" s="337" t="n">
        <v>3654.0</v>
      </c>
      <c r="S7" s="337" t="n">
        <v>1426.0</v>
      </c>
      <c r="T7" s="337"/>
      <c r="U7" s="335">
        <f ref="U7:U14" si="1" t="shared">SUM(M7:T7)</f>
        <v>22097</v>
      </c>
    </row>
    <row r="8" spans="1:21" x14ac:dyDescent="0.25">
      <c r="A8">
        <v>2</v>
      </c>
      <c r="B8" s="12" t="n">
        <v>65.395325</v>
      </c>
      <c r="C8" s="12" t="n">
        <v>9567.499607</v>
      </c>
      <c r="D8" s="12" t="n">
        <v>0.0</v>
      </c>
      <c r="E8" s="12" t="n">
        <v>503.959574</v>
      </c>
      <c r="F8" s="12" t="n">
        <v>0.0</v>
      </c>
      <c r="G8" s="12" t="n">
        <v>1165.660445</v>
      </c>
      <c r="H8" s="12" t="n">
        <v>0.0</v>
      </c>
      <c r="I8" s="12"/>
      <c r="J8" s="12">
        <f si="0" t="shared"/>
        <v>28750</v>
      </c>
      <c r="K8" s="12"/>
      <c r="L8">
        <f>$A$8</f>
        <v>2</v>
      </c>
      <c r="M8" s="337" t="n">
        <v>1739.0</v>
      </c>
      <c r="N8" s="337" t="n">
        <v>4890.0</v>
      </c>
      <c r="O8" s="337" t="n">
        <v>3.0</v>
      </c>
      <c r="P8" s="337" t="n">
        <v>712.0</v>
      </c>
      <c r="Q8" s="337" t="n">
        <v>17.0</v>
      </c>
      <c r="R8" s="337" t="n">
        <v>3170.0</v>
      </c>
      <c r="S8" s="337" t="n">
        <v>45.0</v>
      </c>
      <c r="T8" s="337"/>
      <c r="U8" s="335">
        <f si="1" t="shared"/>
        <v>28363</v>
      </c>
    </row>
    <row r="9" spans="1:21" x14ac:dyDescent="0.25">
      <c r="A9">
        <v>3</v>
      </c>
      <c r="B9" s="12" t="n">
        <v>547.934332</v>
      </c>
      <c r="C9" s="12" t="n">
        <v>0.0</v>
      </c>
      <c r="D9" s="12" t="n">
        <v>6643.477522</v>
      </c>
      <c r="E9" s="12" t="n">
        <v>0.0</v>
      </c>
      <c r="F9" s="12" t="n">
        <v>557.905544</v>
      </c>
      <c r="G9" s="12" t="n">
        <v>160.895459</v>
      </c>
      <c r="H9" s="12" t="n">
        <v>0.0</v>
      </c>
      <c r="I9" s="12"/>
      <c r="J9" s="12">
        <f si="0" t="shared"/>
        <v>18450</v>
      </c>
      <c r="K9" s="13"/>
      <c r="L9">
        <f>$A$9</f>
        <v>3</v>
      </c>
      <c r="M9" s="337" t="n">
        <v>4196.0</v>
      </c>
      <c r="N9" s="337" t="n">
        <v>1.0</v>
      </c>
      <c r="O9" s="337" t="n">
        <v>2317.0</v>
      </c>
      <c r="P9" s="337" t="n">
        <v>131.0</v>
      </c>
      <c r="Q9" s="337" t="n">
        <v>405.0</v>
      </c>
      <c r="R9" s="337" t="n">
        <v>128.0</v>
      </c>
      <c r="S9" s="337" t="n">
        <v>97.0</v>
      </c>
      <c r="T9" s="337"/>
      <c r="U9" s="335">
        <f si="1" t="shared"/>
        <v>16743</v>
      </c>
    </row>
    <row r="10" spans="1:21" x14ac:dyDescent="0.25">
      <c r="A10">
        <v>4</v>
      </c>
      <c r="B10" s="12" t="n">
        <v>697.500587</v>
      </c>
      <c r="C10" s="12" t="n">
        <v>0.0</v>
      </c>
      <c r="D10" s="12" t="n">
        <v>0.0</v>
      </c>
      <c r="E10" s="12" t="n">
        <v>27985.110081</v>
      </c>
      <c r="F10" s="12" t="n">
        <v>0.0</v>
      </c>
      <c r="G10" s="12" t="n">
        <v>227.671167</v>
      </c>
      <c r="H10" s="12" t="n">
        <v>0.0</v>
      </c>
      <c r="I10" s="12"/>
      <c r="J10" s="12">
        <f si="0" t="shared"/>
        <v>8627</v>
      </c>
      <c r="K10" s="13"/>
      <c r="L10">
        <f>$A$10</f>
        <v>4</v>
      </c>
      <c r="M10" s="337" t="n">
        <v>3280.0</v>
      </c>
      <c r="N10" s="337" t="n">
        <v>15.0</v>
      </c>
      <c r="O10" s="337" t="n">
        <v>2.0</v>
      </c>
      <c r="P10" s="337" t="n">
        <v>33441.0</v>
      </c>
      <c r="Q10" s="337" t="n">
        <v>27.0</v>
      </c>
      <c r="R10" s="337" t="n">
        <v>668.0</v>
      </c>
      <c r="S10" s="337" t="n">
        <v>265.0</v>
      </c>
      <c r="T10" s="337"/>
      <c r="U10" s="335">
        <f si="1" t="shared"/>
        <v>6682</v>
      </c>
    </row>
    <row r="11" spans="1:21" x14ac:dyDescent="0.25">
      <c r="A11">
        <v>5</v>
      </c>
      <c r="B11" s="12" t="n">
        <v>984.118215</v>
      </c>
      <c r="C11" s="12" t="n">
        <v>0.0</v>
      </c>
      <c r="D11" s="12" t="n">
        <v>190.041089</v>
      </c>
      <c r="E11" s="12" t="n">
        <v>0.0</v>
      </c>
      <c r="F11" s="12" t="n">
        <v>17466.890271</v>
      </c>
      <c r="G11" s="12" t="n">
        <v>19.788944</v>
      </c>
      <c r="H11" s="12" t="n">
        <v>0.0</v>
      </c>
      <c r="I11" s="12"/>
      <c r="J11" s="12">
        <f si="0" t="shared"/>
        <v>71381</v>
      </c>
      <c r="K11" s="13"/>
      <c r="L11">
        <f>$A$11</f>
        <v>5</v>
      </c>
      <c r="M11" s="337" t="n">
        <v>9468.0</v>
      </c>
      <c r="N11" s="337" t="n">
        <v>4.0</v>
      </c>
      <c r="O11" s="337" t="n">
        <v>332.0</v>
      </c>
      <c r="P11" s="337" t="n">
        <v>453.0</v>
      </c>
      <c r="Q11" s="337" t="n">
        <v>9371.0</v>
      </c>
      <c r="R11" s="337" t="n">
        <v>261.0</v>
      </c>
      <c r="S11" s="337" t="n">
        <v>1002.0</v>
      </c>
      <c r="T11" s="337"/>
      <c r="U11" s="335">
        <f si="1" t="shared"/>
        <v>64702</v>
      </c>
    </row>
    <row r="12" spans="1:21" x14ac:dyDescent="0.25">
      <c r="A12">
        <v>6</v>
      </c>
      <c r="B12" s="12" t="n">
        <v>2987.813173</v>
      </c>
      <c r="C12" s="12" t="n">
        <v>0.0</v>
      </c>
      <c r="D12" s="12" t="n">
        <v>0.0</v>
      </c>
      <c r="E12" s="12" t="n">
        <v>0.0</v>
      </c>
      <c r="F12" s="12" t="n">
        <v>38.578848</v>
      </c>
      <c r="G12" s="12" t="n">
        <v>24071.780502999998</v>
      </c>
      <c r="H12" s="12" t="n">
        <v>0.0</v>
      </c>
      <c r="I12" s="12"/>
      <c r="J12" s="12">
        <f si="0" t="shared"/>
        <v>11432</v>
      </c>
      <c r="K12" s="13"/>
      <c r="L12">
        <f>$A$12</f>
        <v>6</v>
      </c>
      <c r="M12" s="337" t="n">
        <v>5866.0</v>
      </c>
      <c r="N12" s="337" t="n">
        <v>766.0</v>
      </c>
      <c r="O12" s="337" t="n">
        <v>3.0</v>
      </c>
      <c r="P12" s="337" t="n">
        <v>1469.0</v>
      </c>
      <c r="Q12" s="337" t="n">
        <v>37.0</v>
      </c>
      <c r="R12" s="337" t="n">
        <v>21194.0</v>
      </c>
      <c r="S12" s="337" t="n">
        <v>100.0</v>
      </c>
      <c r="T12" s="337"/>
      <c r="U12" s="335">
        <f si="1" t="shared"/>
        <v>8135</v>
      </c>
    </row>
    <row r="13" spans="1:21" x14ac:dyDescent="0.25">
      <c r="A13">
        <v>7</v>
      </c>
      <c r="B13" s="12" t="n">
        <v>2842.824457</v>
      </c>
      <c r="C13" s="12" t="n">
        <v>0.0</v>
      </c>
      <c r="D13" s="12" t="n">
        <v>0.0</v>
      </c>
      <c r="E13" s="12" t="n">
        <v>265.862491</v>
      </c>
      <c r="F13" s="12" t="n">
        <v>0.0</v>
      </c>
      <c r="G13" s="12" t="n">
        <v>0.0</v>
      </c>
      <c r="H13" s="12" t="n">
        <v>9519.592953</v>
      </c>
      <c r="I13" s="12"/>
      <c r="J13" s="12">
        <f si="0" t="shared"/>
        <v>13609</v>
      </c>
      <c r="K13" s="13"/>
      <c r="L13">
        <v>7</v>
      </c>
      <c r="M13" s="337" t="n">
        <v>4146.0</v>
      </c>
      <c r="N13" s="337" t="n">
        <v>0.0</v>
      </c>
      <c r="O13" s="337" t="n">
        <v>2.0</v>
      </c>
      <c r="P13" s="337" t="n">
        <v>1301.0</v>
      </c>
      <c r="Q13" s="337" t="n">
        <v>123.0</v>
      </c>
      <c r="R13" s="337" t="n">
        <v>214.0</v>
      </c>
      <c r="S13" s="337" t="n">
        <v>8224.0</v>
      </c>
      <c r="T13" s="337"/>
      <c r="U13" s="335">
        <f si="1" t="shared"/>
        <v>11871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</v>
      </c>
      <c r="C15" s="15">
        <f si="2" t="shared"/>
        <v>28612</v>
      </c>
      <c r="D15" s="15">
        <f si="2" t="shared"/>
        <v>18585</v>
      </c>
      <c r="E15" s="15">
        <f si="2" t="shared"/>
        <v>7179</v>
      </c>
      <c r="F15" s="15">
        <f si="2" t="shared"/>
        <v>77298</v>
      </c>
      <c r="G15" s="15">
        <f si="2" t="shared"/>
        <v>9337</v>
      </c>
      <c r="H15" s="15">
        <f si="2" t="shared"/>
        <v>10206</v>
      </c>
      <c r="I15" s="15">
        <f si="2" t="shared"/>
        <v>0</v>
      </c>
      <c r="J15" s="15">
        <f si="2" t="shared"/>
        <v>179131</v>
      </c>
      <c r="K15" s="12"/>
      <c r="L15" s="15" t="s">
        <v>4</v>
      </c>
      <c r="M15" s="336">
        <f ref="M15:U15" si="3" t="shared">SUM(M7:M14)</f>
        <v>19123</v>
      </c>
      <c r="N15" s="336">
        <f si="3" t="shared"/>
        <v>27610</v>
      </c>
      <c r="O15" s="336">
        <f si="3" t="shared"/>
        <v>15012</v>
      </c>
      <c r="P15" s="336">
        <f si="3" t="shared"/>
        <v>5381</v>
      </c>
      <c r="Q15" s="336">
        <f si="3" t="shared"/>
        <v>73518</v>
      </c>
      <c r="R15" s="336">
        <f si="3" t="shared"/>
        <v>8149</v>
      </c>
      <c r="S15" s="336">
        <f si="3" t="shared"/>
        <v>9800</v>
      </c>
      <c r="T15" s="336">
        <f si="3" t="shared"/>
        <v>0</v>
      </c>
      <c r="U15" s="336">
        <f si="3" t="shared"/>
        <v>158593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19629.356446692953</v>
      </c>
      <c r="C20" s="12">
        <f si="4" t="shared"/>
        <v>0</v>
      </c>
      <c r="D20" s="12">
        <f si="4" t="shared"/>
        <v>33.701993899263449</v>
      </c>
      <c r="E20" s="12">
        <f si="4" t="shared"/>
        <v>0</v>
      </c>
      <c r="F20" s="12">
        <f si="4" t="shared"/>
        <v>2433.9415594077823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22097</v>
      </c>
      <c r="K20" s="12"/>
      <c r="L20">
        <f>$A$7</f>
        <v>1</v>
      </c>
      <c r="M20" s="12">
        <f>M7</f>
        <v>14691</v>
      </c>
      <c r="N20" s="12">
        <f ref="N20:T20" si="6" t="shared">N7</f>
        <v>985</v>
      </c>
      <c r="O20" s="12">
        <f si="6" t="shared"/>
        <v>69</v>
      </c>
      <c r="P20" s="12">
        <f si="6" t="shared"/>
        <v>20</v>
      </c>
      <c r="Q20" s="12">
        <f si="6" t="shared"/>
        <v>5193</v>
      </c>
      <c r="R20" s="12">
        <f si="6" t="shared"/>
        <v>1030</v>
      </c>
      <c r="S20" s="12">
        <f si="6" t="shared"/>
        <v>109</v>
      </c>
      <c r="T20" s="12">
        <f si="6" t="shared"/>
        <v>0</v>
      </c>
      <c r="U20" s="12">
        <f ref="U20:U25" si="7" t="shared">U7</f>
        <v>22097</v>
      </c>
    </row>
    <row r="21" spans="1:32" x14ac:dyDescent="0.25">
      <c r="A21">
        <f>$A$8</f>
        <v>2</v>
      </c>
      <c r="B21" s="12">
        <f ref="B21:G25" si="8" t="shared">IFERROR(($U8/$J8)*B8,0)</f>
        <v>149.95394782608696</v>
      </c>
      <c r="C21" s="12">
        <f si="8" t="shared"/>
        <v>27177.17996521739</v>
      </c>
      <c r="D21" s="12">
        <f si="8" t="shared"/>
        <v>0</v>
      </c>
      <c r="E21" s="12">
        <f si="8" t="shared"/>
        <v>0</v>
      </c>
      <c r="F21" s="12">
        <f si="8" t="shared"/>
        <v>1035.8660869565217</v>
      </c>
      <c r="G21" s="12">
        <f si="8" t="shared"/>
        <v>0</v>
      </c>
      <c r="H21" s="12">
        <f ref="H21:H25" si="9" t="shared">IFERROR(($U8/$J8)*H8,0)</f>
        <v>0</v>
      </c>
      <c r="I21" s="12">
        <f>IFERROR(($U8/$J8)*I8,0)</f>
        <v>0</v>
      </c>
      <c r="J21" s="12">
        <f si="5" t="shared"/>
        <v>28363</v>
      </c>
      <c r="K21" s="12"/>
      <c r="L21">
        <f>$A$8</f>
        <v>2</v>
      </c>
      <c r="M21" s="12">
        <f ref="M21:T21" si="10" t="shared">M8</f>
        <v>875</v>
      </c>
      <c r="N21" s="12">
        <f si="10" t="shared"/>
        <v>23880</v>
      </c>
      <c r="O21" s="12">
        <f si="10" t="shared"/>
        <v>89</v>
      </c>
      <c r="P21" s="12">
        <f si="10" t="shared"/>
        <v>11</v>
      </c>
      <c r="Q21" s="12">
        <f si="10" t="shared"/>
        <v>2825</v>
      </c>
      <c r="R21" s="12">
        <f si="10" t="shared"/>
        <v>97</v>
      </c>
      <c r="S21" s="12">
        <f si="10" t="shared"/>
        <v>586</v>
      </c>
      <c r="T21" s="12">
        <f si="10" t="shared"/>
        <v>0</v>
      </c>
      <c r="U21" s="12">
        <f si="7" t="shared"/>
        <v>28363</v>
      </c>
    </row>
    <row r="22" spans="1:32" x14ac:dyDescent="0.25">
      <c r="A22">
        <f>$A$9</f>
        <v>3</v>
      </c>
      <c r="B22" s="12">
        <f si="8" t="shared"/>
        <v>14.519674796747967</v>
      </c>
      <c r="C22" s="12">
        <f si="8" t="shared"/>
        <v>0</v>
      </c>
      <c r="D22" s="12">
        <f si="8" t="shared"/>
        <v>15784.701463414634</v>
      </c>
      <c r="E22" s="12">
        <f si="8" t="shared"/>
        <v>167.88373983739837</v>
      </c>
      <c r="F22" s="12">
        <f si="8" t="shared"/>
        <v>775.89512195121949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16743</v>
      </c>
      <c r="K22" s="13"/>
      <c r="L22">
        <f>$A$9</f>
        <v>3</v>
      </c>
      <c r="M22" s="12">
        <f ref="M22:T22" si="11" t="shared">M9</f>
        <v>106</v>
      </c>
      <c r="N22" s="12">
        <f si="11" t="shared"/>
        <v>111</v>
      </c>
      <c r="O22" s="12">
        <f si="11" t="shared"/>
        <v>12530</v>
      </c>
      <c r="P22" s="12">
        <f si="11" t="shared"/>
        <v>813</v>
      </c>
      <c r="Q22" s="12">
        <f si="11" t="shared"/>
        <v>2885</v>
      </c>
      <c r="R22" s="12">
        <f si="11" t="shared"/>
        <v>6</v>
      </c>
      <c r="S22" s="12">
        <f si="11" t="shared"/>
        <v>292</v>
      </c>
      <c r="T22" s="12">
        <f si="11" t="shared"/>
        <v>0</v>
      </c>
      <c r="U22" s="12">
        <f si="7" t="shared"/>
        <v>16743</v>
      </c>
    </row>
    <row r="23" spans="1:32" x14ac:dyDescent="0.25">
      <c r="A23">
        <f>$A$10</f>
        <v>4</v>
      </c>
      <c r="B23" s="12">
        <f si="8" t="shared"/>
        <v>166.52718210270083</v>
      </c>
      <c r="C23" s="12">
        <f si="8" t="shared"/>
        <v>0</v>
      </c>
      <c r="D23" s="12">
        <f si="8" t="shared"/>
        <v>473.24701518488467</v>
      </c>
      <c r="E23" s="12">
        <f si="8" t="shared"/>
        <v>5417.1679610525098</v>
      </c>
      <c r="F23" s="12">
        <f si="8" t="shared"/>
        <v>625.05784165990497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6682</v>
      </c>
      <c r="K23" s="13"/>
      <c r="L23">
        <f>$A$10</f>
        <v>4</v>
      </c>
      <c r="M23" s="12">
        <f ref="M23:T23" si="12" t="shared">M10</f>
        <v>52</v>
      </c>
      <c r="N23" s="12">
        <f si="12" t="shared"/>
        <v>33</v>
      </c>
      <c r="O23" s="12">
        <f si="12" t="shared"/>
        <v>949</v>
      </c>
      <c r="P23" s="12">
        <f si="12" t="shared"/>
        <v>4264</v>
      </c>
      <c r="Q23" s="12">
        <f si="12" t="shared"/>
        <v>1352</v>
      </c>
      <c r="R23" s="12">
        <f si="12" t="shared"/>
        <v>4</v>
      </c>
      <c r="S23" s="12">
        <f si="12" t="shared"/>
        <v>28</v>
      </c>
      <c r="T23" s="12">
        <f si="12" t="shared"/>
        <v>0</v>
      </c>
      <c r="U23" s="12">
        <f si="7" t="shared"/>
        <v>6682</v>
      </c>
    </row>
    <row r="24" spans="1:32" x14ac:dyDescent="0.25">
      <c r="A24">
        <f>$A$11</f>
        <v>5</v>
      </c>
      <c r="B24" s="12">
        <f si="8" t="shared"/>
        <v>2001.4011571706758</v>
      </c>
      <c r="C24" s="12">
        <f si="8" t="shared"/>
        <v>229.3272159258066</v>
      </c>
      <c r="D24" s="12">
        <f si="8" t="shared"/>
        <v>488.56667740715318</v>
      </c>
      <c r="E24" s="12">
        <f si="8" t="shared"/>
        <v>0</v>
      </c>
      <c r="F24" s="12">
        <f si="8" t="shared"/>
        <v>61982.704949496365</v>
      </c>
      <c r="G24" s="12">
        <f si="8" t="shared"/>
        <v>0</v>
      </c>
      <c r="H24" s="12">
        <f si="9" t="shared"/>
        <v>0</v>
      </c>
      <c r="I24" s="12">
        <f>IFERROR(($U11/$J11)*I11,0)</f>
        <v>0</v>
      </c>
      <c r="J24" s="12">
        <f si="5" t="shared"/>
        <v>64702</v>
      </c>
      <c r="K24" s="13"/>
      <c r="L24">
        <f>$A$11</f>
        <v>5</v>
      </c>
      <c r="M24" s="12">
        <f ref="M24:T24" si="13" t="shared">M11</f>
        <v>2517</v>
      </c>
      <c r="N24" s="12">
        <f si="13" t="shared"/>
        <v>1703</v>
      </c>
      <c r="O24" s="12">
        <f si="13" t="shared"/>
        <v>962</v>
      </c>
      <c r="P24" s="12">
        <f si="13" t="shared"/>
        <v>244</v>
      </c>
      <c r="Q24" s="12">
        <f si="13" t="shared"/>
        <v>58071</v>
      </c>
      <c r="R24" s="12">
        <f si="13" t="shared"/>
        <v>76</v>
      </c>
      <c r="S24" s="12">
        <f si="13" t="shared"/>
        <v>1129</v>
      </c>
      <c r="T24" s="12">
        <f si="13" t="shared"/>
        <v>0</v>
      </c>
      <c r="U24" s="12">
        <f si="7" t="shared"/>
        <v>64702</v>
      </c>
    </row>
    <row r="25" spans="1:32" x14ac:dyDescent="0.25">
      <c r="A25">
        <f>$A$12</f>
        <v>6</v>
      </c>
      <c r="B25" s="12">
        <f si="8" t="shared"/>
        <v>1026.8373862841149</v>
      </c>
      <c r="C25" s="12">
        <f si="8" t="shared"/>
        <v>407.7462386284115</v>
      </c>
      <c r="D25" s="12">
        <f si="8" t="shared"/>
        <v>0</v>
      </c>
      <c r="E25" s="12">
        <f si="8" t="shared"/>
        <v>0</v>
      </c>
      <c r="F25" s="12">
        <f si="8" t="shared"/>
        <v>56.216322603219041</v>
      </c>
      <c r="G25" s="12">
        <f si="8" t="shared"/>
        <v>6644.2000524842551</v>
      </c>
      <c r="H25" s="12">
        <f si="9" t="shared"/>
        <v>0</v>
      </c>
      <c r="I25" s="12">
        <f>IFERROR(($U12/$J12)*I12,0)</f>
        <v>0</v>
      </c>
      <c r="J25" s="12">
        <f si="5" t="shared"/>
        <v>8135</v>
      </c>
      <c r="K25" s="13"/>
      <c r="L25">
        <f>$A$12</f>
        <v>6</v>
      </c>
      <c r="M25" s="12">
        <f ref="M25:U26" si="14" t="shared">M12</f>
        <v>718</v>
      </c>
      <c r="N25" s="12">
        <f si="14" t="shared"/>
        <v>123</v>
      </c>
      <c r="O25" s="12">
        <f si="14" t="shared"/>
        <v>9</v>
      </c>
      <c r="P25" s="12">
        <f si="14" t="shared"/>
        <v>6</v>
      </c>
      <c r="Q25" s="12">
        <f si="14" t="shared"/>
        <v>337</v>
      </c>
      <c r="R25" s="12">
        <f si="14" t="shared"/>
        <v>6927</v>
      </c>
      <c r="S25" s="12">
        <f si="14" t="shared"/>
        <v>15</v>
      </c>
      <c r="T25" s="12">
        <f si="14" t="shared"/>
        <v>0</v>
      </c>
      <c r="U25" s="12">
        <f si="7" t="shared"/>
        <v>8135</v>
      </c>
    </row>
    <row r="26" spans="1:32" x14ac:dyDescent="0.25">
      <c r="A26">
        <v>7</v>
      </c>
      <c r="B26" s="12">
        <f>IFERROR(($U13/$J13)*B13,0)</f>
        <v>0</v>
      </c>
      <c r="C26" s="12">
        <f ref="C26:J26" si="15" t="shared">IFERROR(($U13/$J13)*C13,0)</f>
        <v>207.6051142626203</v>
      </c>
      <c r="D26" s="12">
        <f si="15" t="shared"/>
        <v>0</v>
      </c>
      <c r="E26" s="12">
        <f si="15" t="shared"/>
        <v>0</v>
      </c>
      <c r="F26" s="12">
        <f si="15" t="shared"/>
        <v>2760.7991035344257</v>
      </c>
      <c r="G26" s="12">
        <f si="15" t="shared"/>
        <v>0</v>
      </c>
      <c r="H26" s="12">
        <f si="15" t="shared"/>
        <v>8902.5957822029541</v>
      </c>
      <c r="I26" s="12">
        <f si="15" t="shared"/>
        <v>0</v>
      </c>
      <c r="J26" s="12">
        <f si="15" t="shared"/>
        <v>11871</v>
      </c>
      <c r="K26" s="13"/>
      <c r="L26">
        <v>7</v>
      </c>
      <c r="M26" s="12">
        <f si="14" t="shared"/>
        <v>164</v>
      </c>
      <c r="N26" s="12">
        <f si="14" t="shared"/>
        <v>775</v>
      </c>
      <c r="O26" s="12">
        <f si="14" t="shared"/>
        <v>404</v>
      </c>
      <c r="P26" s="12">
        <f si="14" t="shared"/>
        <v>23</v>
      </c>
      <c r="Q26" s="12">
        <f si="14" t="shared"/>
        <v>2855</v>
      </c>
      <c r="R26" s="12">
        <f si="14" t="shared"/>
        <v>9</v>
      </c>
      <c r="S26" s="12">
        <f si="14" t="shared"/>
        <v>7641</v>
      </c>
      <c r="T26" s="12">
        <f si="14" t="shared"/>
        <v>0</v>
      </c>
      <c r="U26" s="12">
        <f si="14" t="shared"/>
        <v>11871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2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22988.595794873283</v>
      </c>
      <c r="C28" s="15">
        <f si="19" t="shared"/>
        <v>28021.858534034229</v>
      </c>
      <c r="D28" s="15">
        <f si="19" t="shared"/>
        <v>16780.217149905937</v>
      </c>
      <c r="E28" s="15">
        <f si="19" t="shared"/>
        <v>5585.0517008899078</v>
      </c>
      <c r="F28" s="15">
        <f si="19" t="shared"/>
        <v>69670.480985609436</v>
      </c>
      <c r="G28" s="15">
        <f si="19" t="shared"/>
        <v>6644.2000524842551</v>
      </c>
      <c r="H28" s="15">
        <f si="19" t="shared"/>
        <v>8902.5957822029541</v>
      </c>
      <c r="I28" s="15">
        <f si="19" t="shared"/>
        <v>0</v>
      </c>
      <c r="J28" s="15">
        <f si="19" t="shared"/>
        <v>158593</v>
      </c>
      <c r="K28" s="12"/>
      <c r="L28" s="15" t="s">
        <v>4</v>
      </c>
      <c r="M28" s="15">
        <f ref="M28:T28" si="20" t="shared">M15</f>
        <v>19123</v>
      </c>
      <c r="N28" s="15">
        <f si="20" t="shared"/>
        <v>27610</v>
      </c>
      <c r="O28" s="15">
        <f si="20" t="shared"/>
        <v>15012</v>
      </c>
      <c r="P28" s="15">
        <f si="20" t="shared"/>
        <v>5381</v>
      </c>
      <c r="Q28" s="15">
        <f si="20" t="shared"/>
        <v>73518</v>
      </c>
      <c r="R28" s="15">
        <f si="20" t="shared"/>
        <v>8149</v>
      </c>
      <c r="S28" s="15">
        <f si="20" t="shared"/>
        <v>9800</v>
      </c>
      <c r="T28" s="15">
        <f si="20" t="shared"/>
        <v>0</v>
      </c>
      <c r="U28" s="15">
        <f si="18" t="shared"/>
        <v>158593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0.12377189691028578</v>
      </c>
      <c r="C33" s="16">
        <f si="21" t="shared"/>
        <v>0</v>
      </c>
      <c r="D33" s="16">
        <f si="21" t="shared"/>
        <v>2.12506188162551E-4</v>
      </c>
      <c r="E33" s="16">
        <f si="21" t="shared"/>
        <v>0</v>
      </c>
      <c r="F33" s="16">
        <f si="21" t="shared"/>
        <v>1.5347093247544231E-2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0.13933149634599257</v>
      </c>
      <c r="K33" s="12"/>
      <c r="L33">
        <f>$A$7</f>
        <v>1</v>
      </c>
      <c r="M33" s="16">
        <f ref="M33:T33" si="23" t="shared">IFERROR(M20/$U$28,0)</f>
        <v>9.2633344472959081E-2</v>
      </c>
      <c r="N33" s="16">
        <f si="23" t="shared"/>
        <v>6.2108668100105298E-3</v>
      </c>
      <c r="O33" s="16">
        <f si="23" t="shared"/>
        <v>4.3507594912764122E-4</v>
      </c>
      <c r="P33" s="16">
        <f si="23" t="shared"/>
        <v>1.2610897076163513E-4</v>
      </c>
      <c r="Q33" s="16">
        <f si="23" t="shared"/>
        <v>3.2744194258258565E-2</v>
      </c>
      <c r="R33" s="16">
        <f si="23" t="shared"/>
        <v>6.494611994224209E-3</v>
      </c>
      <c r="S33" s="16">
        <f si="23" t="shared"/>
        <v>6.8729389065091148E-4</v>
      </c>
      <c r="T33" s="16">
        <f si="23" t="shared"/>
        <v>0</v>
      </c>
      <c r="U33" s="16">
        <f ref="U33:U38" si="24" t="shared">U20/$U$28</f>
        <v>0.13933149634599257</v>
      </c>
      <c r="W33">
        <f>$A$7</f>
        <v>1</v>
      </c>
      <c r="X33" s="16">
        <f ref="X33:AD33" si="25" t="shared">M33-B33</f>
        <v>-3.1138552437326703E-2</v>
      </c>
      <c r="Y33" s="16">
        <f si="25" t="shared"/>
        <v>6.2108668100105298E-3</v>
      </c>
      <c r="Z33" s="16">
        <f si="25" t="shared"/>
        <v>2.2256976096509022E-4</v>
      </c>
      <c r="AA33" s="16">
        <f si="25" t="shared"/>
        <v>1.2610897076163513E-4</v>
      </c>
      <c r="AB33" s="16">
        <f si="25" t="shared"/>
        <v>1.7397101010714334E-2</v>
      </c>
      <c r="AC33" s="16">
        <f si="25" t="shared"/>
        <v>6.494611994224209E-3</v>
      </c>
      <c r="AD33" s="16">
        <f si="25" t="shared"/>
        <v>6.8729389065091148E-4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9.4552690109958799E-4</v>
      </c>
      <c r="C34" s="16">
        <f si="28" t="shared"/>
        <v>0.1713643096808648</v>
      </c>
      <c r="D34" s="16">
        <f si="28" t="shared"/>
        <v>0</v>
      </c>
      <c r="E34" s="16">
        <f si="28" t="shared"/>
        <v>0</v>
      </c>
      <c r="F34" s="16">
        <f si="28" t="shared"/>
        <v>6.5316003036484695E-3</v>
      </c>
      <c r="G34" s="16">
        <f si="28" t="shared"/>
        <v>0</v>
      </c>
      <c r="H34" s="16">
        <f ref="H34:H38" si="29" t="shared">IFERROR(H21/$J$28,0)</f>
        <v>0</v>
      </c>
      <c r="I34" s="16">
        <f>IFERROR(I21/$J$28,0)</f>
        <v>0</v>
      </c>
      <c r="J34" s="16">
        <f si="22" t="shared"/>
        <v>0.17884143688561285</v>
      </c>
      <c r="K34" s="12"/>
      <c r="L34">
        <f>$A$8</f>
        <v>2</v>
      </c>
      <c r="M34" s="16">
        <f ref="M34:R38" si="30" t="shared">IFERROR(M21/$U$28,0)</f>
        <v>5.5172674708215373E-3</v>
      </c>
      <c r="N34" s="16">
        <f si="30" t="shared"/>
        <v>0.15057411108939234</v>
      </c>
      <c r="O34" s="16">
        <f si="30" t="shared"/>
        <v>5.6118491988927635E-4</v>
      </c>
      <c r="P34" s="16">
        <f si="30" t="shared"/>
        <v>6.9359933918899326E-5</v>
      </c>
      <c r="Q34" s="16">
        <f si="30" t="shared"/>
        <v>1.7812892120080963E-2</v>
      </c>
      <c r="R34" s="16">
        <f si="30" t="shared"/>
        <v>6.1162850819393043E-4</v>
      </c>
      <c r="S34" s="16">
        <f ref="S34:S38" si="31" t="shared">IFERROR(S21/$U$28,0)</f>
        <v>3.6949928433159091E-3</v>
      </c>
      <c r="T34" s="16">
        <f>IFERROR(T21/$U$28,0)</f>
        <v>0</v>
      </c>
      <c r="U34" s="16">
        <f si="24" t="shared"/>
        <v>0.17884143688561285</v>
      </c>
      <c r="W34">
        <f>$A$8</f>
        <v>2</v>
      </c>
      <c r="X34" s="16">
        <f ref="X34:X40" si="32" t="shared">M34-B34</f>
        <v>4.5717405697219497E-3</v>
      </c>
      <c r="Y34" s="16">
        <f ref="Y34:Y40" si="33" t="shared">N34-C34</f>
        <v>-2.0790198591472464E-2</v>
      </c>
      <c r="Z34" s="16">
        <f ref="Z34:Z40" si="34" t="shared">O34-D34</f>
        <v>5.6118491988927635E-4</v>
      </c>
      <c r="AA34" s="16">
        <f ref="AA34:AA40" si="35" t="shared">P34-E34</f>
        <v>6.9359933918899326E-5</v>
      </c>
      <c r="AB34" s="16">
        <f ref="AB34:AB40" si="36" t="shared">Q34-F34</f>
        <v>1.1281291816432493E-2</v>
      </c>
      <c r="AC34" s="16">
        <f ref="AC34:AD40" si="37" t="shared">R34-G34</f>
        <v>6.1162850819393043E-4</v>
      </c>
      <c r="AD34" s="16">
        <f ref="AD34:AD38" si="38" t="shared">S34-H34</f>
        <v>3.6949928433159091E-3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9.1553062220576994E-5</v>
      </c>
      <c r="C35" s="16">
        <f si="28" t="shared"/>
        <v>0</v>
      </c>
      <c r="D35" s="16">
        <f si="28" t="shared"/>
        <v>9.952962276654477E-2</v>
      </c>
      <c r="E35" s="16">
        <f si="28" t="shared"/>
        <v>1.0585822819254216E-3</v>
      </c>
      <c r="F35" s="16">
        <f si="28" t="shared"/>
        <v>4.8923667624120827E-3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0.10557212487310284</v>
      </c>
      <c r="K35" s="13"/>
      <c r="L35">
        <f>$A$9</f>
        <v>3</v>
      </c>
      <c r="M35" s="16">
        <f si="30" t="shared"/>
        <v>6.6837754503666614E-4</v>
      </c>
      <c r="N35" s="16">
        <f si="30" t="shared"/>
        <v>6.9990478772707497E-4</v>
      </c>
      <c r="O35" s="16">
        <f si="30" t="shared"/>
        <v>7.9007270182164413E-2</v>
      </c>
      <c r="P35" s="16">
        <f si="30" t="shared"/>
        <v>5.1263296614604678E-3</v>
      </c>
      <c r="Q35" s="16">
        <f si="30" t="shared"/>
        <v>1.8191219032365868E-2</v>
      </c>
      <c r="R35" s="16">
        <f si="30" t="shared"/>
        <v>3.7832691228490536E-5</v>
      </c>
      <c r="S35" s="16">
        <f si="31" t="shared"/>
        <v>1.8411909731198728E-3</v>
      </c>
      <c r="T35" s="16">
        <f>IFERROR(T22/$U$28,0)</f>
        <v>0</v>
      </c>
      <c r="U35" s="16">
        <f si="24" t="shared"/>
        <v>0.10557212487310284</v>
      </c>
      <c r="W35">
        <f>$A$9</f>
        <v>3</v>
      </c>
      <c r="X35" s="16">
        <f si="32" t="shared"/>
        <v>5.7682448281608917E-4</v>
      </c>
      <c r="Y35" s="16">
        <f si="33" t="shared"/>
        <v>6.9990478772707497E-4</v>
      </c>
      <c r="Z35" s="16">
        <f si="34" t="shared"/>
        <v>-2.0522352584380357E-2</v>
      </c>
      <c r="AA35" s="16">
        <f si="35" t="shared"/>
        <v>4.0677473795350458E-3</v>
      </c>
      <c r="AB35" s="16">
        <f si="36" t="shared"/>
        <v>1.3298852269953785E-2</v>
      </c>
      <c r="AC35" s="16">
        <f si="37" t="shared"/>
        <v>3.7832691228490536E-5</v>
      </c>
      <c r="AD35" s="16">
        <f si="38" t="shared"/>
        <v>1.8411909731198728E-3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1.0500285769403494E-3</v>
      </c>
      <c r="C36" s="16">
        <f si="28" t="shared"/>
        <v>0</v>
      </c>
      <c r="D36" s="16">
        <f si="28" t="shared"/>
        <v>2.984034700049086E-3</v>
      </c>
      <c r="E36" s="16">
        <f si="28" t="shared"/>
        <v>3.415767380056188E-2</v>
      </c>
      <c r="F36" s="16">
        <f si="28" t="shared"/>
        <v>3.9412700539109861E-3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4.2133007131462299E-2</v>
      </c>
      <c r="K36" s="13"/>
      <c r="L36">
        <f>$A$10</f>
        <v>4</v>
      </c>
      <c r="M36" s="16">
        <f si="30" t="shared"/>
        <v>3.2788332398025132E-4</v>
      </c>
      <c r="N36" s="16">
        <f si="30" t="shared"/>
        <v>2.0807980175669796E-4</v>
      </c>
      <c r="O36" s="16">
        <f si="30" t="shared"/>
        <v>5.9838706626395869E-3</v>
      </c>
      <c r="P36" s="16">
        <f si="30" t="shared"/>
        <v>2.6886432566380611E-2</v>
      </c>
      <c r="Q36" s="16">
        <f si="30" t="shared"/>
        <v>8.5249664234865342E-3</v>
      </c>
      <c r="R36" s="16">
        <f si="30" t="shared"/>
        <v>2.5221794152327027E-5</v>
      </c>
      <c r="S36" s="16">
        <f si="31" t="shared"/>
        <v>1.7655255906628918E-4</v>
      </c>
      <c r="T36" s="16">
        <f>IFERROR(T23/$U$28,0)</f>
        <v>0</v>
      </c>
      <c r="U36" s="16">
        <f si="24" t="shared"/>
        <v>4.2133007131462299E-2</v>
      </c>
      <c r="W36">
        <f>$A$10</f>
        <v>4</v>
      </c>
      <c r="X36" s="16">
        <f si="32" t="shared"/>
        <v>-7.2214525296009806E-4</v>
      </c>
      <c r="Y36" s="16">
        <f si="33" t="shared"/>
        <v>2.0807980175669796E-4</v>
      </c>
      <c r="Z36" s="16">
        <f si="34" t="shared"/>
        <v>2.999835962590501E-3</v>
      </c>
      <c r="AA36" s="16">
        <f si="35" t="shared"/>
        <v>-7.2712412341812693E-3</v>
      </c>
      <c r="AB36" s="16">
        <f si="36" t="shared"/>
        <v>4.5836963695755481E-3</v>
      </c>
      <c r="AC36" s="16">
        <f si="37" t="shared"/>
        <v>2.5221794152327027E-5</v>
      </c>
      <c r="AD36" s="16">
        <f si="38" t="shared"/>
        <v>1.7655255906628918E-4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1.2619732000596974E-2</v>
      </c>
      <c r="C37" s="16">
        <f si="28" t="shared"/>
        <v>1.4460109584017364E-3</v>
      </c>
      <c r="D37" s="16">
        <f si="28" t="shared"/>
        <v>3.0806320418123949E-3</v>
      </c>
      <c r="E37" s="16">
        <f si="28" t="shared"/>
        <v>0</v>
      </c>
      <c r="F37" s="16">
        <f si="28" t="shared"/>
        <v>0.39082875631015468</v>
      </c>
      <c r="G37" s="16">
        <f si="28" t="shared"/>
        <v>0</v>
      </c>
      <c r="H37" s="16">
        <f si="29" t="shared"/>
        <v>0</v>
      </c>
      <c r="I37" s="16">
        <f>IFERROR(I24/$J$28,0)</f>
        <v>0</v>
      </c>
      <c r="J37" s="16">
        <f si="22" t="shared"/>
        <v>0.4079751313109658</v>
      </c>
      <c r="K37" s="13"/>
      <c r="L37">
        <f>$A$11</f>
        <v>5</v>
      </c>
      <c r="M37" s="16">
        <f si="30" t="shared"/>
        <v>1.5870813970351783E-2</v>
      </c>
      <c r="N37" s="16">
        <f si="30" t="shared"/>
        <v>1.0738178860353231E-2</v>
      </c>
      <c r="O37" s="16">
        <f si="30" t="shared"/>
        <v>6.0658414936346494E-3</v>
      </c>
      <c r="P37" s="16">
        <f si="30" t="shared"/>
        <v>1.5385294432919486E-3</v>
      </c>
      <c r="Q37" s="16">
        <f si="30" t="shared"/>
        <v>0.36616370205494569</v>
      </c>
      <c r="R37" s="16">
        <f si="30" t="shared"/>
        <v>4.7921408889421349E-4</v>
      </c>
      <c r="S37" s="16">
        <f si="31" t="shared"/>
        <v>7.1188513994943029E-3</v>
      </c>
      <c r="T37" s="16">
        <f>IFERROR(T24/$U$28,0)</f>
        <v>0</v>
      </c>
      <c r="U37" s="16">
        <f si="24" t="shared"/>
        <v>0.4079751313109658</v>
      </c>
      <c r="W37">
        <f>$A$11</f>
        <v>5</v>
      </c>
      <c r="X37" s="16">
        <f si="32" t="shared"/>
        <v>3.2510819697548089E-3</v>
      </c>
      <c r="Y37" s="16">
        <f si="33" t="shared"/>
        <v>9.2921679019514949E-3</v>
      </c>
      <c r="Z37" s="16">
        <f si="34" t="shared"/>
        <v>2.9852094518222545E-3</v>
      </c>
      <c r="AA37" s="16">
        <f si="35" t="shared"/>
        <v>1.5385294432919486E-3</v>
      </c>
      <c r="AB37" s="16">
        <f si="36" t="shared"/>
        <v>-2.4665054255208985E-2</v>
      </c>
      <c r="AC37" s="16">
        <f si="37" t="shared"/>
        <v>4.7921408889421349E-4</v>
      </c>
      <c r="AD37" s="16">
        <f si="38" t="shared"/>
        <v>7.1188513994943029E-3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6.4746702961928646E-3</v>
      </c>
      <c r="C38" s="16">
        <f si="28" t="shared"/>
        <v>2.5710229242678524E-3</v>
      </c>
      <c r="D38" s="16">
        <f si="28" t="shared"/>
        <v>0</v>
      </c>
      <c r="E38" s="16">
        <f si="28" t="shared"/>
        <v>0</v>
      </c>
      <c r="F38" s="16">
        <f si="28" t="shared"/>
        <v>3.5446912917479992E-4</v>
      </c>
      <c r="G38" s="16">
        <f si="28" t="shared"/>
        <v>4.1894661507659574E-2</v>
      </c>
      <c r="H38" s="16">
        <f si="29" t="shared"/>
        <v>0</v>
      </c>
      <c r="I38" s="16">
        <f>IFERROR(I25/$J$28,0)</f>
        <v>0</v>
      </c>
      <c r="J38" s="16">
        <f si="22" t="shared"/>
        <v>5.1294823857295085E-2</v>
      </c>
      <c r="K38" s="13"/>
      <c r="L38">
        <f>$A$12</f>
        <v>6</v>
      </c>
      <c r="M38" s="16">
        <f si="30" t="shared"/>
        <v>4.5273120503427008E-3</v>
      </c>
      <c r="N38" s="16">
        <f si="30" t="shared"/>
        <v>7.7557017018405603E-4</v>
      </c>
      <c r="O38" s="16">
        <f si="30" t="shared"/>
        <v>5.6749036842735807E-5</v>
      </c>
      <c r="P38" s="16">
        <f si="30" t="shared"/>
        <v>3.7832691228490536E-5</v>
      </c>
      <c r="Q38" s="16">
        <f si="30" t="shared"/>
        <v>2.124936157333552E-3</v>
      </c>
      <c r="R38" s="16">
        <f si="30" t="shared"/>
        <v>4.3677842023292328E-2</v>
      </c>
      <c r="S38" s="16">
        <f si="31" t="shared"/>
        <v>9.4581728071226349E-5</v>
      </c>
      <c r="T38" s="16">
        <f>IFERROR(T25/$U$28,0)</f>
        <v>0</v>
      </c>
      <c r="U38" s="16">
        <f si="24" t="shared"/>
        <v>5.1294823857295085E-2</v>
      </c>
      <c r="W38">
        <f>$A$12</f>
        <v>6</v>
      </c>
      <c r="X38" s="16">
        <f si="32" t="shared"/>
        <v>-1.9473582458501637E-3</v>
      </c>
      <c r="Y38" s="16">
        <f si="33" t="shared"/>
        <v>-1.7954527540837964E-3</v>
      </c>
      <c r="Z38" s="16">
        <f si="34" t="shared"/>
        <v>5.6749036842735807E-5</v>
      </c>
      <c r="AA38" s="16">
        <f si="35" t="shared"/>
        <v>3.7832691228490536E-5</v>
      </c>
      <c r="AB38" s="16">
        <f si="36" t="shared"/>
        <v>1.7704670281587522E-3</v>
      </c>
      <c r="AC38" s="16">
        <f si="37" t="shared"/>
        <v>1.783180515632754E-3</v>
      </c>
      <c r="AD38" s="16">
        <f si="38" t="shared"/>
        <v>9.4581728071226349E-5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0</v>
      </c>
      <c r="C39" s="16">
        <f ref="C39:J39" si="40" t="shared">IFERROR(C26/$J$28,0)</f>
        <v>1.3090433642255351E-3</v>
      </c>
      <c r="D39" s="16">
        <f si="40" t="shared"/>
        <v>0</v>
      </c>
      <c r="E39" s="16">
        <f si="40" t="shared"/>
        <v>0</v>
      </c>
      <c r="F39" s="16">
        <f si="40" t="shared"/>
        <v>1.7408076671318568E-2</v>
      </c>
      <c r="G39" s="16">
        <f si="40" t="shared"/>
        <v>0</v>
      </c>
      <c r="H39" s="16">
        <f si="40" t="shared"/>
        <v>5.6134859560024425E-2</v>
      </c>
      <c r="I39" s="16">
        <f si="40" t="shared"/>
        <v>0</v>
      </c>
      <c r="J39" s="16">
        <f si="40" t="shared"/>
        <v>7.4851979595568524E-2</v>
      </c>
      <c r="K39" s="13"/>
      <c r="L39">
        <v>7</v>
      </c>
      <c r="M39" s="16">
        <f>IFERROR(M26/$U$28,0)</f>
        <v>1.034093560245408E-3</v>
      </c>
      <c r="N39" s="16">
        <f ref="N39:U39" si="41" t="shared">IFERROR(N26/$U$28,0)</f>
        <v>4.886722617013361E-3</v>
      </c>
      <c r="O39" s="16">
        <f si="41" t="shared"/>
        <v>2.5474012093850296E-3</v>
      </c>
      <c r="P39" s="16">
        <f si="41" t="shared"/>
        <v>1.450253163758804E-4</v>
      </c>
      <c r="Q39" s="16">
        <f si="41" t="shared"/>
        <v>1.8002055576223416E-2</v>
      </c>
      <c r="R39" s="16">
        <f si="41" t="shared"/>
        <v>5.6749036842735807E-5</v>
      </c>
      <c r="S39" s="16">
        <f si="41" t="shared"/>
        <v>4.8179932279482703E-2</v>
      </c>
      <c r="T39" s="16">
        <f si="41" t="shared"/>
        <v>0</v>
      </c>
      <c r="U39" s="16">
        <f si="41" t="shared"/>
        <v>7.4851979595568524E-2</v>
      </c>
      <c r="W39">
        <v>7</v>
      </c>
      <c r="X39" s="16">
        <f si="32" t="shared"/>
        <v>1.034093560245408E-3</v>
      </c>
      <c r="Y39" s="16">
        <f si="33" t="shared"/>
        <v>3.5776792527878257E-3</v>
      </c>
      <c r="Z39" s="16">
        <f si="34" t="shared"/>
        <v>2.5474012093850296E-3</v>
      </c>
      <c r="AA39" s="16">
        <f si="35" t="shared"/>
        <v>1.450253163758804E-4</v>
      </c>
      <c r="AB39" s="16">
        <f si="36" t="shared"/>
        <v>5.9397890490484745E-4</v>
      </c>
      <c r="AC39" s="16">
        <f si="37" t="shared"/>
        <v>5.6749036842735807E-5</v>
      </c>
      <c r="AD39" s="16">
        <f ref="AD39" si="42" t="shared">S39-H39</f>
        <v>-7.9549272805417223E-3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2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2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0.14495340774733614</v>
      </c>
      <c r="C41" s="18">
        <f si="45" t="shared"/>
        <v>0.17669038692775993</v>
      </c>
      <c r="D41" s="18">
        <f si="45" t="shared"/>
        <v>0.10580679569656881</v>
      </c>
      <c r="E41" s="18">
        <f si="45" t="shared"/>
        <v>3.5216256082487296E-2</v>
      </c>
      <c r="F41" s="18">
        <f si="45" t="shared"/>
        <v>0.43930363247816384</v>
      </c>
      <c r="G41" s="18">
        <f si="45" t="shared"/>
        <v>4.1894661507659574E-2</v>
      </c>
      <c r="H41" s="18">
        <f si="45" t="shared"/>
        <v>5.6134859560024425E-2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0.12057909239373743</v>
      </c>
      <c r="N41" s="18">
        <f si="46" t="shared"/>
        <v>0.1740934341364373</v>
      </c>
      <c r="O41" s="18">
        <f si="46" t="shared"/>
        <v>9.4657393453683333E-2</v>
      </c>
      <c r="P41" s="18">
        <f si="46" t="shared"/>
        <v>3.3929618583417934E-2</v>
      </c>
      <c r="Q41" s="18">
        <f si="46" t="shared"/>
        <v>0.46356396562269458</v>
      </c>
      <c r="R41" s="18">
        <f si="46" t="shared"/>
        <v>5.138310013682823E-2</v>
      </c>
      <c r="S41" s="18">
        <f si="46" t="shared"/>
        <v>6.1793395673201211E-2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-2.4374315353598713E-2</v>
      </c>
      <c r="Y41" s="18">
        <f si="47" t="shared"/>
        <v>-2.596952791322632E-3</v>
      </c>
      <c r="Z41" s="18">
        <f si="47" t="shared"/>
        <v>-1.1149402242885478E-2</v>
      </c>
      <c r="AA41" s="18">
        <f si="47" t="shared"/>
        <v>-1.2866374990693624E-3</v>
      </c>
      <c r="AB41" s="18">
        <f si="47" t="shared"/>
        <v>2.4260333144530744E-2</v>
      </c>
      <c r="AC41" s="18">
        <f si="47" t="shared"/>
        <v>9.4884386291686565E-3</v>
      </c>
      <c r="AD41" s="18">
        <f si="47" t="shared"/>
        <v>5.6585361131767861E-3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30" sqref="J30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6" workbookViewId="0"/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281</v>
      </c>
    </row>
    <row r="2" spans="1:4" x14ac:dyDescent="0.25">
      <c r="A2" t="s">
        <v>248</v>
      </c>
      <c r="B2" t="s">
        <v>249</v>
      </c>
      <c r="C2" t="s">
        <v>89</v>
      </c>
      <c r="D2" t="s">
        <v>250</v>
      </c>
    </row>
    <row r="3" spans="1:4" x14ac:dyDescent="0.25">
      <c r="A3">
        <v>1</v>
      </c>
      <c r="B3" t="s">
        <v>43</v>
      </c>
      <c r="C3" t="s">
        <v>266</v>
      </c>
      <c r="D3" t="s">
        <v>44</v>
      </c>
    </row>
    <row r="4" spans="1:4" x14ac:dyDescent="0.25">
      <c r="A4">
        <v>2</v>
      </c>
      <c r="B4" t="s">
        <v>46</v>
      </c>
      <c r="C4" t="s">
        <v>266</v>
      </c>
      <c r="D4" t="s">
        <v>47</v>
      </c>
    </row>
    <row r="5" spans="1:4" x14ac:dyDescent="0.25">
      <c r="A5">
        <v>3</v>
      </c>
      <c r="B5" t="s">
        <v>49</v>
      </c>
      <c r="C5" t="s">
        <v>266</v>
      </c>
      <c r="D5" t="s">
        <v>50</v>
      </c>
    </row>
    <row r="6" spans="1:4" x14ac:dyDescent="0.25">
      <c r="A6">
        <v>4</v>
      </c>
      <c r="B6" t="s">
        <v>52</v>
      </c>
      <c r="C6" t="s">
        <v>266</v>
      </c>
      <c r="D6" t="s">
        <v>53</v>
      </c>
    </row>
    <row r="7" spans="1:4" x14ac:dyDescent="0.25">
      <c r="A7">
        <v>5</v>
      </c>
      <c r="B7" t="s">
        <v>55</v>
      </c>
      <c r="C7" t="s">
        <v>266</v>
      </c>
      <c r="D7" t="s">
        <v>56</v>
      </c>
    </row>
    <row r="8" spans="1:4" x14ac:dyDescent="0.25">
      <c r="A8">
        <v>6</v>
      </c>
      <c r="B8" t="s">
        <v>57</v>
      </c>
      <c r="C8" t="s">
        <v>266</v>
      </c>
      <c r="D8" t="s">
        <v>58</v>
      </c>
    </row>
    <row r="9" spans="1:4" x14ac:dyDescent="0.25">
      <c r="A9">
        <v>7</v>
      </c>
      <c r="B9" t="s">
        <v>59</v>
      </c>
      <c r="C9" t="s">
        <v>266</v>
      </c>
      <c r="D9" t="s">
        <v>60</v>
      </c>
    </row>
    <row r="10" spans="1:4" x14ac:dyDescent="0.25">
      <c r="A10">
        <v>8</v>
      </c>
      <c r="B10" t="s">
        <v>62</v>
      </c>
      <c r="C10" t="s">
        <v>266</v>
      </c>
      <c r="D10" t="s">
        <v>63</v>
      </c>
    </row>
    <row r="11" spans="1:4" x14ac:dyDescent="0.25">
      <c r="A11">
        <v>9</v>
      </c>
      <c r="B11" t="s">
        <v>64</v>
      </c>
      <c r="C11" t="s">
        <v>266</v>
      </c>
      <c r="D11" t="s">
        <v>65</v>
      </c>
    </row>
    <row r="12" spans="1:4" x14ac:dyDescent="0.25">
      <c r="A12">
        <v>10</v>
      </c>
      <c r="B12" t="s">
        <v>66</v>
      </c>
      <c r="C12" t="s">
        <v>266</v>
      </c>
      <c r="D12" t="s">
        <v>67</v>
      </c>
    </row>
    <row r="13" spans="1:4" x14ac:dyDescent="0.25">
      <c r="A13">
        <v>11</v>
      </c>
      <c r="B13" t="s">
        <v>68</v>
      </c>
      <c r="C13" t="s">
        <v>266</v>
      </c>
      <c r="D13" t="s">
        <v>69</v>
      </c>
    </row>
    <row r="14" spans="1:4" x14ac:dyDescent="0.25">
      <c r="A14">
        <v>12</v>
      </c>
      <c r="B14" t="s">
        <v>70</v>
      </c>
      <c r="C14" t="s">
        <v>266</v>
      </c>
      <c r="D14" t="s">
        <v>71</v>
      </c>
    </row>
    <row r="15" spans="1:4" x14ac:dyDescent="0.25">
      <c r="A15">
        <v>13</v>
      </c>
      <c r="B15" t="s">
        <v>72</v>
      </c>
      <c r="C15" t="s">
        <v>266</v>
      </c>
      <c r="D15" t="s">
        <v>73</v>
      </c>
    </row>
    <row r="16" spans="1:4" x14ac:dyDescent="0.25">
      <c r="A16">
        <v>14</v>
      </c>
      <c r="B16" t="s">
        <v>74</v>
      </c>
      <c r="C16" t="s">
        <v>266</v>
      </c>
      <c r="D16" t="s">
        <v>75</v>
      </c>
    </row>
    <row r="17" spans="1:4" x14ac:dyDescent="0.25">
      <c r="A17">
        <v>15</v>
      </c>
      <c r="B17" t="s">
        <v>76</v>
      </c>
      <c r="C17" t="s">
        <v>266</v>
      </c>
      <c r="D17" t="s">
        <v>77</v>
      </c>
    </row>
    <row r="18" spans="1:4" x14ac:dyDescent="0.25">
      <c r="A18">
        <v>16</v>
      </c>
      <c r="B18" t="s">
        <v>78</v>
      </c>
      <c r="C18" t="s">
        <v>266</v>
      </c>
      <c r="D18" t="s">
        <v>79</v>
      </c>
    </row>
    <row r="19" spans="1:4" x14ac:dyDescent="0.25">
      <c r="A19">
        <v>17</v>
      </c>
      <c r="B19" t="s">
        <v>81</v>
      </c>
      <c r="C19" t="s">
        <v>266</v>
      </c>
      <c r="D19" t="s">
        <v>82</v>
      </c>
    </row>
    <row r="20" spans="1:4" x14ac:dyDescent="0.25">
      <c r="A20">
        <v>18</v>
      </c>
      <c r="B20" t="s">
        <v>84</v>
      </c>
      <c r="C20" t="s">
        <v>266</v>
      </c>
      <c r="D20" t="s">
        <v>85</v>
      </c>
    </row>
    <row r="21" spans="1:4" x14ac:dyDescent="0.25">
      <c r="A21">
        <v>19</v>
      </c>
      <c r="B21" t="s">
        <v>87</v>
      </c>
      <c r="C21" t="s">
        <v>266</v>
      </c>
      <c r="D21" t="s">
        <v>88</v>
      </c>
    </row>
    <row r="22" spans="1:4" x14ac:dyDescent="0.25">
      <c r="A22">
        <v>20</v>
      </c>
      <c r="B22" t="s">
        <v>90</v>
      </c>
      <c r="C22" t="s">
        <v>86</v>
      </c>
      <c r="D22" t="s">
        <v>91</v>
      </c>
    </row>
    <row r="23" spans="1:4" x14ac:dyDescent="0.25">
      <c r="A23">
        <v>21</v>
      </c>
      <c r="B23" t="s">
        <v>92</v>
      </c>
      <c r="C23" t="s">
        <v>86</v>
      </c>
      <c r="D23" t="s">
        <v>93</v>
      </c>
    </row>
    <row r="24" spans="1:4" x14ac:dyDescent="0.25">
      <c r="A24">
        <v>22</v>
      </c>
      <c r="B24" t="s">
        <v>94</v>
      </c>
      <c r="C24" t="s">
        <v>86</v>
      </c>
      <c r="D24" t="s">
        <v>95</v>
      </c>
    </row>
    <row r="25" spans="1:4" x14ac:dyDescent="0.25">
      <c r="A25">
        <v>23</v>
      </c>
      <c r="B25" t="s">
        <v>96</v>
      </c>
      <c r="C25" t="s">
        <v>86</v>
      </c>
      <c r="D25" t="s">
        <v>97</v>
      </c>
    </row>
    <row r="26" spans="1:4" x14ac:dyDescent="0.25">
      <c r="A26">
        <v>24</v>
      </c>
      <c r="B26" t="s">
        <v>98</v>
      </c>
      <c r="C26" t="s">
        <v>86</v>
      </c>
      <c r="D26" t="s">
        <v>99</v>
      </c>
    </row>
    <row r="27" spans="1:4" x14ac:dyDescent="0.25">
      <c r="A27">
        <v>25</v>
      </c>
      <c r="B27" t="s">
        <v>101</v>
      </c>
      <c r="C27" t="s">
        <v>86</v>
      </c>
      <c r="D27" t="s">
        <v>102</v>
      </c>
    </row>
    <row r="28" spans="1:4" x14ac:dyDescent="0.25">
      <c r="A28">
        <v>26</v>
      </c>
      <c r="B28" t="s">
        <v>103</v>
      </c>
      <c r="C28" t="s">
        <v>100</v>
      </c>
      <c r="D28" t="s">
        <v>91</v>
      </c>
    </row>
    <row r="29" spans="1:4" x14ac:dyDescent="0.25">
      <c r="A29">
        <v>27</v>
      </c>
      <c r="B29" t="s">
        <v>104</v>
      </c>
      <c r="C29" t="s">
        <v>100</v>
      </c>
      <c r="D29" t="s">
        <v>93</v>
      </c>
    </row>
    <row r="30" spans="1:4" x14ac:dyDescent="0.25">
      <c r="A30">
        <v>28</v>
      </c>
      <c r="B30" t="s">
        <v>106</v>
      </c>
      <c r="C30" t="s">
        <v>100</v>
      </c>
      <c r="D30" t="s">
        <v>95</v>
      </c>
    </row>
    <row r="31" spans="1:4" x14ac:dyDescent="0.25">
      <c r="A31">
        <v>29</v>
      </c>
      <c r="B31" t="s">
        <v>107</v>
      </c>
      <c r="C31" t="s">
        <v>100</v>
      </c>
      <c r="D31" t="s">
        <v>97</v>
      </c>
    </row>
    <row r="32" spans="1:4" x14ac:dyDescent="0.25">
      <c r="A32">
        <v>30</v>
      </c>
      <c r="B32" t="s">
        <v>108</v>
      </c>
      <c r="C32" t="s">
        <v>100</v>
      </c>
      <c r="D32" t="s">
        <v>109</v>
      </c>
    </row>
    <row r="33" spans="1:4" x14ac:dyDescent="0.25">
      <c r="A33">
        <v>31</v>
      </c>
      <c r="B33" t="s">
        <v>110</v>
      </c>
      <c r="C33" t="s">
        <v>100</v>
      </c>
      <c r="D33" t="s">
        <v>111</v>
      </c>
    </row>
    <row r="34" spans="1:4" x14ac:dyDescent="0.25">
      <c r="A34">
        <v>32</v>
      </c>
      <c r="B34" t="s">
        <v>112</v>
      </c>
      <c r="C34" t="s">
        <v>100</v>
      </c>
      <c r="D34" t="s">
        <v>113</v>
      </c>
    </row>
    <row r="35" spans="1:4" x14ac:dyDescent="0.25">
      <c r="A35">
        <v>33</v>
      </c>
      <c r="B35" t="s">
        <v>114</v>
      </c>
      <c r="C35" t="s">
        <v>100</v>
      </c>
      <c r="D35" t="s">
        <v>115</v>
      </c>
    </row>
    <row r="36" spans="1:4" x14ac:dyDescent="0.25">
      <c r="A36">
        <v>34</v>
      </c>
      <c r="B36" t="s">
        <v>116</v>
      </c>
      <c r="C36" t="s">
        <v>100</v>
      </c>
      <c r="D36" t="s">
        <v>117</v>
      </c>
    </row>
    <row r="37" spans="1:4" x14ac:dyDescent="0.25">
      <c r="A37">
        <v>35</v>
      </c>
      <c r="B37" t="s">
        <v>119</v>
      </c>
      <c r="C37" t="s">
        <v>100</v>
      </c>
      <c r="D37" t="s">
        <v>120</v>
      </c>
    </row>
    <row r="38" spans="1:4" x14ac:dyDescent="0.25">
      <c r="A38">
        <v>36</v>
      </c>
      <c r="B38" t="s">
        <v>121</v>
      </c>
      <c r="C38" t="s">
        <v>118</v>
      </c>
      <c r="D38" t="s">
        <v>91</v>
      </c>
    </row>
    <row r="39" spans="1:4" x14ac:dyDescent="0.25">
      <c r="A39">
        <v>37</v>
      </c>
      <c r="B39" t="s">
        <v>122</v>
      </c>
      <c r="C39" t="s">
        <v>118</v>
      </c>
      <c r="D39" t="s">
        <v>93</v>
      </c>
    </row>
    <row r="40" spans="1:4" x14ac:dyDescent="0.25">
      <c r="A40">
        <v>38</v>
      </c>
      <c r="B40" t="s">
        <v>124</v>
      </c>
      <c r="C40" t="s">
        <v>118</v>
      </c>
      <c r="D40" t="s">
        <v>95</v>
      </c>
    </row>
    <row r="41" spans="1:4" x14ac:dyDescent="0.25">
      <c r="A41">
        <v>39</v>
      </c>
      <c r="B41" t="s">
        <v>125</v>
      </c>
      <c r="C41" t="s">
        <v>118</v>
      </c>
      <c r="D41" t="s">
        <v>97</v>
      </c>
    </row>
    <row r="42" spans="1:4" x14ac:dyDescent="0.25">
      <c r="A42">
        <v>40</v>
      </c>
      <c r="B42" t="s">
        <v>126</v>
      </c>
      <c r="C42" t="s">
        <v>118</v>
      </c>
      <c r="D42" t="s">
        <v>109</v>
      </c>
    </row>
    <row r="43" spans="1:4" x14ac:dyDescent="0.25">
      <c r="A43">
        <v>41</v>
      </c>
      <c r="B43" t="s">
        <v>127</v>
      </c>
      <c r="C43" t="s">
        <v>118</v>
      </c>
      <c r="D43" t="s">
        <v>111</v>
      </c>
    </row>
    <row r="44" spans="1:4" x14ac:dyDescent="0.25">
      <c r="A44">
        <v>42</v>
      </c>
      <c r="B44" t="s">
        <v>129</v>
      </c>
      <c r="C44" t="s">
        <v>118</v>
      </c>
      <c r="D44" t="s">
        <v>130</v>
      </c>
    </row>
    <row r="45" spans="1:4" x14ac:dyDescent="0.25">
      <c r="A45">
        <v>43</v>
      </c>
      <c r="B45" t="s">
        <v>131</v>
      </c>
      <c r="C45" t="s">
        <v>128</v>
      </c>
      <c r="D45" t="s">
        <v>91</v>
      </c>
    </row>
    <row r="46" spans="1:4" x14ac:dyDescent="0.25">
      <c r="A46">
        <v>44</v>
      </c>
      <c r="B46" t="s">
        <v>132</v>
      </c>
      <c r="C46" t="s">
        <v>128</v>
      </c>
      <c r="D46" t="s">
        <v>133</v>
      </c>
    </row>
    <row r="47" spans="1:4" x14ac:dyDescent="0.25">
      <c r="A47">
        <v>45</v>
      </c>
      <c r="B47" t="s">
        <v>134</v>
      </c>
      <c r="C47" t="s">
        <v>128</v>
      </c>
      <c r="D47" t="s">
        <v>135</v>
      </c>
    </row>
    <row r="48" spans="1:4" x14ac:dyDescent="0.25">
      <c r="A48">
        <v>46</v>
      </c>
      <c r="B48" t="s">
        <v>136</v>
      </c>
      <c r="C48" t="s">
        <v>128</v>
      </c>
      <c r="D48" t="s">
        <v>137</v>
      </c>
    </row>
    <row r="49" spans="1:4" x14ac:dyDescent="0.25">
      <c r="A49">
        <v>47</v>
      </c>
      <c r="B49" t="s">
        <v>138</v>
      </c>
      <c r="C49" t="s">
        <v>128</v>
      </c>
      <c r="D49" t="s">
        <v>139</v>
      </c>
    </row>
    <row r="50" spans="1:4" x14ac:dyDescent="0.25">
      <c r="A50">
        <v>48</v>
      </c>
      <c r="B50" t="s">
        <v>141</v>
      </c>
      <c r="C50" t="s">
        <v>128</v>
      </c>
      <c r="D50" t="s">
        <v>142</v>
      </c>
    </row>
    <row r="51" spans="1:4" x14ac:dyDescent="0.25">
      <c r="A51">
        <v>49</v>
      </c>
      <c r="B51" t="s">
        <v>143</v>
      </c>
      <c r="C51" t="s">
        <v>140</v>
      </c>
      <c r="D51" t="s">
        <v>91</v>
      </c>
    </row>
    <row r="52" spans="1:4" x14ac:dyDescent="0.25">
      <c r="A52">
        <v>50</v>
      </c>
      <c r="B52" t="s">
        <v>144</v>
      </c>
      <c r="C52" t="s">
        <v>140</v>
      </c>
      <c r="D52" t="s">
        <v>93</v>
      </c>
    </row>
    <row r="53" spans="1:4" x14ac:dyDescent="0.25">
      <c r="A53">
        <v>51</v>
      </c>
      <c r="B53" t="s">
        <v>145</v>
      </c>
      <c r="C53" t="s">
        <v>140</v>
      </c>
      <c r="D53" t="s">
        <v>95</v>
      </c>
    </row>
    <row r="54" spans="1:4" x14ac:dyDescent="0.25">
      <c r="A54">
        <v>52</v>
      </c>
      <c r="B54" t="s">
        <v>146</v>
      </c>
      <c r="C54" t="s">
        <v>140</v>
      </c>
      <c r="D54" t="s">
        <v>97</v>
      </c>
    </row>
    <row r="55" spans="1:4" x14ac:dyDescent="0.25">
      <c r="A55">
        <v>53</v>
      </c>
      <c r="B55" t="s">
        <v>147</v>
      </c>
      <c r="C55" t="s">
        <v>140</v>
      </c>
      <c r="D55" t="s">
        <v>109</v>
      </c>
    </row>
    <row r="56" spans="1:4" x14ac:dyDescent="0.25">
      <c r="A56">
        <v>54</v>
      </c>
      <c r="B56" t="s">
        <v>148</v>
      </c>
      <c r="C56" t="s">
        <v>140</v>
      </c>
      <c r="D56" t="s">
        <v>149</v>
      </c>
    </row>
    <row r="57" spans="1:4" x14ac:dyDescent="0.25">
      <c r="A57">
        <v>55</v>
      </c>
      <c r="B57" t="s">
        <v>150</v>
      </c>
      <c r="C57" t="s">
        <v>140</v>
      </c>
      <c r="D57" t="s">
        <v>113</v>
      </c>
    </row>
    <row r="58" spans="1:4" x14ac:dyDescent="0.25">
      <c r="A58">
        <v>56</v>
      </c>
      <c r="B58" t="s">
        <v>151</v>
      </c>
      <c r="C58" t="s">
        <v>140</v>
      </c>
      <c r="D58" t="s">
        <v>117</v>
      </c>
    </row>
    <row r="59" spans="1:4" x14ac:dyDescent="0.25">
      <c r="A59">
        <v>57</v>
      </c>
      <c r="B59" t="s">
        <v>152</v>
      </c>
      <c r="C59" t="s">
        <v>140</v>
      </c>
      <c r="D59" t="s">
        <v>120</v>
      </c>
    </row>
    <row r="60" spans="1:4" x14ac:dyDescent="0.25">
      <c r="A60">
        <v>118</v>
      </c>
      <c r="B60" t="s">
        <v>247</v>
      </c>
    </row>
    <row r="61" spans="1:4" x14ac:dyDescent="0.25">
      <c r="A61">
        <v>70</v>
      </c>
      <c r="B61" t="s">
        <v>153</v>
      </c>
      <c r="C61" t="s">
        <v>86</v>
      </c>
    </row>
    <row r="62" spans="1:4" x14ac:dyDescent="0.25">
      <c r="A62">
        <v>71</v>
      </c>
      <c r="B62" t="s">
        <v>154</v>
      </c>
      <c r="C62" t="s">
        <v>86</v>
      </c>
      <c r="D62" t="s">
        <v>155</v>
      </c>
    </row>
    <row r="63" spans="1:4" x14ac:dyDescent="0.25">
      <c r="A63">
        <v>72</v>
      </c>
      <c r="B63" t="s">
        <v>156</v>
      </c>
      <c r="C63" t="s">
        <v>86</v>
      </c>
      <c r="D63" t="s">
        <v>157</v>
      </c>
    </row>
    <row r="64" spans="1:4" x14ac:dyDescent="0.25">
      <c r="A64">
        <v>73</v>
      </c>
      <c r="B64" t="s">
        <v>158</v>
      </c>
      <c r="C64" t="s">
        <v>86</v>
      </c>
      <c r="D64" t="s">
        <v>159</v>
      </c>
    </row>
    <row r="65" spans="1:4" x14ac:dyDescent="0.25">
      <c r="A65">
        <v>74</v>
      </c>
      <c r="B65" t="s">
        <v>160</v>
      </c>
      <c r="C65" t="s">
        <v>86</v>
      </c>
      <c r="D65" t="s">
        <v>161</v>
      </c>
    </row>
    <row r="66" spans="1:4" x14ac:dyDescent="0.25">
      <c r="A66">
        <v>75</v>
      </c>
      <c r="B66" t="s">
        <v>162</v>
      </c>
      <c r="C66" t="s">
        <v>86</v>
      </c>
      <c r="D66" t="s">
        <v>163</v>
      </c>
    </row>
    <row r="67" spans="1:4" x14ac:dyDescent="0.25">
      <c r="A67">
        <v>76</v>
      </c>
      <c r="B67" t="s">
        <v>164</v>
      </c>
      <c r="C67" t="s">
        <v>86</v>
      </c>
      <c r="D67" t="s">
        <v>165</v>
      </c>
    </row>
    <row r="68" spans="1:4" x14ac:dyDescent="0.25">
      <c r="A68">
        <v>77</v>
      </c>
      <c r="B68" t="s">
        <v>166</v>
      </c>
      <c r="C68" t="s">
        <v>86</v>
      </c>
      <c r="D68" t="s">
        <v>167</v>
      </c>
    </row>
    <row r="69" spans="1:4" x14ac:dyDescent="0.25">
      <c r="A69">
        <v>78</v>
      </c>
      <c r="B69" t="s">
        <v>168</v>
      </c>
      <c r="C69" t="s">
        <v>86</v>
      </c>
      <c r="D69" t="s">
        <v>169</v>
      </c>
    </row>
    <row r="70" spans="1:4" x14ac:dyDescent="0.25">
      <c r="A70">
        <v>79</v>
      </c>
      <c r="B70" t="s">
        <v>170</v>
      </c>
      <c r="C70" t="s">
        <v>86</v>
      </c>
      <c r="D70" t="s">
        <v>171</v>
      </c>
    </row>
    <row r="71" spans="1:4" x14ac:dyDescent="0.25">
      <c r="A71">
        <v>80</v>
      </c>
      <c r="B71" t="s">
        <v>172</v>
      </c>
      <c r="C71" t="s">
        <v>86</v>
      </c>
      <c r="D71" t="s">
        <v>173</v>
      </c>
    </row>
    <row r="72" spans="1:4" x14ac:dyDescent="0.25">
      <c r="A72">
        <v>81</v>
      </c>
      <c r="B72" t="s">
        <v>174</v>
      </c>
      <c r="C72" t="s">
        <v>86</v>
      </c>
      <c r="D72" t="s">
        <v>175</v>
      </c>
    </row>
    <row r="73" spans="1:4" x14ac:dyDescent="0.25">
      <c r="A73">
        <v>82</v>
      </c>
      <c r="B73" t="s">
        <v>176</v>
      </c>
      <c r="C73" t="s">
        <v>86</v>
      </c>
      <c r="D73" t="s">
        <v>175</v>
      </c>
    </row>
    <row r="74" spans="1:4" x14ac:dyDescent="0.25">
      <c r="A74">
        <v>83</v>
      </c>
      <c r="B74" t="s">
        <v>177</v>
      </c>
      <c r="C74" t="s">
        <v>86</v>
      </c>
      <c r="D74" t="s">
        <v>178</v>
      </c>
    </row>
    <row r="75" spans="1:4" x14ac:dyDescent="0.25">
      <c r="A75">
        <v>84</v>
      </c>
      <c r="B75" t="s">
        <v>179</v>
      </c>
      <c r="C75" t="s">
        <v>86</v>
      </c>
      <c r="D75" t="s">
        <v>180</v>
      </c>
    </row>
    <row r="76" spans="1:4" x14ac:dyDescent="0.25">
      <c r="A76">
        <v>85</v>
      </c>
      <c r="B76" t="s">
        <v>181</v>
      </c>
      <c r="C76" t="s">
        <v>86</v>
      </c>
      <c r="D76" t="s">
        <v>182</v>
      </c>
    </row>
    <row r="77" spans="1:4" x14ac:dyDescent="0.25">
      <c r="A77">
        <v>86</v>
      </c>
      <c r="B77" t="s">
        <v>183</v>
      </c>
      <c r="C77" t="s">
        <v>86</v>
      </c>
      <c r="D77" t="s">
        <v>184</v>
      </c>
    </row>
    <row r="78" spans="1:4" x14ac:dyDescent="0.25">
      <c r="A78">
        <v>87</v>
      </c>
      <c r="B78" t="s">
        <v>185</v>
      </c>
      <c r="C78" t="s">
        <v>86</v>
      </c>
      <c r="D78" t="s">
        <v>186</v>
      </c>
    </row>
    <row r="79" spans="1:4" x14ac:dyDescent="0.25">
      <c r="A79">
        <v>88</v>
      </c>
      <c r="B79" t="s">
        <v>187</v>
      </c>
      <c r="C79" t="s">
        <v>86</v>
      </c>
      <c r="D79" t="s">
        <v>188</v>
      </c>
    </row>
    <row r="80" spans="1:4" x14ac:dyDescent="0.25">
      <c r="A80">
        <v>89</v>
      </c>
      <c r="B80" t="s">
        <v>189</v>
      </c>
      <c r="C80" t="s">
        <v>100</v>
      </c>
      <c r="D80" t="s">
        <v>190</v>
      </c>
    </row>
    <row r="81" spans="1:4" x14ac:dyDescent="0.25">
      <c r="A81">
        <v>90</v>
      </c>
      <c r="B81" t="s">
        <v>191</v>
      </c>
      <c r="C81" t="s">
        <v>100</v>
      </c>
      <c r="D81" t="s">
        <v>192</v>
      </c>
    </row>
    <row r="82" spans="1:4" x14ac:dyDescent="0.25">
      <c r="A82">
        <v>91</v>
      </c>
      <c r="B82" t="s">
        <v>193</v>
      </c>
      <c r="C82" t="s">
        <v>100</v>
      </c>
      <c r="D82" t="s">
        <v>194</v>
      </c>
    </row>
    <row r="83" spans="1:4" x14ac:dyDescent="0.25">
      <c r="A83">
        <v>92</v>
      </c>
      <c r="B83" t="s">
        <v>195</v>
      </c>
      <c r="C83" t="s">
        <v>100</v>
      </c>
      <c r="D83" t="s">
        <v>196</v>
      </c>
    </row>
    <row r="84" spans="1:4" x14ac:dyDescent="0.25">
      <c r="A84">
        <v>93</v>
      </c>
      <c r="B84" t="s">
        <v>197</v>
      </c>
      <c r="C84" t="s">
        <v>100</v>
      </c>
      <c r="D84" t="s">
        <v>198</v>
      </c>
    </row>
    <row r="85" spans="1:4" x14ac:dyDescent="0.25">
      <c r="A85">
        <v>94</v>
      </c>
      <c r="B85" t="s">
        <v>199</v>
      </c>
      <c r="C85" t="s">
        <v>100</v>
      </c>
      <c r="D85" t="s">
        <v>200</v>
      </c>
    </row>
    <row r="86" spans="1:4" x14ac:dyDescent="0.25">
      <c r="A86">
        <v>95</v>
      </c>
      <c r="B86" t="s">
        <v>201</v>
      </c>
      <c r="C86" t="s">
        <v>100</v>
      </c>
      <c r="D86" t="s">
        <v>202</v>
      </c>
    </row>
    <row r="87" spans="1:4" x14ac:dyDescent="0.25">
      <c r="A87">
        <v>96</v>
      </c>
      <c r="B87" t="s">
        <v>203</v>
      </c>
      <c r="C87" t="s">
        <v>100</v>
      </c>
      <c r="D87" t="s">
        <v>204</v>
      </c>
    </row>
    <row r="88" spans="1:4" x14ac:dyDescent="0.25">
      <c r="A88">
        <v>97</v>
      </c>
      <c r="B88" t="s">
        <v>205</v>
      </c>
      <c r="C88" t="s">
        <v>100</v>
      </c>
      <c r="D88" t="s">
        <v>206</v>
      </c>
    </row>
    <row r="89" spans="1:4" x14ac:dyDescent="0.25">
      <c r="A89">
        <v>98</v>
      </c>
      <c r="B89" t="s">
        <v>207</v>
      </c>
      <c r="C89" t="s">
        <v>118</v>
      </c>
      <c r="D89" t="s">
        <v>192</v>
      </c>
    </row>
    <row r="90" spans="1:4" x14ac:dyDescent="0.25">
      <c r="A90">
        <v>99</v>
      </c>
      <c r="B90" t="s">
        <v>208</v>
      </c>
      <c r="C90" t="s">
        <v>118</v>
      </c>
      <c r="D90" t="s">
        <v>194</v>
      </c>
    </row>
    <row r="91" spans="1:4" x14ac:dyDescent="0.25">
      <c r="A91">
        <v>100</v>
      </c>
      <c r="B91" t="s">
        <v>209</v>
      </c>
      <c r="C91" t="s">
        <v>118</v>
      </c>
      <c r="D91" t="s">
        <v>196</v>
      </c>
    </row>
    <row r="92" spans="1:4" x14ac:dyDescent="0.25">
      <c r="A92">
        <v>101</v>
      </c>
      <c r="B92" t="s">
        <v>210</v>
      </c>
      <c r="C92" t="s">
        <v>118</v>
      </c>
      <c r="D92" t="s">
        <v>198</v>
      </c>
    </row>
    <row r="93" spans="1:4" x14ac:dyDescent="0.25">
      <c r="A93">
        <v>102</v>
      </c>
      <c r="B93" t="s">
        <v>211</v>
      </c>
      <c r="C93" t="s">
        <v>128</v>
      </c>
      <c r="D93" t="s">
        <v>192</v>
      </c>
    </row>
    <row r="94" spans="1:4" x14ac:dyDescent="0.25">
      <c r="A94">
        <v>103</v>
      </c>
      <c r="B94" t="s">
        <v>212</v>
      </c>
      <c r="C94" t="s">
        <v>128</v>
      </c>
      <c r="D94" t="s">
        <v>194</v>
      </c>
    </row>
    <row r="95" spans="1:4" x14ac:dyDescent="0.25">
      <c r="A95">
        <v>104</v>
      </c>
      <c r="B95" t="s">
        <v>213</v>
      </c>
      <c r="C95" t="s">
        <v>128</v>
      </c>
      <c r="D95" t="s">
        <v>196</v>
      </c>
    </row>
    <row r="96" spans="1:4" x14ac:dyDescent="0.25">
      <c r="A96">
        <v>105</v>
      </c>
      <c r="B96" t="s">
        <v>214</v>
      </c>
      <c r="C96" t="s">
        <v>128</v>
      </c>
      <c r="D96" t="s">
        <v>198</v>
      </c>
    </row>
    <row r="97" spans="1:4" x14ac:dyDescent="0.25">
      <c r="A97">
        <v>106</v>
      </c>
      <c r="B97" t="s">
        <v>215</v>
      </c>
      <c r="C97" t="s">
        <v>140</v>
      </c>
      <c r="D97" t="s">
        <v>192</v>
      </c>
    </row>
    <row r="98" spans="1:4" x14ac:dyDescent="0.25">
      <c r="A98">
        <v>107</v>
      </c>
      <c r="B98" t="s">
        <v>216</v>
      </c>
      <c r="C98" t="s">
        <v>140</v>
      </c>
      <c r="D98" t="s">
        <v>217</v>
      </c>
    </row>
    <row r="99" spans="1:4" x14ac:dyDescent="0.25">
      <c r="A99">
        <v>108</v>
      </c>
      <c r="B99" t="s">
        <v>218</v>
      </c>
      <c r="C99" t="s">
        <v>140</v>
      </c>
      <c r="D99" t="s">
        <v>194</v>
      </c>
    </row>
    <row r="100" spans="1:4" x14ac:dyDescent="0.25">
      <c r="A100">
        <v>109</v>
      </c>
      <c r="B100" t="s">
        <v>219</v>
      </c>
      <c r="C100" t="s">
        <v>140</v>
      </c>
      <c r="D100" t="s">
        <v>196</v>
      </c>
    </row>
    <row r="101" spans="1:4" x14ac:dyDescent="0.25">
      <c r="A101">
        <v>110</v>
      </c>
      <c r="B101" t="s">
        <v>220</v>
      </c>
      <c r="C101" t="s">
        <v>140</v>
      </c>
      <c r="D101" t="s">
        <v>198</v>
      </c>
    </row>
    <row r="102" spans="1:4" x14ac:dyDescent="0.25">
      <c r="A102">
        <v>111</v>
      </c>
      <c r="B102" t="s">
        <v>221</v>
      </c>
      <c r="C102" t="s">
        <v>140</v>
      </c>
      <c r="D102" t="s">
        <v>204</v>
      </c>
    </row>
    <row r="103" spans="1:4" x14ac:dyDescent="0.25">
      <c r="A103">
        <v>112</v>
      </c>
      <c r="B103" t="s">
        <v>222</v>
      </c>
      <c r="C103" t="s">
        <v>140</v>
      </c>
      <c r="D103" t="s">
        <v>223</v>
      </c>
    </row>
    <row r="104" spans="1:4" x14ac:dyDescent="0.25">
      <c r="A104">
        <v>113</v>
      </c>
      <c r="B104" t="s">
        <v>224</v>
      </c>
      <c r="C104" t="s">
        <v>140</v>
      </c>
      <c r="D104" t="s">
        <v>206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0" t="s">
        <v>236</v>
      </c>
      <c r="B1" s="341"/>
      <c r="C1" s="341"/>
      <c r="D1" s="341"/>
      <c r="E1" s="341"/>
      <c r="F1" s="341"/>
      <c r="G1" s="341"/>
      <c r="H1" s="341" t="s">
        <v>237</v>
      </c>
      <c r="I1" s="341"/>
      <c r="J1" s="341"/>
      <c r="K1" s="342"/>
    </row>
    <row r="2" spans="1:11" x14ac:dyDescent="0.25">
      <c r="A2" s="343">
        <v>1</v>
      </c>
      <c r="B2" s="344" t="s">
        <v>246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238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239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240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B8" t="s">
        <v>226</v>
      </c>
      <c r="C8" t="s">
        <v>227</v>
      </c>
      <c r="D8" t="s">
        <v>228</v>
      </c>
      <c r="E8" t="s">
        <v>273</v>
      </c>
    </row>
    <row r="9" spans="1:11" x14ac:dyDescent="0.25">
      <c r="A9" t="s">
        <v>229</v>
      </c>
      <c r="B9" t="s">
        <v>230</v>
      </c>
      <c r="C9" t="s">
        <v>231</v>
      </c>
      <c r="D9" t="s">
        <v>232</v>
      </c>
      <c r="E9">
        <v>4</v>
      </c>
      <c r="F9" s="332">
        <v>0.63901620370370371</v>
      </c>
      <c r="G9" t="s">
        <v>233</v>
      </c>
      <c r="H9">
        <v>5</v>
      </c>
      <c r="I9" t="s">
        <v>274</v>
      </c>
      <c r="J9">
        <v>12</v>
      </c>
    </row>
    <row r="10" spans="1:11" x14ac:dyDescent="0.25">
      <c r="A10" t="s">
        <v>225</v>
      </c>
    </row>
    <row r="11" spans="1:11" x14ac:dyDescent="0.25">
      <c r="B11">
        <v>1</v>
      </c>
      <c r="C11" t="s">
        <v>43</v>
      </c>
      <c r="D11" t="s">
        <v>234</v>
      </c>
      <c r="E11">
        <v>1</v>
      </c>
    </row>
    <row r="12" spans="1:11" x14ac:dyDescent="0.25">
      <c r="B12">
        <v>2</v>
      </c>
      <c r="C12" t="s">
        <v>46</v>
      </c>
      <c r="D12" t="s">
        <v>235</v>
      </c>
      <c r="E12">
        <v>14.646264049799999</v>
      </c>
    </row>
    <row r="13" spans="1:11" x14ac:dyDescent="0.25">
      <c r="B13">
        <v>3</v>
      </c>
      <c r="C13" t="s">
        <v>49</v>
      </c>
      <c r="D13" t="s">
        <v>235</v>
      </c>
      <c r="E13" s="333">
        <v>0.22200781244000001</v>
      </c>
    </row>
    <row r="14" spans="1:11" x14ac:dyDescent="0.25">
      <c r="B14">
        <v>4</v>
      </c>
      <c r="C14" t="s">
        <v>52</v>
      </c>
      <c r="D14" t="s">
        <v>235</v>
      </c>
      <c r="E14" s="333">
        <v>-2.8145955800000001E-2</v>
      </c>
    </row>
    <row r="15" spans="1:11" x14ac:dyDescent="0.25">
      <c r="B15">
        <v>5</v>
      </c>
      <c r="C15" t="s">
        <v>55</v>
      </c>
      <c r="D15" t="s">
        <v>235</v>
      </c>
      <c r="E15">
        <v>9.8040262330000003E-2</v>
      </c>
    </row>
    <row r="16" spans="1:11" x14ac:dyDescent="0.25">
      <c r="B16">
        <v>6</v>
      </c>
      <c r="C16" t="s">
        <v>57</v>
      </c>
      <c r="D16" t="s">
        <v>235</v>
      </c>
      <c r="E16" s="333">
        <v>0.42673478574000001</v>
      </c>
    </row>
    <row r="17" spans="2:6" x14ac:dyDescent="0.25">
      <c r="B17">
        <v>7</v>
      </c>
      <c r="C17" t="s">
        <v>59</v>
      </c>
      <c r="D17" t="s">
        <v>235</v>
      </c>
      <c r="E17">
        <v>-1.7969923454700001</v>
      </c>
    </row>
    <row r="18" spans="2:6" x14ac:dyDescent="0.25">
      <c r="B18">
        <v>8</v>
      </c>
      <c r="C18" t="s">
        <v>62</v>
      </c>
      <c r="D18" t="s">
        <v>235</v>
      </c>
      <c r="E18" s="333">
        <v>1.4351261662999999</v>
      </c>
    </row>
    <row r="19" spans="2:6" x14ac:dyDescent="0.25">
      <c r="B19">
        <v>9</v>
      </c>
      <c r="C19" t="s">
        <v>64</v>
      </c>
      <c r="D19" t="s">
        <v>235</v>
      </c>
      <c r="E19" s="333">
        <v>0.75752967669000004</v>
      </c>
    </row>
    <row r="20" spans="2:6" x14ac:dyDescent="0.25">
      <c r="B20">
        <v>10</v>
      </c>
      <c r="C20" t="s">
        <v>66</v>
      </c>
      <c r="D20" t="s">
        <v>235</v>
      </c>
      <c r="E20">
        <v>-0.30290505894999997</v>
      </c>
    </row>
    <row r="21" spans="2:6" x14ac:dyDescent="0.25">
      <c r="B21">
        <v>11</v>
      </c>
      <c r="C21" t="s">
        <v>68</v>
      </c>
      <c r="D21" t="s">
        <v>235</v>
      </c>
      <c r="E21">
        <v>-0.87303985647000004</v>
      </c>
    </row>
    <row r="22" spans="2:6" x14ac:dyDescent="0.25">
      <c r="B22">
        <v>12</v>
      </c>
      <c r="C22" t="s">
        <v>70</v>
      </c>
      <c r="D22" t="s">
        <v>235</v>
      </c>
      <c r="E22">
        <v>-1.0505382935000001</v>
      </c>
    </row>
    <row r="23" spans="2:6" x14ac:dyDescent="0.25">
      <c r="B23">
        <v>13</v>
      </c>
      <c r="C23" t="s">
        <v>72</v>
      </c>
      <c r="D23" t="s">
        <v>235</v>
      </c>
      <c r="E23">
        <v>-0.48292853740000002</v>
      </c>
    </row>
    <row r="24" spans="2:6" x14ac:dyDescent="0.25">
      <c r="B24">
        <v>14</v>
      </c>
      <c r="C24" t="s">
        <v>74</v>
      </c>
      <c r="D24" t="s">
        <v>235</v>
      </c>
      <c r="E24">
        <v>-0.23954858711999999</v>
      </c>
    </row>
    <row r="25" spans="2:6" x14ac:dyDescent="0.25">
      <c r="B25">
        <v>15</v>
      </c>
      <c r="C25" t="s">
        <v>76</v>
      </c>
      <c r="D25" t="s">
        <v>235</v>
      </c>
      <c r="E25">
        <v>1.8108489737</v>
      </c>
    </row>
    <row r="26" spans="2:6" x14ac:dyDescent="0.25">
      <c r="B26">
        <v>16</v>
      </c>
      <c r="C26" t="s">
        <v>78</v>
      </c>
      <c r="D26" t="s">
        <v>235</v>
      </c>
      <c r="E26">
        <v>0.83658874170999997</v>
      </c>
    </row>
    <row r="27" spans="2:6" x14ac:dyDescent="0.25">
      <c r="B27">
        <v>17</v>
      </c>
      <c r="C27" t="s">
        <v>81</v>
      </c>
      <c r="D27" t="s">
        <v>234</v>
      </c>
      <c r="E27">
        <v>0</v>
      </c>
    </row>
    <row r="28" spans="2:6" x14ac:dyDescent="0.25">
      <c r="B28">
        <v>18</v>
      </c>
      <c r="C28" t="s">
        <v>84</v>
      </c>
      <c r="D28" t="s">
        <v>234</v>
      </c>
      <c r="E28">
        <v>0</v>
      </c>
    </row>
    <row r="29" spans="2:6" x14ac:dyDescent="0.25">
      <c r="B29">
        <v>19</v>
      </c>
      <c r="C29" t="s">
        <v>87</v>
      </c>
      <c r="D29" t="s">
        <v>234</v>
      </c>
      <c r="E29">
        <v>0</v>
      </c>
    </row>
    <row r="30" spans="2:6" x14ac:dyDescent="0.25">
      <c r="B30">
        <v>20</v>
      </c>
      <c r="C30" t="s">
        <v>90</v>
      </c>
      <c r="D30" t="s">
        <v>235</v>
      </c>
      <c r="E30">
        <v>0.62608089853000004</v>
      </c>
      <c r="F30" s="333"/>
    </row>
    <row r="31" spans="2:6" x14ac:dyDescent="0.25">
      <c r="B31">
        <v>21</v>
      </c>
      <c r="C31" t="s">
        <v>92</v>
      </c>
      <c r="D31" t="s">
        <v>235</v>
      </c>
      <c r="E31">
        <v>-8.6146833141499997</v>
      </c>
    </row>
    <row r="32" spans="2:6" x14ac:dyDescent="0.25">
      <c r="B32">
        <v>22</v>
      </c>
      <c r="C32" t="s">
        <v>94</v>
      </c>
      <c r="D32" t="s">
        <v>235</v>
      </c>
      <c r="E32">
        <v>-4.3520185610100004</v>
      </c>
    </row>
    <row r="33" spans="2:6" x14ac:dyDescent="0.25">
      <c r="B33">
        <v>23</v>
      </c>
      <c r="C33" t="s">
        <v>96</v>
      </c>
      <c r="D33" t="s">
        <v>235</v>
      </c>
      <c r="E33">
        <v>-4.3030502527800003</v>
      </c>
    </row>
    <row r="34" spans="2:6" x14ac:dyDescent="0.25">
      <c r="B34">
        <v>24</v>
      </c>
      <c r="C34" t="s">
        <v>98</v>
      </c>
      <c r="D34" t="s">
        <v>235</v>
      </c>
      <c r="E34">
        <v>0.20798702908</v>
      </c>
      <c r="F34" s="333"/>
    </row>
    <row r="35" spans="2:6" x14ac:dyDescent="0.25">
      <c r="B35">
        <v>25</v>
      </c>
      <c r="C35" t="s">
        <v>101</v>
      </c>
      <c r="D35" t="s">
        <v>235</v>
      </c>
      <c r="E35">
        <v>-0.13975410125000001</v>
      </c>
      <c r="F35" s="333"/>
    </row>
    <row r="36" spans="2:6" x14ac:dyDescent="0.25">
      <c r="B36">
        <v>26</v>
      </c>
      <c r="C36" t="s">
        <v>103</v>
      </c>
      <c r="D36" t="s">
        <v>235</v>
      </c>
      <c r="E36">
        <v>0.83837490119000002</v>
      </c>
      <c r="F36" s="333"/>
    </row>
    <row r="37" spans="2:6" x14ac:dyDescent="0.25">
      <c r="B37">
        <v>27</v>
      </c>
      <c r="C37" t="s">
        <v>104</v>
      </c>
      <c r="D37" t="s">
        <v>235</v>
      </c>
      <c r="E37">
        <v>-9.2935231723499996</v>
      </c>
    </row>
    <row r="38" spans="2:6" x14ac:dyDescent="0.25">
      <c r="B38">
        <v>28</v>
      </c>
      <c r="C38" t="s">
        <v>106</v>
      </c>
      <c r="D38" t="s">
        <v>235</v>
      </c>
      <c r="E38">
        <v>-3.4981009168599999</v>
      </c>
    </row>
    <row r="39" spans="2:6" x14ac:dyDescent="0.25">
      <c r="B39">
        <v>29</v>
      </c>
      <c r="C39" t="s">
        <v>107</v>
      </c>
      <c r="D39" t="s">
        <v>235</v>
      </c>
      <c r="E39">
        <v>-3.66532113402</v>
      </c>
    </row>
    <row r="40" spans="2:6" x14ac:dyDescent="0.25">
      <c r="B40">
        <v>30</v>
      </c>
      <c r="C40" t="s">
        <v>108</v>
      </c>
      <c r="D40" t="s">
        <v>235</v>
      </c>
      <c r="E40">
        <v>-2.0884909647700001</v>
      </c>
      <c r="F40" s="333"/>
    </row>
    <row r="41" spans="2:6" x14ac:dyDescent="0.25">
      <c r="B41">
        <v>31</v>
      </c>
      <c r="C41" t="s">
        <v>110</v>
      </c>
      <c r="D41" t="s">
        <v>235</v>
      </c>
      <c r="E41" s="333">
        <v>0.14322267177</v>
      </c>
      <c r="F41" s="333"/>
    </row>
    <row r="42" spans="2:6" x14ac:dyDescent="0.25">
      <c r="B42">
        <v>32</v>
      </c>
      <c r="C42" t="s">
        <v>112</v>
      </c>
      <c r="D42" t="s">
        <v>235</v>
      </c>
      <c r="E42">
        <v>-0.14826541710999999</v>
      </c>
      <c r="F42" s="333"/>
    </row>
    <row r="43" spans="2:6" x14ac:dyDescent="0.25">
      <c r="B43">
        <v>33</v>
      </c>
      <c r="C43" t="s">
        <v>114</v>
      </c>
      <c r="D43" t="s">
        <v>235</v>
      </c>
      <c r="E43">
        <v>0.18525614085</v>
      </c>
      <c r="F43" s="333"/>
    </row>
    <row r="44" spans="2:6" x14ac:dyDescent="0.25">
      <c r="B44">
        <v>34</v>
      </c>
      <c r="C44" t="s">
        <v>116</v>
      </c>
      <c r="D44" t="s">
        <v>235</v>
      </c>
      <c r="E44">
        <v>-0.10344899338999999</v>
      </c>
      <c r="F44" s="333"/>
    </row>
    <row r="45" spans="2:6" x14ac:dyDescent="0.25">
      <c r="B45">
        <v>35</v>
      </c>
      <c r="C45" t="s">
        <v>119</v>
      </c>
      <c r="D45" t="s">
        <v>235</v>
      </c>
      <c r="E45" s="333">
        <v>7.5098801229999998E-2</v>
      </c>
      <c r="F45" s="333"/>
    </row>
    <row r="46" spans="2:6" x14ac:dyDescent="0.25">
      <c r="B46">
        <v>36</v>
      </c>
      <c r="C46" t="s">
        <v>121</v>
      </c>
      <c r="D46" t="s">
        <v>235</v>
      </c>
      <c r="E46" s="333">
        <v>1.1126386876900001</v>
      </c>
      <c r="F46" s="333"/>
    </row>
    <row r="47" spans="2:6" x14ac:dyDescent="0.25">
      <c r="B47">
        <v>37</v>
      </c>
      <c r="C47" t="s">
        <v>122</v>
      </c>
      <c r="D47" t="s">
        <v>235</v>
      </c>
      <c r="E47">
        <v>-7.8810597731899996</v>
      </c>
    </row>
    <row r="48" spans="2:6" x14ac:dyDescent="0.25">
      <c r="B48">
        <v>38</v>
      </c>
      <c r="C48" t="s">
        <v>124</v>
      </c>
      <c r="D48" t="s">
        <v>235</v>
      </c>
      <c r="E48">
        <v>-8.0062297029800007</v>
      </c>
    </row>
    <row r="49" spans="2:6" x14ac:dyDescent="0.25">
      <c r="B49">
        <v>39</v>
      </c>
      <c r="C49" t="s">
        <v>125</v>
      </c>
      <c r="D49" t="s">
        <v>235</v>
      </c>
      <c r="E49">
        <v>-3.4078711737399998</v>
      </c>
    </row>
    <row r="50" spans="2:6" x14ac:dyDescent="0.25">
      <c r="B50">
        <v>40</v>
      </c>
      <c r="C50" t="s">
        <v>126</v>
      </c>
      <c r="D50" t="s">
        <v>235</v>
      </c>
      <c r="E50">
        <v>-0.63093266528000003</v>
      </c>
    </row>
    <row r="51" spans="2:6" x14ac:dyDescent="0.25">
      <c r="B51">
        <v>41</v>
      </c>
      <c r="C51" t="s">
        <v>127</v>
      </c>
      <c r="D51" t="s">
        <v>235</v>
      </c>
      <c r="E51">
        <v>-0.13916826495000001</v>
      </c>
      <c r="F51" s="333"/>
    </row>
    <row r="52" spans="2:6" x14ac:dyDescent="0.25">
      <c r="B52">
        <v>42</v>
      </c>
      <c r="C52" t="s">
        <v>129</v>
      </c>
      <c r="D52" t="s">
        <v>235</v>
      </c>
      <c r="E52">
        <v>0.51094315161000003</v>
      </c>
      <c r="F52" s="333"/>
    </row>
    <row r="53" spans="2:6" x14ac:dyDescent="0.25">
      <c r="B53">
        <v>43</v>
      </c>
      <c r="C53" t="s">
        <v>131</v>
      </c>
      <c r="D53" t="s">
        <v>235</v>
      </c>
      <c r="E53">
        <v>0.71812285494999994</v>
      </c>
      <c r="F53" s="333"/>
    </row>
    <row r="54" spans="2:6" x14ac:dyDescent="0.25">
      <c r="B54">
        <v>44</v>
      </c>
      <c r="C54" t="s">
        <v>132</v>
      </c>
      <c r="D54" t="s">
        <v>235</v>
      </c>
      <c r="E54">
        <v>-15.14732909554</v>
      </c>
    </row>
    <row r="55" spans="2:6" x14ac:dyDescent="0.25">
      <c r="B55">
        <v>45</v>
      </c>
      <c r="C55" t="s">
        <v>134</v>
      </c>
      <c r="D55" t="s">
        <v>235</v>
      </c>
      <c r="E55">
        <v>-4.0821681896699999</v>
      </c>
    </row>
    <row r="56" spans="2:6" x14ac:dyDescent="0.25">
      <c r="B56">
        <v>46</v>
      </c>
      <c r="C56" t="s">
        <v>136</v>
      </c>
      <c r="D56" t="s">
        <v>235</v>
      </c>
      <c r="E56">
        <v>-1.9121090734599999</v>
      </c>
    </row>
    <row r="57" spans="2:6" x14ac:dyDescent="0.25">
      <c r="B57">
        <v>47</v>
      </c>
      <c r="C57" t="s">
        <v>138</v>
      </c>
      <c r="D57" t="s">
        <v>235</v>
      </c>
      <c r="E57">
        <v>-1.3851302912200001</v>
      </c>
    </row>
    <row r="58" spans="2:6" x14ac:dyDescent="0.25">
      <c r="B58">
        <v>48</v>
      </c>
      <c r="C58" t="s">
        <v>141</v>
      </c>
      <c r="D58" t="s">
        <v>235</v>
      </c>
      <c r="E58">
        <v>0.18770524043</v>
      </c>
      <c r="F58" s="333"/>
    </row>
    <row r="59" spans="2:6" x14ac:dyDescent="0.25">
      <c r="B59">
        <v>49</v>
      </c>
      <c r="C59" t="s">
        <v>143</v>
      </c>
      <c r="D59" t="s">
        <v>235</v>
      </c>
      <c r="E59">
        <v>0.75868423218000003</v>
      </c>
      <c r="F59" s="333"/>
    </row>
    <row r="60" spans="2:6" x14ac:dyDescent="0.25">
      <c r="B60">
        <v>50</v>
      </c>
      <c r="C60" t="s">
        <v>144</v>
      </c>
      <c r="D60" t="s">
        <v>235</v>
      </c>
      <c r="E60">
        <v>-12.328736929270001</v>
      </c>
    </row>
    <row r="61" spans="2:6" x14ac:dyDescent="0.25">
      <c r="B61">
        <v>51</v>
      </c>
      <c r="C61" t="s">
        <v>145</v>
      </c>
      <c r="D61" t="s">
        <v>235</v>
      </c>
      <c r="E61">
        <v>-3.5397838928000001</v>
      </c>
    </row>
    <row r="62" spans="2:6" x14ac:dyDescent="0.25">
      <c r="B62">
        <v>52</v>
      </c>
      <c r="C62" t="s">
        <v>146</v>
      </c>
      <c r="D62" t="s">
        <v>235</v>
      </c>
      <c r="E62">
        <v>-2.9872601469900002</v>
      </c>
    </row>
    <row r="63" spans="2:6" x14ac:dyDescent="0.25">
      <c r="B63">
        <v>53</v>
      </c>
      <c r="C63" t="s">
        <v>147</v>
      </c>
      <c r="D63" t="s">
        <v>235</v>
      </c>
      <c r="E63">
        <v>-2.1164645742500001</v>
      </c>
    </row>
    <row r="64" spans="2:6" x14ac:dyDescent="0.25">
      <c r="B64">
        <v>54</v>
      </c>
      <c r="C64" t="s">
        <v>148</v>
      </c>
      <c r="D64" t="s">
        <v>235</v>
      </c>
      <c r="E64">
        <v>0.21263122743000001</v>
      </c>
      <c r="F64" s="333"/>
    </row>
    <row r="65" spans="2:6" x14ac:dyDescent="0.25">
      <c r="B65">
        <v>55</v>
      </c>
      <c r="C65" t="s">
        <v>150</v>
      </c>
      <c r="D65" t="s">
        <v>235</v>
      </c>
      <c r="E65">
        <v>0.43455667627</v>
      </c>
      <c r="F65" s="333"/>
    </row>
    <row r="66" spans="2:6" x14ac:dyDescent="0.25">
      <c r="B66">
        <v>56</v>
      </c>
      <c r="C66" t="s">
        <v>151</v>
      </c>
      <c r="D66" t="s">
        <v>235</v>
      </c>
      <c r="E66">
        <v>-0.77182497547999995</v>
      </c>
      <c r="F66" s="333"/>
    </row>
    <row r="67" spans="2:6" x14ac:dyDescent="0.25">
      <c r="B67">
        <v>57</v>
      </c>
      <c r="C67" t="s">
        <v>152</v>
      </c>
      <c r="D67" t="s">
        <v>235</v>
      </c>
      <c r="E67" s="333">
        <v>7.732925786E-2</v>
      </c>
      <c r="F67" s="333"/>
    </row>
    <row r="68" spans="2:6" x14ac:dyDescent="0.25">
      <c r="B68">
        <v>70</v>
      </c>
      <c r="C68" t="s">
        <v>153</v>
      </c>
      <c r="D68" t="s">
        <v>235</v>
      </c>
      <c r="E68" s="333">
        <v>0.28212328097</v>
      </c>
      <c r="F68" s="333"/>
    </row>
    <row r="69" spans="2:6" x14ac:dyDescent="0.25">
      <c r="B69">
        <v>71</v>
      </c>
      <c r="C69" t="s">
        <v>154</v>
      </c>
      <c r="D69" t="s">
        <v>234</v>
      </c>
      <c r="E69">
        <v>0</v>
      </c>
      <c r="F69" s="333"/>
    </row>
    <row r="70" spans="2:6" x14ac:dyDescent="0.25">
      <c r="B70">
        <v>72</v>
      </c>
      <c r="C70" t="s">
        <v>156</v>
      </c>
      <c r="D70" t="s">
        <v>235</v>
      </c>
      <c r="E70">
        <v>-3.71465268105</v>
      </c>
    </row>
    <row r="71" spans="2:6" x14ac:dyDescent="0.25">
      <c r="B71">
        <v>73</v>
      </c>
      <c r="C71" t="s">
        <v>158</v>
      </c>
      <c r="D71" t="s">
        <v>235</v>
      </c>
      <c r="E71">
        <v>-2.3682469103699999</v>
      </c>
    </row>
    <row r="72" spans="2:6" x14ac:dyDescent="0.25">
      <c r="B72">
        <v>74</v>
      </c>
      <c r="C72" t="s">
        <v>160</v>
      </c>
      <c r="D72" t="s">
        <v>235</v>
      </c>
      <c r="E72">
        <v>-2.6135679522899999</v>
      </c>
    </row>
    <row r="73" spans="2:6" x14ac:dyDescent="0.25">
      <c r="B73">
        <v>75</v>
      </c>
      <c r="C73" t="s">
        <v>162</v>
      </c>
      <c r="D73" t="s">
        <v>235</v>
      </c>
      <c r="E73">
        <v>-3.2783954524199999</v>
      </c>
    </row>
    <row r="74" spans="2:6" x14ac:dyDescent="0.25">
      <c r="B74">
        <v>76</v>
      </c>
      <c r="C74" t="s">
        <v>164</v>
      </c>
      <c r="D74" t="s">
        <v>235</v>
      </c>
      <c r="E74">
        <v>-2.7864533272199998</v>
      </c>
    </row>
    <row r="75" spans="2:6" x14ac:dyDescent="0.25">
      <c r="B75">
        <v>77</v>
      </c>
      <c r="C75" t="s">
        <v>166</v>
      </c>
      <c r="D75" t="s">
        <v>235</v>
      </c>
      <c r="E75">
        <v>-2.4397388537100002</v>
      </c>
    </row>
    <row r="76" spans="2:6" x14ac:dyDescent="0.25">
      <c r="B76">
        <v>78</v>
      </c>
      <c r="C76" t="s">
        <v>168</v>
      </c>
      <c r="D76" t="s">
        <v>235</v>
      </c>
      <c r="E76">
        <v>-3.8618208476799998</v>
      </c>
    </row>
    <row r="77" spans="2:6" x14ac:dyDescent="0.25">
      <c r="B77">
        <v>79</v>
      </c>
      <c r="C77" t="s">
        <v>170</v>
      </c>
      <c r="D77" t="s">
        <v>235</v>
      </c>
      <c r="E77">
        <v>-21.721852511200002</v>
      </c>
    </row>
    <row r="78" spans="2:6" x14ac:dyDescent="0.25">
      <c r="B78">
        <v>80</v>
      </c>
      <c r="C78" t="s">
        <v>172</v>
      </c>
      <c r="D78" t="s">
        <v>235</v>
      </c>
      <c r="E78">
        <v>-1.01264089672</v>
      </c>
    </row>
    <row r="79" spans="2:6" x14ac:dyDescent="0.25">
      <c r="B79">
        <v>81</v>
      </c>
      <c r="C79" t="s">
        <v>174</v>
      </c>
      <c r="D79" t="s">
        <v>235</v>
      </c>
      <c r="E79">
        <v>-5.1766396376000001</v>
      </c>
    </row>
    <row r="80" spans="2:6" x14ac:dyDescent="0.25">
      <c r="B80">
        <v>82</v>
      </c>
      <c r="C80" t="s">
        <v>176</v>
      </c>
      <c r="D80" t="s">
        <v>235</v>
      </c>
      <c r="E80">
        <v>-2.28857439545</v>
      </c>
    </row>
    <row r="81" spans="2:5" x14ac:dyDescent="0.25">
      <c r="B81">
        <v>83</v>
      </c>
      <c r="C81" t="s">
        <v>177</v>
      </c>
      <c r="D81" t="s">
        <v>235</v>
      </c>
      <c r="E81">
        <v>-3.4002747143900001</v>
      </c>
    </row>
    <row r="82" spans="2:5" x14ac:dyDescent="0.25">
      <c r="B82">
        <v>84</v>
      </c>
      <c r="C82" t="s">
        <v>179</v>
      </c>
      <c r="D82" t="s">
        <v>235</v>
      </c>
      <c r="E82">
        <v>-1.5824120396100001</v>
      </c>
    </row>
    <row r="83" spans="2:5" x14ac:dyDescent="0.25">
      <c r="B83">
        <v>85</v>
      </c>
      <c r="C83" t="s">
        <v>181</v>
      </c>
      <c r="D83" t="s">
        <v>235</v>
      </c>
      <c r="E83">
        <v>-3.8472578798099999</v>
      </c>
    </row>
    <row r="84" spans="2:5" x14ac:dyDescent="0.25">
      <c r="B84">
        <v>86</v>
      </c>
      <c r="C84" t="s">
        <v>183</v>
      </c>
      <c r="D84" t="s">
        <v>235</v>
      </c>
      <c r="E84">
        <v>-3.1031248195800001</v>
      </c>
    </row>
    <row r="85" spans="2:5" x14ac:dyDescent="0.25">
      <c r="B85">
        <v>87</v>
      </c>
      <c r="C85" t="s">
        <v>185</v>
      </c>
      <c r="D85" t="s">
        <v>235</v>
      </c>
      <c r="E85">
        <v>-19.5604248241</v>
      </c>
    </row>
    <row r="86" spans="2:5" x14ac:dyDescent="0.25">
      <c r="B86">
        <v>88</v>
      </c>
      <c r="C86" t="s">
        <v>187</v>
      </c>
      <c r="D86" t="s">
        <v>234</v>
      </c>
      <c r="E86">
        <v>0</v>
      </c>
    </row>
    <row r="87" spans="2:5" x14ac:dyDescent="0.25">
      <c r="B87">
        <v>89</v>
      </c>
      <c r="C87" t="s">
        <v>189</v>
      </c>
      <c r="D87" t="s">
        <v>235</v>
      </c>
      <c r="E87">
        <v>-5.3998296944700002</v>
      </c>
    </row>
    <row r="88" spans="2:5" x14ac:dyDescent="0.25">
      <c r="B88">
        <v>90</v>
      </c>
      <c r="C88" t="s">
        <v>191</v>
      </c>
      <c r="D88" t="s">
        <v>235</v>
      </c>
      <c r="E88">
        <v>-17.4219403528</v>
      </c>
    </row>
    <row r="89" spans="2:5" x14ac:dyDescent="0.25">
      <c r="B89">
        <v>91</v>
      </c>
      <c r="C89" t="s">
        <v>193</v>
      </c>
      <c r="D89" t="s">
        <v>235</v>
      </c>
      <c r="E89">
        <v>-10.161549352</v>
      </c>
    </row>
    <row r="90" spans="2:5" x14ac:dyDescent="0.25">
      <c r="B90">
        <v>92</v>
      </c>
      <c r="C90" t="s">
        <v>195</v>
      </c>
      <c r="D90" t="s">
        <v>235</v>
      </c>
      <c r="E90">
        <v>-0.87415121182</v>
      </c>
    </row>
    <row r="91" spans="2:5" x14ac:dyDescent="0.25">
      <c r="B91">
        <v>93</v>
      </c>
      <c r="C91" t="s">
        <v>197</v>
      </c>
      <c r="D91" t="s">
        <v>235</v>
      </c>
      <c r="E91">
        <v>-0.74080192435000003</v>
      </c>
    </row>
    <row r="92" spans="2:5" x14ac:dyDescent="0.25">
      <c r="B92">
        <v>94</v>
      </c>
      <c r="C92" t="s">
        <v>199</v>
      </c>
      <c r="D92" t="s">
        <v>234</v>
      </c>
      <c r="E92">
        <v>0</v>
      </c>
    </row>
    <row r="93" spans="2:5" x14ac:dyDescent="0.25">
      <c r="B93">
        <v>95</v>
      </c>
      <c r="C93" t="s">
        <v>201</v>
      </c>
      <c r="D93" t="s">
        <v>235</v>
      </c>
      <c r="E93">
        <v>-10.7800625269</v>
      </c>
    </row>
    <row r="94" spans="2:5" x14ac:dyDescent="0.25">
      <c r="B94">
        <v>96</v>
      </c>
      <c r="C94" t="s">
        <v>203</v>
      </c>
      <c r="D94" t="s">
        <v>235</v>
      </c>
      <c r="E94">
        <v>-17.598302231800002</v>
      </c>
    </row>
    <row r="95" spans="2:5" x14ac:dyDescent="0.25">
      <c r="B95">
        <v>97</v>
      </c>
      <c r="C95" t="s">
        <v>205</v>
      </c>
      <c r="D95" t="s">
        <v>235</v>
      </c>
      <c r="E95">
        <v>-7.3399914692000001</v>
      </c>
    </row>
    <row r="96" spans="2:5" x14ac:dyDescent="0.25">
      <c r="B96">
        <v>98</v>
      </c>
      <c r="C96" t="s">
        <v>207</v>
      </c>
      <c r="D96" t="s">
        <v>235</v>
      </c>
      <c r="E96">
        <v>-11.813486662400001</v>
      </c>
    </row>
    <row r="97" spans="2:5" x14ac:dyDescent="0.25">
      <c r="B97">
        <v>99</v>
      </c>
      <c r="C97" t="s">
        <v>208</v>
      </c>
      <c r="D97" t="s">
        <v>235</v>
      </c>
      <c r="E97">
        <v>-12.070734291200001</v>
      </c>
    </row>
    <row r="98" spans="2:5" x14ac:dyDescent="0.25">
      <c r="B98">
        <v>100</v>
      </c>
      <c r="C98" t="s">
        <v>209</v>
      </c>
      <c r="D98" t="s">
        <v>234</v>
      </c>
      <c r="E98">
        <v>0</v>
      </c>
    </row>
    <row r="99" spans="2:5" x14ac:dyDescent="0.25">
      <c r="B99">
        <v>101</v>
      </c>
      <c r="C99" t="s">
        <v>210</v>
      </c>
      <c r="D99" t="s">
        <v>235</v>
      </c>
      <c r="E99">
        <v>-11.328569288200001</v>
      </c>
    </row>
    <row r="100" spans="2:5" x14ac:dyDescent="0.25">
      <c r="B100">
        <v>102</v>
      </c>
      <c r="C100" t="s">
        <v>211</v>
      </c>
      <c r="D100" t="s">
        <v>234</v>
      </c>
      <c r="E100">
        <v>0</v>
      </c>
    </row>
    <row r="101" spans="2:5" x14ac:dyDescent="0.25">
      <c r="B101">
        <v>103</v>
      </c>
      <c r="C101" t="s">
        <v>212</v>
      </c>
      <c r="D101" t="s">
        <v>235</v>
      </c>
      <c r="E101">
        <v>-12.623617921899999</v>
      </c>
    </row>
    <row r="102" spans="2:5" x14ac:dyDescent="0.25">
      <c r="B102">
        <v>104</v>
      </c>
      <c r="C102" t="s">
        <v>213</v>
      </c>
      <c r="D102" t="s">
        <v>235</v>
      </c>
      <c r="E102">
        <v>-12.9367414966</v>
      </c>
    </row>
    <row r="103" spans="2:5" x14ac:dyDescent="0.25">
      <c r="B103">
        <v>105</v>
      </c>
      <c r="C103" t="s">
        <v>214</v>
      </c>
      <c r="D103" t="s">
        <v>235</v>
      </c>
      <c r="E103">
        <v>-21.748737142</v>
      </c>
    </row>
    <row r="104" spans="2:5" x14ac:dyDescent="0.25">
      <c r="B104">
        <v>106</v>
      </c>
      <c r="C104" t="s">
        <v>215</v>
      </c>
      <c r="D104" t="s">
        <v>235</v>
      </c>
      <c r="E104">
        <v>-1.1770951513500001</v>
      </c>
    </row>
    <row r="105" spans="2:5" x14ac:dyDescent="0.25">
      <c r="B105">
        <v>107</v>
      </c>
      <c r="C105" t="s">
        <v>216</v>
      </c>
      <c r="D105" t="s">
        <v>235</v>
      </c>
      <c r="E105">
        <v>-1.0914895580199999</v>
      </c>
    </row>
    <row r="106" spans="2:5" x14ac:dyDescent="0.25">
      <c r="B106">
        <v>108</v>
      </c>
      <c r="C106" t="s">
        <v>218</v>
      </c>
      <c r="D106" t="s">
        <v>235</v>
      </c>
      <c r="E106">
        <v>-6.6396727717899999</v>
      </c>
    </row>
    <row r="107" spans="2:5" x14ac:dyDescent="0.25">
      <c r="B107">
        <v>109</v>
      </c>
      <c r="C107" t="s">
        <v>219</v>
      </c>
      <c r="D107" t="s">
        <v>235</v>
      </c>
      <c r="E107">
        <v>-6.1680097229099999</v>
      </c>
    </row>
    <row r="108" spans="2:5" x14ac:dyDescent="0.25">
      <c r="B108">
        <v>110</v>
      </c>
      <c r="C108" t="s">
        <v>220</v>
      </c>
      <c r="D108" t="s">
        <v>235</v>
      </c>
      <c r="E108">
        <v>-2.9287550310000001</v>
      </c>
    </row>
    <row r="109" spans="2:5" x14ac:dyDescent="0.25">
      <c r="B109">
        <v>111</v>
      </c>
      <c r="C109" t="s">
        <v>221</v>
      </c>
      <c r="D109" t="s">
        <v>234</v>
      </c>
      <c r="E109">
        <v>0</v>
      </c>
    </row>
    <row r="110" spans="2:5" x14ac:dyDescent="0.25">
      <c r="B110">
        <v>112</v>
      </c>
      <c r="C110" t="s">
        <v>222</v>
      </c>
      <c r="D110" t="s">
        <v>234</v>
      </c>
      <c r="E110">
        <v>0</v>
      </c>
    </row>
    <row r="111" spans="2:5" x14ac:dyDescent="0.25">
      <c r="B111">
        <v>113</v>
      </c>
      <c r="C111" t="s">
        <v>224</v>
      </c>
      <c r="D111" t="s">
        <v>235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235</v>
      </c>
      <c r="E112">
        <v>-0.8</v>
      </c>
    </row>
    <row r="113" spans="2:11" x14ac:dyDescent="0.25">
      <c r="B113">
        <v>115</v>
      </c>
      <c r="C113" s="333" t="s">
        <v>276</v>
      </c>
      <c r="D113" s="333" t="s">
        <v>235</v>
      </c>
      <c r="E113" s="333">
        <v>-0.8</v>
      </c>
    </row>
    <row r="114" spans="2:11" x14ac:dyDescent="0.25">
      <c r="B114">
        <v>116</v>
      </c>
      <c r="C114" s="333" t="s">
        <v>277</v>
      </c>
      <c r="D114" s="333" t="s">
        <v>235</v>
      </c>
      <c r="E114" s="333">
        <v>-0.8</v>
      </c>
    </row>
    <row r="115" spans="2:11" x14ac:dyDescent="0.25">
      <c r="B115">
        <v>117</v>
      </c>
      <c r="C115" t="s">
        <v>278</v>
      </c>
      <c r="D115" t="s">
        <v>235</v>
      </c>
      <c r="E115">
        <v>-0.8</v>
      </c>
    </row>
    <row r="116" spans="2:11" x14ac:dyDescent="0.25">
      <c r="B116">
        <v>118</v>
      </c>
      <c r="C116" t="s">
        <v>279</v>
      </c>
      <c r="D116" t="s">
        <v>235</v>
      </c>
      <c r="E116">
        <v>-0.8</v>
      </c>
    </row>
    <row r="117" spans="2:11" x14ac:dyDescent="0.25">
      <c r="B117">
        <v>119</v>
      </c>
      <c r="C117" t="s">
        <v>279</v>
      </c>
      <c r="D117" t="s">
        <v>235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3">
        <v>-7606.4609487099997</v>
      </c>
      <c r="D119" s="333">
        <v>-24173.951410599999</v>
      </c>
      <c r="E119" s="333">
        <v>-15526.77065</v>
      </c>
    </row>
    <row r="120" spans="2:11" x14ac:dyDescent="0.25">
      <c r="B120">
        <v>2</v>
      </c>
      <c r="C120" t="s">
        <v>280</v>
      </c>
      <c r="D120" t="s">
        <v>233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11"/>
  <sheetViews>
    <sheetView workbookViewId="0" zoomScaleNormal="100">
      <selection activeCell="P104" sqref="P104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252</v>
      </c>
      <c r="S1" s="296"/>
      <c r="T1" s="296" t="s">
        <v>252</v>
      </c>
      <c r="U1" s="319"/>
      <c r="V1" s="319"/>
      <c r="W1" s="319"/>
    </row>
    <row ht="15.75" r="2" spans="3:23" thickBot="1" x14ac:dyDescent="0.3">
      <c r="C2" s="296" t="s">
        <v>41</v>
      </c>
      <c r="M2" s="10" t="s">
        <v>89</v>
      </c>
      <c r="N2" s="10" t="s">
        <v>248</v>
      </c>
      <c r="O2" s="10" t="s">
        <v>249</v>
      </c>
      <c r="P2" s="358" t="s">
        <v>253</v>
      </c>
      <c r="Q2" s="355" t="s">
        <v>251</v>
      </c>
      <c r="T2" s="319"/>
      <c r="U2" s="296" t="s">
        <v>254</v>
      </c>
      <c r="V2"/>
      <c r="W2" s="319"/>
    </row>
    <row r="3" spans="3:23" x14ac:dyDescent="0.25">
      <c r="C3" s="298" t="s">
        <v>3</v>
      </c>
      <c r="D3" s="299" t="s">
        <v>42</v>
      </c>
      <c r="F3" s="298" t="s">
        <v>3</v>
      </c>
      <c r="G3" s="299" t="s">
        <v>42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19"/>
    </row>
    <row r="4" spans="3:23" x14ac:dyDescent="0.25">
      <c r="C4" s="301" t="s">
        <v>45</v>
      </c>
      <c r="D4" s="302">
        <f>TLFD!B11</f>
        <v>24059.181325000001</v>
      </c>
      <c r="F4" s="301" t="s">
        <v>45</v>
      </c>
      <c r="G4" s="302">
        <f>TLFD!F11</f>
        <v>25112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14.646264049799999</v>
      </c>
      <c r="Q4" s="356">
        <f>_xlfn.IFNA(VLOOKUP(N4,$B$43:$D$46,3,FALSE),P4)</f>
        <v>14.646264049799999</v>
      </c>
      <c r="T4">
        <v>2</v>
      </c>
      <c r="U4" s="293" t="s">
        <v>255</v>
      </c>
      <c r="V4"/>
      <c r="W4" s="319"/>
    </row>
    <row r="5" spans="3:23" x14ac:dyDescent="0.25">
      <c r="C5" s="304" t="s">
        <v>48</v>
      </c>
      <c r="D5" s="305">
        <f>TLFD!B12+TLFD!B13+(TLFD!B14/2)</f>
        <v>45911.841598500003</v>
      </c>
      <c r="F5" s="304" t="s">
        <v>48</v>
      </c>
      <c r="G5" s="305">
        <f>TLFD!F12+TLFD!F13+(TLFD!F14/2)</f>
        <v>81366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0.22200781244000001</v>
      </c>
      <c r="Q5" s="356">
        <f ref="Q5:Q68" si="0" t="shared">_xlfn.IFNA(VLOOKUP(N5,$B$43:$D$46,3,FALSE),P5)</f>
        <v>0.22200781244000001</v>
      </c>
      <c r="T5">
        <v>3</v>
      </c>
      <c r="U5" s="319" t="s">
        <v>256</v>
      </c>
      <c r="V5" s="319"/>
      <c r="W5" s="319"/>
    </row>
    <row r="6" spans="3:23" x14ac:dyDescent="0.25">
      <c r="C6" s="304" t="s">
        <v>51</v>
      </c>
      <c r="D6" s="305">
        <f>(TLFD!B14/2)+SUM(TLFD!B15:B20)</f>
        <v>84338.116838500006</v>
      </c>
      <c r="F6" s="304" t="s">
        <v>51</v>
      </c>
      <c r="G6" s="305">
        <f>(TLFD!F14/2)+SUM(TLFD!F15:F20)</f>
        <v>83521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-2.8145955800000001E-2</v>
      </c>
      <c r="Q6" s="356">
        <f si="0" t="shared"/>
        <v>-2.8145955800000001E-2</v>
      </c>
      <c r="T6">
        <v>4</v>
      </c>
      <c r="U6" s="319" t="s">
        <v>257</v>
      </c>
      <c r="V6" s="319"/>
      <c r="W6" s="319"/>
    </row>
    <row r="7" spans="3:23" x14ac:dyDescent="0.25">
      <c r="C7" s="307" t="s">
        <v>54</v>
      </c>
      <c r="D7" s="308">
        <f>SUM(TLFD!B21:B101)</f>
        <v>31936.155549999996</v>
      </c>
      <c r="F7" s="307" t="s">
        <v>54</v>
      </c>
      <c r="G7" s="308">
        <f>SUM(TLFD!F21:F101)</f>
        <v>41439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9.8040262330000003E-2</v>
      </c>
      <c r="Q7" s="356">
        <f si="0" t="shared"/>
        <v>9.8040262330000003E-2</v>
      </c>
      <c r="T7" s="319">
        <v>5</v>
      </c>
      <c r="U7" s="319" t="s">
        <v>258</v>
      </c>
      <c r="V7" s="319"/>
      <c r="W7" s="319"/>
    </row>
    <row ht="15.75" r="8" spans="3:23" thickBot="1" x14ac:dyDescent="0.3">
      <c r="C8" s="310" t="s">
        <v>4</v>
      </c>
      <c r="D8" s="311">
        <f>SUM(D4:D7)</f>
        <v>186245.295312</v>
      </c>
      <c r="E8" s="312"/>
      <c r="F8" s="310" t="s">
        <v>4</v>
      </c>
      <c r="G8" s="311">
        <f>SUM(G4:G7)</f>
        <v>231438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0.42673478574000001</v>
      </c>
      <c r="Q8" s="356">
        <f si="0" t="shared"/>
        <v>0.42673478574000001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-1.7969923454700001</v>
      </c>
      <c r="Q9" s="356">
        <f si="0" t="shared"/>
        <v>-1.7969923454700001</v>
      </c>
      <c r="T9" s="319"/>
      <c r="U9" s="357" t="s">
        <v>259</v>
      </c>
      <c r="V9" s="319"/>
      <c r="W9" s="319"/>
    </row>
    <row ht="15.75" r="10" spans="3:23" thickBot="1" x14ac:dyDescent="0.3">
      <c r="C10" s="313" t="s">
        <v>61</v>
      </c>
      <c r="I10" s="377" t="s">
        <v>271</v>
      </c>
      <c r="J10" s="373"/>
      <c r="K10" s="373"/>
      <c r="L10" s="300" t="s">
        <v>272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1.4351261662999999</v>
      </c>
      <c r="Q10" s="356">
        <f si="0" t="shared"/>
        <v>1.4351261662999999</v>
      </c>
      <c r="T10" s="319">
        <v>1</v>
      </c>
      <c r="U10" s="293" t="s">
        <v>282</v>
      </c>
      <c r="V10" s="319"/>
      <c r="W10" s="319"/>
    </row>
    <row r="11" spans="3:23" x14ac:dyDescent="0.25">
      <c r="C11" s="298" t="s">
        <v>3</v>
      </c>
      <c r="D11" s="299" t="s">
        <v>42</v>
      </c>
      <c r="F11" s="298" t="s">
        <v>3</v>
      </c>
      <c r="G11" s="299" t="s">
        <v>42</v>
      </c>
      <c r="H11" s="366"/>
      <c r="I11" s="299" t="s">
        <v>268</v>
      </c>
      <c r="J11" s="299" t="s">
        <v>269</v>
      </c>
      <c r="K11" s="299" t="s">
        <v>270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0.75752967669000004</v>
      </c>
      <c r="Q11" s="356">
        <f si="0" t="shared"/>
        <v>0.75752967669000004</v>
      </c>
      <c r="T11" s="319">
        <v>2</v>
      </c>
      <c r="U11" s="319" t="s">
        <v>260</v>
      </c>
      <c r="V11" s="319"/>
      <c r="W11" s="319"/>
    </row>
    <row r="12" spans="3:23" x14ac:dyDescent="0.25">
      <c r="C12" s="301" t="s">
        <v>45</v>
      </c>
      <c r="D12" s="315">
        <f>D4/D$8</f>
        <v>0.12918007558094724</v>
      </c>
      <c r="F12" s="301" t="s">
        <v>45</v>
      </c>
      <c r="G12" s="315">
        <f>G4/G$8</f>
        <v>0.10850422143295396</v>
      </c>
      <c r="H12" s="315"/>
      <c r="I12" s="371">
        <f>D12/G12</f>
        <v>1.1905534538190214</v>
      </c>
      <c r="J12" s="370">
        <f>L12*LN(I12)</f>
        <v>0</v>
      </c>
      <c r="K12" s="370">
        <f>J12</f>
        <v>0</v>
      </c>
      <c r="L12" s="371">
        <v>0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-0.30290505894999997</v>
      </c>
      <c r="Q12" s="356">
        <f si="0" t="shared"/>
        <v>-0.30290505894999997</v>
      </c>
      <c r="T12" s="319">
        <v>3</v>
      </c>
      <c r="U12" s="319" t="s">
        <v>261</v>
      </c>
      <c r="V12" s="319"/>
      <c r="W12" s="319"/>
    </row>
    <row r="13" spans="3:23" x14ac:dyDescent="0.25">
      <c r="C13" s="304" t="s">
        <v>48</v>
      </c>
      <c r="D13" s="316">
        <f ref="D13:D16" si="1" t="shared">D5/D$8</f>
        <v>0.24651275900198188</v>
      </c>
      <c r="F13" s="304" t="s">
        <v>48</v>
      </c>
      <c r="G13" s="316">
        <f ref="G13:G16" si="2" t="shared">G5/G$8</f>
        <v>0.35156715837502917</v>
      </c>
      <c r="H13" s="316"/>
      <c r="I13" s="371">
        <f ref="I13" si="3" t="shared">D13/G13</f>
        <v>0.70118255681612329</v>
      </c>
      <c r="J13" s="370">
        <f>L13*LN(I13)</f>
        <v>-0.35498700243368891</v>
      </c>
      <c r="K13" s="370">
        <f>J13-J12</f>
        <v>-0.35498700243368891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-0.87303985647000004</v>
      </c>
      <c r="Q13" s="356">
        <f si="0" t="shared"/>
        <v>-0.87303985647000004</v>
      </c>
      <c r="T13" s="319">
        <v>4</v>
      </c>
      <c r="U13" s="319" t="s">
        <v>262</v>
      </c>
      <c r="V13" s="319"/>
      <c r="W13" s="319"/>
    </row>
    <row r="14" spans="3:23" x14ac:dyDescent="0.25">
      <c r="C14" s="304" t="s">
        <v>51</v>
      </c>
      <c r="D14" s="316">
        <f si="1" t="shared"/>
        <v>0.45283354243776164</v>
      </c>
      <c r="F14" s="304" t="s">
        <v>51</v>
      </c>
      <c r="G14" s="316">
        <f si="2" t="shared"/>
        <v>0.36087850741883354</v>
      </c>
      <c r="H14" s="316"/>
      <c r="I14" s="371">
        <f>(D14+D15)/(G14+G15)</f>
        <v>1.1562772227096356</v>
      </c>
      <c r="J14" s="370">
        <f>L14*LN(I14)</f>
        <v>-0.14520555353243336</v>
      </c>
      <c r="K14" s="370">
        <f>J14-J13-J12</f>
        <v>0.20978144890125555</v>
      </c>
      <c r="L14" s="371">
        <v>-1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-1.0505382935000001</v>
      </c>
      <c r="Q14" s="356">
        <f si="0" t="shared"/>
        <v>-1.0505382935000001</v>
      </c>
      <c r="T14" s="319">
        <v>5</v>
      </c>
      <c r="U14" s="293" t="s">
        <v>263</v>
      </c>
      <c r="V14" s="319"/>
      <c r="W14" s="319"/>
    </row>
    <row ht="15.75" r="15" spans="3:23" thickBot="1" x14ac:dyDescent="0.3">
      <c r="C15" s="307" t="s">
        <v>54</v>
      </c>
      <c r="D15" s="316">
        <f si="1" t="shared"/>
        <v>0.17147362297930921</v>
      </c>
      <c r="F15" s="307" t="s">
        <v>54</v>
      </c>
      <c r="G15" s="316">
        <f si="2" t="shared"/>
        <v>0.17905011277318331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-0.48292853740000002</v>
      </c>
      <c r="Q15" s="356">
        <f si="0" t="shared"/>
        <v>-0.48292853740000002</v>
      </c>
      <c r="T15" s="319">
        <v>6</v>
      </c>
      <c r="U15" s="319" t="s">
        <v>264</v>
      </c>
      <c r="V15" s="319"/>
      <c r="W15" s="319"/>
    </row>
    <row ht="15.75" r="16" spans="3:23" thickBot="1" x14ac:dyDescent="0.3">
      <c r="C16" s="310" t="s">
        <v>4</v>
      </c>
      <c r="D16" s="317">
        <f si="1" t="shared"/>
        <v>1</v>
      </c>
      <c r="E16" s="312"/>
      <c r="F16" s="310" t="s">
        <v>4</v>
      </c>
      <c r="G16" s="317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-0.23954858711999999</v>
      </c>
      <c r="Q16" s="356">
        <f si="0" t="shared"/>
        <v>-0.23954858711999999</v>
      </c>
      <c r="T16" s="319">
        <v>7</v>
      </c>
      <c r="U16" s="319" t="s">
        <v>257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1.8108489737</v>
      </c>
      <c r="Q17" s="356">
        <f si="0" t="shared"/>
        <v>1.8108489737</v>
      </c>
      <c r="T17" s="319">
        <v>8</v>
      </c>
      <c r="U17" s="319" t="s">
        <v>265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0.83658874170999997</v>
      </c>
      <c r="Q18" s="356">
        <f si="0" t="shared"/>
        <v>0.83658874170999997</v>
      </c>
    </row>
    <row r="19" spans="2:23" x14ac:dyDescent="0.25">
      <c r="C19" s="318" t="s">
        <v>80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8" t="s">
        <v>83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248</v>
      </c>
      <c r="C22" s="320" t="s">
        <v>89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0.62608089853000004</v>
      </c>
      <c r="Q22" s="356">
        <f si="0" t="shared"/>
        <v>0.62608089853000004</v>
      </c>
    </row>
    <row r="23" spans="2:23" x14ac:dyDescent="0.25">
      <c r="B23" s="350">
        <v>21</v>
      </c>
      <c r="C23" s="301" t="s">
        <v>45</v>
      </c>
      <c r="D23" s="362">
        <f>_xlfn.IFNA(VLOOKUP($B23,$N$3:$P$104,3,FALSE),0)</f>
        <v>-8.6146833141499997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-8.6146833141499997</v>
      </c>
      <c r="Q23" s="356">
        <f si="0" t="shared"/>
        <v>-8.6146833141499997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48</v>
      </c>
      <c r="D24" s="363">
        <f ref="D24:D25" si="4" t="shared">_xlfn.IFNA(VLOOKUP($B24,$N$3:$P$104,3,FALSE),0)</f>
        <v>-4.3520185610100004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-4.3520185610100004</v>
      </c>
      <c r="Q24" s="356">
        <f si="0" t="shared"/>
        <v>-4.7070055634436896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51</v>
      </c>
      <c r="D25" s="363">
        <f si="4" t="shared"/>
        <v>-4.3030502527800003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-4.3030502527800003</v>
      </c>
      <c r="Q25" s="356">
        <f si="0" t="shared"/>
        <v>-4.093268803878745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267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0.20798702908</v>
      </c>
      <c r="Q26" s="356">
        <f si="0" t="shared"/>
        <v>0.20798702908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-0.13975410125000001</v>
      </c>
      <c r="Q27" s="356">
        <f si="0" t="shared"/>
        <v>-0.13975410125000001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0.83837490119000002</v>
      </c>
      <c r="Q28" s="356">
        <f si="0" t="shared"/>
        <v>0.83837490119000002</v>
      </c>
    </row>
    <row r="29" spans="2:23" x14ac:dyDescent="0.25">
      <c r="C29" s="318" t="s">
        <v>80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-9.2935231723499996</v>
      </c>
      <c r="Q29" s="356">
        <f si="0" t="shared"/>
        <v>-9.2935231723499996</v>
      </c>
    </row>
    <row r="30" spans="2:23" x14ac:dyDescent="0.25">
      <c r="C30" s="318" t="s">
        <v>105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-3.4981009168599999</v>
      </c>
      <c r="Q30" s="356">
        <f si="0" t="shared"/>
        <v>-3.4981009168599999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-3.66532113402</v>
      </c>
      <c r="Q31" s="356">
        <f si="0" t="shared"/>
        <v>-3.66532113402</v>
      </c>
    </row>
    <row r="32" spans="2:23" x14ac:dyDescent="0.25">
      <c r="B32" s="349" t="s">
        <v>248</v>
      </c>
      <c r="C32" s="320" t="s">
        <v>89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-2.0884909647700001</v>
      </c>
      <c r="Q32" s="356">
        <f si="0" t="shared"/>
        <v>-2.0884909647700001</v>
      </c>
    </row>
    <row r="33" spans="2:17" x14ac:dyDescent="0.25">
      <c r="B33" s="350">
        <f>B23</f>
        <v>21</v>
      </c>
      <c r="C33" s="301" t="s">
        <v>45</v>
      </c>
      <c r="D33" s="322">
        <f>K12</f>
        <v>0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0.14322267177</v>
      </c>
      <c r="Q33" s="356">
        <f si="0" t="shared"/>
        <v>0.14322267177</v>
      </c>
    </row>
    <row r="34" spans="2:17" x14ac:dyDescent="0.25">
      <c r="B34" s="350">
        <f ref="B34:B35" si="5" t="shared">B24</f>
        <v>22</v>
      </c>
      <c r="C34" s="304" t="s">
        <v>48</v>
      </c>
      <c r="D34" s="322">
        <f ref="D34:D35" si="6" t="shared">K13</f>
        <v>-0.35498700243368891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-0.14826541710999999</v>
      </c>
      <c r="Q34" s="356">
        <f si="0" t="shared"/>
        <v>-0.14826541710999999</v>
      </c>
    </row>
    <row r="35" spans="2:17" x14ac:dyDescent="0.25">
      <c r="B35" s="350">
        <f si="5" t="shared"/>
        <v>23</v>
      </c>
      <c r="C35" s="304" t="s">
        <v>51</v>
      </c>
      <c r="D35" s="322">
        <f si="6" t="shared"/>
        <v>0.20978144890125555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0.18525614085</v>
      </c>
      <c r="Q35" s="356">
        <f si="0" t="shared"/>
        <v>0.18525614085</v>
      </c>
    </row>
    <row ht="15.75" r="36" spans="2:17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-0.10344899338999999</v>
      </c>
      <c r="Q36" s="356">
        <f si="0" t="shared"/>
        <v>-0.10344899338999999</v>
      </c>
    </row>
    <row r="37" spans="2:17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7.5098801229999998E-2</v>
      </c>
      <c r="Q37" s="356">
        <f si="0" t="shared"/>
        <v>7.5098801229999998E-2</v>
      </c>
    </row>
    <row r="38" spans="2:17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1.1126386876900001</v>
      </c>
      <c r="Q38" s="356">
        <f si="0" t="shared"/>
        <v>1.1126386876900001</v>
      </c>
    </row>
    <row r="39" spans="2:17" x14ac:dyDescent="0.25">
      <c r="C39" s="318" t="s">
        <v>80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-7.8810597731899996</v>
      </c>
      <c r="Q39" s="356">
        <f si="0" t="shared"/>
        <v>-7.8810597731899996</v>
      </c>
    </row>
    <row r="40" spans="2:17" x14ac:dyDescent="0.25">
      <c r="C40" s="318" t="s">
        <v>123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-8.0062297029800007</v>
      </c>
      <c r="Q40" s="356">
        <f si="0" t="shared"/>
        <v>-8.0062297029800007</v>
      </c>
    </row>
    <row ht="15.75" r="41" spans="2:17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-3.4078711737399998</v>
      </c>
      <c r="Q41" s="356">
        <f si="0" t="shared"/>
        <v>-3.4078711737399998</v>
      </c>
    </row>
    <row r="42" spans="2:17" x14ac:dyDescent="0.25">
      <c r="B42" s="349" t="s">
        <v>248</v>
      </c>
      <c r="C42" s="320" t="s">
        <v>89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-0.63093266528000003</v>
      </c>
      <c r="Q42" s="356">
        <f si="0" t="shared"/>
        <v>-0.63093266528000003</v>
      </c>
    </row>
    <row r="43" spans="2:17" x14ac:dyDescent="0.25">
      <c r="B43" s="350">
        <f>B33</f>
        <v>21</v>
      </c>
      <c r="C43" s="301" t="s">
        <v>45</v>
      </c>
      <c r="D43" s="359">
        <f>D23+D33</f>
        <v>-8.6146833141499997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-0.13916826495000001</v>
      </c>
      <c r="Q43" s="356">
        <f si="0" t="shared"/>
        <v>-0.13916826495000001</v>
      </c>
    </row>
    <row r="44" spans="2:17" x14ac:dyDescent="0.25">
      <c r="B44" s="350">
        <f ref="B44:B45" si="7" t="shared">B34</f>
        <v>22</v>
      </c>
      <c r="C44" s="304" t="s">
        <v>48</v>
      </c>
      <c r="D44" s="359">
        <f ref="D44:D45" si="8" t="shared">D24+D34</f>
        <v>-4.7070055634436896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0.51094315161000003</v>
      </c>
      <c r="Q44" s="356">
        <f si="0" t="shared"/>
        <v>0.51094315161000003</v>
      </c>
    </row>
    <row r="45" spans="2:17" x14ac:dyDescent="0.25">
      <c r="B45" s="350">
        <f si="7" t="shared"/>
        <v>23</v>
      </c>
      <c r="C45" s="304" t="s">
        <v>51</v>
      </c>
      <c r="D45" s="359">
        <f si="8" t="shared"/>
        <v>-4.093268803878745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0.71812285494999994</v>
      </c>
      <c r="Q45" s="356">
        <f si="0" t="shared"/>
        <v>0.71812285494999994</v>
      </c>
    </row>
    <row ht="15.75" r="46" spans="2:17" thickBot="1" x14ac:dyDescent="0.3">
      <c r="B46" s="353"/>
      <c r="C46" s="323"/>
      <c r="D46" s="360"/>
      <c r="E46" s="295" t="s">
        <v>267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-15.14732909554</v>
      </c>
      <c r="Q46" s="356">
        <f si="0" t="shared"/>
        <v>-15.14732909554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-4.0821681896699999</v>
      </c>
      <c r="Q47" s="356">
        <f si="0" t="shared"/>
        <v>-4.0821681896699999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-1.9121090734599999</v>
      </c>
      <c r="Q48" s="356">
        <f si="0" t="shared"/>
        <v>-1.9121090734599999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-1.3851302912200001</v>
      </c>
      <c r="Q49" s="356">
        <f si="0" t="shared"/>
        <v>-1.3851302912200001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0.18770524043</v>
      </c>
      <c r="Q50" s="356">
        <f si="0" t="shared"/>
        <v>0.18770524043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0.75868423218000003</v>
      </c>
      <c r="Q51" s="356">
        <f si="0" t="shared"/>
        <v>0.75868423218000003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-12.328736929270001</v>
      </c>
      <c r="Q52" s="356">
        <f si="0" t="shared"/>
        <v>-12.328736929270001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-3.5397838928000001</v>
      </c>
      <c r="Q53" s="356">
        <f si="0" t="shared"/>
        <v>-3.5397838928000001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-2.9872601469900002</v>
      </c>
      <c r="Q54" s="356">
        <f si="0" t="shared"/>
        <v>-2.9872601469900002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-2.1164645742500001</v>
      </c>
      <c r="Q55" s="356">
        <f si="0" t="shared"/>
        <v>-2.1164645742500001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0.21263122743000001</v>
      </c>
      <c r="Q56" s="356">
        <f si="0" t="shared"/>
        <v>0.21263122743000001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0.43455667627</v>
      </c>
      <c r="Q57" s="356">
        <f si="0" t="shared"/>
        <v>0.43455667627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-0.77182497547999995</v>
      </c>
      <c r="Q58" s="356">
        <f si="0" t="shared"/>
        <v>-0.77182497547999995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7.732925786E-2</v>
      </c>
      <c r="Q59" s="356">
        <f si="0" t="shared"/>
        <v>7.732925786E-2</v>
      </c>
    </row>
    <row r="60" spans="13:17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0.28212328097</v>
      </c>
      <c r="Q60" s="356">
        <f si="0" t="shared"/>
        <v>0.28212328097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0" t="shared"/>
        <v>0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-3.71465268105</v>
      </c>
      <c r="Q62" s="356">
        <f si="0" t="shared"/>
        <v>-3.71465268105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-2.3682469103699999</v>
      </c>
      <c r="Q63" s="356">
        <f si="0" t="shared"/>
        <v>-2.3682469103699999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-2.6135679522899999</v>
      </c>
      <c r="Q64" s="356">
        <f si="0" t="shared"/>
        <v>-2.6135679522899999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-3.2783954524199999</v>
      </c>
      <c r="Q65" s="356">
        <f si="0" t="shared"/>
        <v>-3.2783954524199999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-2.7864533272199998</v>
      </c>
      <c r="Q66" s="356">
        <f si="0" t="shared"/>
        <v>-2.7864533272199998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-2.4397388537100002</v>
      </c>
      <c r="Q67" s="356">
        <f si="0" t="shared"/>
        <v>-2.4397388537100002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-3.8618208476799998</v>
      </c>
      <c r="Q68" s="356">
        <f si="0" t="shared"/>
        <v>-3.8618208476799998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-21.721852511200002</v>
      </c>
      <c r="Q69" s="356">
        <f ref="Q69:Q103" si="9" t="shared">_xlfn.IFNA(VLOOKUP(N69,$B$43:$D$46,3,FALSE),P69)</f>
        <v>-21.721852511200002</v>
      </c>
    </row>
    <row r="70" spans="13:17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-1.01264089672</v>
      </c>
      <c r="Q70" s="356">
        <f si="9" t="shared"/>
        <v>-1.01264089672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-5.1766396376000001</v>
      </c>
      <c r="Q71" s="356">
        <f si="9" t="shared"/>
        <v>-5.1766396376000001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-2.28857439545</v>
      </c>
      <c r="Q72" s="356">
        <f si="9" t="shared"/>
        <v>-2.28857439545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-3.4002747143900001</v>
      </c>
      <c r="Q73" s="356">
        <f si="9" t="shared"/>
        <v>-3.4002747143900001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-1.5824120396100001</v>
      </c>
      <c r="Q74" s="356">
        <f si="9" t="shared"/>
        <v>-1.5824120396100001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-3.8472578798099999</v>
      </c>
      <c r="Q75" s="356">
        <f si="9" t="shared"/>
        <v>-3.8472578798099999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-3.1031248195800001</v>
      </c>
      <c r="Q76" s="356">
        <f si="9" t="shared"/>
        <v>-3.1031248195800001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-19.5604248241</v>
      </c>
      <c r="Q77" s="356">
        <f si="9" t="shared"/>
        <v>-19.5604248241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9" t="shared"/>
        <v>0</v>
      </c>
    </row>
    <row r="79" spans="13:17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-5.3998296944700002</v>
      </c>
      <c r="Q79" s="356">
        <f si="9" t="shared"/>
        <v>-5.3998296944700002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-17.4219403528</v>
      </c>
      <c r="Q80" s="356">
        <f si="9" t="shared"/>
        <v>-17.4219403528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-10.161549352</v>
      </c>
      <c r="Q81" s="356">
        <f si="9" t="shared"/>
        <v>-10.161549352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-0.87415121182</v>
      </c>
      <c r="Q82" s="356">
        <f si="9" t="shared"/>
        <v>-0.87415121182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-0.74080192435000003</v>
      </c>
      <c r="Q83" s="356">
        <f si="9" t="shared"/>
        <v>-0.74080192435000003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9" t="shared"/>
        <v>0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-10.7800625269</v>
      </c>
      <c r="Q85" s="356">
        <f si="9" t="shared"/>
        <v>-10.7800625269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-17.598302231800002</v>
      </c>
      <c r="Q86" s="356">
        <f si="9" t="shared"/>
        <v>-17.598302231800002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-7.3399914692000001</v>
      </c>
      <c r="Q87" s="356">
        <f si="9" t="shared"/>
        <v>-7.3399914692000001</v>
      </c>
    </row>
    <row r="88" spans="13:17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-11.813486662400001</v>
      </c>
      <c r="Q88" s="356">
        <f si="9" t="shared"/>
        <v>-11.813486662400001</v>
      </c>
    </row>
    <row r="89" spans="13:17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-12.070734291200001</v>
      </c>
      <c r="Q89" s="356">
        <f si="9" t="shared"/>
        <v>-12.070734291200001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9" t="shared"/>
        <v>0</v>
      </c>
    </row>
    <row r="91" spans="13:17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-11.328569288200001</v>
      </c>
      <c r="Q91" s="356">
        <f si="9" t="shared"/>
        <v>-11.328569288200001</v>
      </c>
    </row>
    <row r="92" spans="13:17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9" t="shared"/>
        <v>0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-12.623617921899999</v>
      </c>
      <c r="Q93" s="356">
        <f si="9" t="shared"/>
        <v>-12.623617921899999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-12.9367414966</v>
      </c>
      <c r="Q94" s="356">
        <f si="9" t="shared"/>
        <v>-12.9367414966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-21.748737142</v>
      </c>
      <c r="Q95" s="356">
        <f si="9" t="shared"/>
        <v>-21.748737142</v>
      </c>
    </row>
    <row r="96" spans="13:17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-1.1770951513500001</v>
      </c>
      <c r="Q96" s="356">
        <f si="9" t="shared"/>
        <v>-1.1770951513500001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-1.0914895580199999</v>
      </c>
      <c r="Q97" s="356">
        <f si="9" t="shared"/>
        <v>-1.0914895580199999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-6.6396727717899999</v>
      </c>
      <c r="Q98" s="356">
        <f si="9" t="shared"/>
        <v>-6.6396727717899999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-6.1680097229099999</v>
      </c>
      <c r="Q99" s="356">
        <f si="9" t="shared"/>
        <v>-6.1680097229099999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-2.9287550310000001</v>
      </c>
      <c r="Q100" s="356">
        <f si="9" t="shared"/>
        <v>-2.9287550310000001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9" t="shared"/>
        <v>0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9" t="shared"/>
        <v>0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-5.4368248499099998</v>
      </c>
      <c r="Q103" s="356">
        <f si="9" t="shared"/>
        <v>-5.4368248499099998</v>
      </c>
    </row>
    <row r="104" spans="13:17" x14ac:dyDescent="0.25">
      <c r="M104" s="295" t="e">
        <f>VLOOKUP(N104,Coeff_Descr!$A:$D,3,FALSE)</f>
        <v>#N/A</v>
      </c>
      <c r="N104" s="295">
        <f>OtherTourDestination!B112</f>
        <v>114</v>
      </c>
      <c r="O104" s="295" t="str">
        <f>OtherTourDestination!C112</f>
        <v>Beta114</v>
      </c>
      <c r="P104" s="295">
        <f>OtherTourDestination!E112</f>
        <v>-0.8</v>
      </c>
      <c r="Q104" s="356">
        <f ref="Q104:Q109" si="10" t="shared">_xlfn.IFNA(VLOOKUP(N104,$B$43:$D$46,3,FALSE),P104)</f>
        <v>-0.8</v>
      </c>
    </row>
    <row r="105" spans="13:17" x14ac:dyDescent="0.25">
      <c r="M105" s="295" t="e">
        <f>VLOOKUP(N105,Coeff_Descr!$A:$D,3,FALSE)</f>
        <v>#N/A</v>
      </c>
      <c r="N105" s="295">
        <f>OtherTourDestination!B113</f>
        <v>115</v>
      </c>
      <c r="O105" s="295" t="str">
        <f>OtherTourDestination!C113</f>
        <v>Beta115</v>
      </c>
      <c r="P105" s="295">
        <f>OtherTourDestination!E113</f>
        <v>-0.8</v>
      </c>
      <c r="Q105" s="356">
        <f si="10" t="shared"/>
        <v>-0.8</v>
      </c>
    </row>
    <row r="106" spans="13:17" x14ac:dyDescent="0.25">
      <c r="M106" s="295" t="e">
        <f>VLOOKUP(N106,Coeff_Descr!$A:$D,3,FALSE)</f>
        <v>#N/A</v>
      </c>
      <c r="N106" s="295">
        <f>OtherTourDestination!B114</f>
        <v>116</v>
      </c>
      <c r="O106" s="295" t="str">
        <f>OtherTourDestination!C114</f>
        <v>Beta116</v>
      </c>
      <c r="P106" s="295">
        <f>OtherTourDestination!E114</f>
        <v>-0.8</v>
      </c>
      <c r="Q106" s="356">
        <f si="10" t="shared"/>
        <v>-0.8</v>
      </c>
    </row>
    <row r="107" spans="13:17" x14ac:dyDescent="0.25">
      <c r="M107" s="295" t="e">
        <f>VLOOKUP(N107,Coeff_Descr!$A:$D,3,FALSE)</f>
        <v>#N/A</v>
      </c>
      <c r="N107" s="295">
        <f>OtherTourDestination!B115</f>
        <v>117</v>
      </c>
      <c r="O107" s="295" t="str">
        <f>OtherTourDestination!C115</f>
        <v>Beta117</v>
      </c>
      <c r="P107" s="295">
        <f>OtherTourDestination!E115</f>
        <v>-0.8</v>
      </c>
      <c r="Q107" s="356">
        <f si="10" t="shared"/>
        <v>-0.8</v>
      </c>
    </row>
    <row r="108" spans="13:17" x14ac:dyDescent="0.25">
      <c r="M108" s="295">
        <f>VLOOKUP(N108,Coeff_Descr!$A:$D,3,FALSE)</f>
        <v>0</v>
      </c>
      <c r="N108" s="295">
        <f>OtherTourDestination!B116</f>
        <v>118</v>
      </c>
      <c r="O108" s="295" t="str">
        <f>OtherTourDestination!C116</f>
        <v>Beta118</v>
      </c>
      <c r="P108" s="295">
        <f>OtherTourDestination!E116</f>
        <v>-0.8</v>
      </c>
      <c r="Q108" s="356">
        <f si="10" t="shared"/>
        <v>-0.8</v>
      </c>
    </row>
    <row r="109" spans="13:17" x14ac:dyDescent="0.25">
      <c r="M109" s="295" t="e">
        <f>VLOOKUP(N109,Coeff_Descr!$A:$D,3,FALSE)</f>
        <v>#N/A</v>
      </c>
      <c r="N109" s="295">
        <f>OtherTourDestination!B117</f>
        <v>119</v>
      </c>
      <c r="O109" s="295" t="str">
        <f>OtherTourDestination!C117</f>
        <v>Beta118</v>
      </c>
      <c r="P109" s="295">
        <f>OtherTourDestination!E117</f>
        <v>1</v>
      </c>
      <c r="Q109" s="356">
        <f si="10" t="shared"/>
        <v>1</v>
      </c>
    </row>
    <row r="110" spans="13:17" x14ac:dyDescent="0.25">
      <c r="N110" s="295">
        <f>OtherTourDestination!B118</f>
        <v>-1</v>
      </c>
      <c r="P110" s="295"/>
      <c r="Q110" s="356"/>
    </row>
    <row r="111" spans="13:17" x14ac:dyDescent="0.25">
      <c r="P111" s="295"/>
      <c r="Q111" s="35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283</v>
      </c>
      <c r="B1" t="s">
        <v>284</v>
      </c>
    </row>
    <row r="2" spans="1:2" x14ac:dyDescent="0.25">
      <c r="A2">
        <v>1</v>
      </c>
      <c r="B2" t="s">
        <v>285</v>
      </c>
    </row>
    <row r="3" spans="1:2" x14ac:dyDescent="0.25">
      <c r="A3">
        <v>2</v>
      </c>
      <c r="B3" t="s">
        <v>286</v>
      </c>
    </row>
    <row r="4" spans="1:2" x14ac:dyDescent="0.25">
      <c r="A4">
        <v>3</v>
      </c>
      <c r="B4" t="s">
        <v>287</v>
      </c>
    </row>
    <row r="5" spans="1:2" x14ac:dyDescent="0.25">
      <c r="A5">
        <v>4</v>
      </c>
      <c r="B5" t="s">
        <v>288</v>
      </c>
    </row>
    <row r="6" spans="1:2" x14ac:dyDescent="0.25">
      <c r="A6">
        <v>5</v>
      </c>
      <c r="B6" t="s">
        <v>289</v>
      </c>
    </row>
    <row r="7" spans="1:2" x14ac:dyDescent="0.25">
      <c r="A7">
        <v>6</v>
      </c>
      <c r="B7" t="s">
        <v>290</v>
      </c>
    </row>
    <row r="8" spans="1:2" x14ac:dyDescent="0.25">
      <c r="A8">
        <v>7</v>
      </c>
      <c r="B8" t="s">
        <v>291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2020-01-23T23:44:45Z</dcterms:modified>
</cp:coreProperties>
</file>