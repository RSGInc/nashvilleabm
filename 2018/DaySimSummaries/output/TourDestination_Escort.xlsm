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SACOG\Tasks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B34"/>
  <c i="6" r="B44" s="1"/>
  <c i="6" r="B35"/>
  <c i="6" r="B45" s="1"/>
  <c i="6" r="B33"/>
  <c i="6" r="B43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P3"/>
  <c i="6" r="O3"/>
  <c i="6" r="N3"/>
  <c i="6" r="M3" s="1"/>
  <c i="6" l="1" r="Q8"/>
  <c i="6" r="R8" s="1"/>
  <c i="6" r="S23"/>
  <c i="6" r="Q34"/>
  <c i="6" r="R34" s="1"/>
  <c i="6" r="Q19"/>
  <c i="6" r="R19" s="1"/>
  <c i="6" r="Q16"/>
  <c i="6" r="R16" s="1"/>
  <c i="6" r="Q63"/>
  <c i="6" r="R63" s="1"/>
  <c i="6" r="Q47"/>
  <c i="6" r="R47" s="1"/>
  <c i="6" r="Q83"/>
  <c i="6" r="R83" s="1"/>
  <c i="6" r="S25"/>
  <c i="6" r="Q35"/>
  <c i="6" r="R35" s="1"/>
  <c i="6" r="Q33"/>
  <c i="6" r="R33" s="1"/>
  <c i="6" r="Q88"/>
  <c i="6" r="R88" s="1"/>
  <c i="6" r="S24"/>
  <c i="6" r="Q49"/>
  <c i="6" r="R49" s="1"/>
  <c i="6" r="Q44"/>
  <c i="6" r="R44" s="1"/>
  <c i="6" r="Q22"/>
  <c i="6" r="R22" s="1"/>
  <c i="6" r="Q62"/>
  <c i="6" r="R62" s="1"/>
  <c i="6" r="M33"/>
  <c i="6" r="M34"/>
  <c i="6" r="M35"/>
  <c i="6" r="M47"/>
  <c i="6" r="M83"/>
  <c i="6" r="Q60"/>
  <c i="6" r="R60" s="1"/>
  <c i="6" r="Q84"/>
  <c i="6" r="R84" s="1"/>
  <c i="6" r="M88"/>
  <c i="6" r="Q3"/>
  <c i="6" r="R3" s="1"/>
  <c i="6" r="Q36"/>
  <c i="6" r="R36" s="1"/>
  <c i="6" r="Q48"/>
  <c i="6" r="R48" s="1"/>
  <c i="6" r="Q50"/>
  <c i="6" r="R50" s="1"/>
  <c i="6" r="Q51"/>
  <c i="6" r="R51" s="1"/>
  <c i="6" r="Q56"/>
  <c i="6" r="R56" s="1"/>
  <c i="6" r="Q57"/>
  <c i="6" r="R57" s="1"/>
  <c i="6" r="M16"/>
  <c i="6" r="M19"/>
  <c i="6" r="Q90"/>
  <c i="6" r="R90" s="1"/>
  <c i="6" r="Q80"/>
  <c i="6" r="R80" s="1"/>
  <c i="6" r="M62"/>
  <c i="6" r="Q81"/>
  <c i="6" r="R81" s="1"/>
  <c i="6" r="M63"/>
  <c i="6" r="Q82"/>
  <c i="6" r="R82" s="1"/>
  <c i="6" r="Q45"/>
  <c i="6" r="R45" s="1"/>
  <c i="6" r="Q85"/>
  <c i="6" r="R85" s="1"/>
  <c i="6" r="Q46"/>
  <c i="6" r="R46" s="1"/>
  <c i="6" r="Q86"/>
  <c i="6" r="R86" s="1"/>
  <c i="6" r="Q87"/>
  <c i="6" r="R87" s="1"/>
  <c i="6" r="M22"/>
  <c i="6" r="D23"/>
  <c i="6" r="Q58"/>
  <c i="6" r="R58" s="1"/>
  <c i="6" r="D25"/>
  <c i="6" r="Q17"/>
  <c i="6" r="R17" s="1"/>
  <c i="6" r="Q59"/>
  <c i="6" r="R59" s="1"/>
  <c i="6" r="D24"/>
  <c i="6" r="Q18"/>
  <c i="6" r="R18" s="1"/>
  <c i="6" r="Q61"/>
  <c i="6" r="R61" s="1"/>
  <c i="6" r="Q20"/>
  <c i="6" r="R20" s="1"/>
  <c i="6" r="Q72"/>
  <c i="6" r="R72" s="1"/>
  <c i="6" r="Q26"/>
  <c i="6" r="R26" s="1"/>
  <c i="6" r="Q73"/>
  <c i="6" r="R73" s="1"/>
  <c i="6" r="Q27"/>
  <c i="6" r="R27" s="1"/>
  <c i="6" r="Q74"/>
  <c i="6" r="R74" s="1"/>
  <c i="6" r="Q21"/>
  <c i="6" r="R21" s="1"/>
  <c i="6" r="Q32"/>
  <c i="6" r="R32" s="1"/>
  <c i="6" r="Q75"/>
  <c i="6" r="R75" s="1"/>
  <c i="6" r="Q89"/>
  <c i="6" r="R89" s="1"/>
  <c i="6" r="Q91"/>
  <c i="6" r="R91" s="1"/>
  <c i="6" r="Q64"/>
  <c i="6" r="R64" s="1"/>
  <c i="6" r="Q92"/>
  <c i="6" r="R92" s="1"/>
  <c i="6" r="Q9"/>
  <c i="6" r="R9" s="1"/>
  <c i="6" r="Q37"/>
  <c i="6" r="R37" s="1"/>
  <c i="6" r="Q65"/>
  <c i="6" r="R65" s="1"/>
  <c i="6" r="Q93"/>
  <c i="6" r="R93" s="1"/>
  <c i="6" r="Q10"/>
  <c i="6" r="R10" s="1"/>
  <c i="6" r="Q38"/>
  <c i="6" r="R38" s="1"/>
  <c i="6" r="Q66"/>
  <c i="6" r="R66" s="1"/>
  <c i="6" r="Q94"/>
  <c i="6" r="R94" s="1"/>
  <c i="6" r="Q11"/>
  <c i="6" r="R11" s="1"/>
  <c i="6" r="Q39"/>
  <c i="6" r="R39" s="1"/>
  <c i="6" r="Q67"/>
  <c i="6" r="R67" s="1"/>
  <c i="6" r="Q95"/>
  <c i="6" r="R95" s="1"/>
  <c i="6" r="Q12"/>
  <c i="6" r="R12" s="1"/>
  <c i="6" r="Q40"/>
  <c i="6" r="R40" s="1"/>
  <c i="6" r="Q68"/>
  <c i="6" r="R68" s="1"/>
  <c i="6" r="Q96"/>
  <c i="6" r="R96" s="1"/>
  <c i="6" r="Q13"/>
  <c i="6" r="R13" s="1"/>
  <c i="6" r="Q41"/>
  <c i="6" r="R41" s="1"/>
  <c i="6" r="Q69"/>
  <c i="6" r="R69" s="1"/>
  <c i="6" r="Q97"/>
  <c i="6" r="R97" s="1"/>
  <c i="6" r="Q14"/>
  <c i="6" r="R14" s="1"/>
  <c i="6" r="Q42"/>
  <c i="6" r="R42" s="1"/>
  <c i="6" r="Q70"/>
  <c i="6" r="R70" s="1"/>
  <c i="6" r="Q98"/>
  <c i="6" r="R98" s="1"/>
  <c i="6" r="Q15"/>
  <c i="6" r="R15" s="1"/>
  <c i="6" r="Q43"/>
  <c i="6" r="R43" s="1"/>
  <c i="6" r="Q71"/>
  <c i="6" r="R71" s="1"/>
  <c i="6" r="Q99"/>
  <c i="6" r="R99" s="1"/>
  <c i="6" r="Q4"/>
  <c i="6" r="R4" s="1"/>
  <c i="6" r="Q28"/>
  <c i="6" r="R28" s="1"/>
  <c i="6" r="Q52"/>
  <c i="6" r="R52" s="1"/>
  <c i="6" r="Q76"/>
  <c i="6" r="R76" s="1"/>
  <c i="6" r="Q100"/>
  <c i="6" r="R100" s="1"/>
  <c i="6" r="Q5"/>
  <c i="6" r="R5" s="1"/>
  <c i="6" r="Q29"/>
  <c i="6" r="R29" s="1"/>
  <c i="6" r="Q53"/>
  <c i="6" r="R53" s="1"/>
  <c i="6" r="Q77"/>
  <c i="6" r="R77" s="1"/>
  <c i="6" r="Q101"/>
  <c i="6" r="R101" s="1"/>
  <c i="6" r="Q6"/>
  <c i="6" r="R6" s="1"/>
  <c i="6" r="Q30"/>
  <c i="6" r="R30" s="1"/>
  <c i="6" r="Q54"/>
  <c i="6" r="R54" s="1"/>
  <c i="6" r="Q78"/>
  <c i="6" r="R78" s="1"/>
  <c i="6" r="Q102"/>
  <c i="6" r="R102" s="1"/>
  <c i="6" r="Q7"/>
  <c i="6" r="R7" s="1"/>
  <c i="6" r="Q31"/>
  <c i="6" r="R31" s="1"/>
  <c i="6" r="Q55"/>
  <c i="6" r="R55" s="1"/>
  <c i="6" r="Q79"/>
  <c i="6" r="R79" s="1"/>
  <c i="6" r="Q103"/>
  <c i="6" r="R103" s="1"/>
  <c i="1" r="S20"/>
  <c i="1" r="S21"/>
  <c i="1" r="S22"/>
  <c i="1" r="S23"/>
  <c i="1" r="S24"/>
  <c i="1" r="S25"/>
  <c i="1" r="S26"/>
  <c i="1" r="L13"/>
  <c i="1" r="H6"/>
  <c i="6" l="1" r="G7"/>
  <c i="6" r="D7"/>
  <c i="6" r="G6"/>
  <c i="6" r="D6"/>
  <c i="6" r="G5"/>
  <c i="6" r="D5"/>
  <c i="6" r="G4"/>
  <c i="6" r="D4"/>
  <c i="6" l="1" r="G8"/>
  <c i="6" r="G12" s="1"/>
  <c i="6" r="D8"/>
  <c i="6" r="D14" s="1"/>
  <c i="1" r="J13"/>
  <c i="1" r="H15"/>
  <c i="1" r="U13"/>
  <c i="1" r="S15"/>
  <c i="6" l="1" r="G13"/>
  <c i="6" r="G15"/>
  <c i="6" r="G14"/>
  <c i="6" r="G16"/>
  <c i="1" r="D26"/>
  <c i="1" r="H26"/>
  <c i="1" r="B26"/>
  <c i="1" r="E26"/>
  <c i="1" r="F26"/>
  <c i="1" r="C26"/>
  <c i="1" r="G26"/>
  <c i="6" r="D16"/>
  <c i="6" r="D13"/>
  <c i="6" r="D12"/>
  <c i="6" r="I12" s="1"/>
  <c i="6" r="J12" s="1"/>
  <c i="6" r="K12" s="1"/>
  <c i="6" r="D15"/>
  <c i="6" r="I14" s="1"/>
  <c i="6" r="J14" s="1"/>
  <c i="1" r="U26"/>
  <c i="1" r="S28"/>
  <c i="1" r="N26"/>
  <c i="1" r="O26"/>
  <c i="1" r="P26"/>
  <c i="1" r="Q26"/>
  <c i="1" r="R26"/>
  <c i="1" r="M26"/>
  <c i="1" r="W39"/>
  <c i="1" r="L39"/>
  <c i="1" r="A39"/>
  <c i="1" r="L26"/>
  <c i="1" r="A26"/>
  <c i="1" r="AD32"/>
  <c i="1" r="S32"/>
  <c i="1" r="H32"/>
  <c i="1" r="S19"/>
  <c i="1" r="H19"/>
  <c i="1" r="S6"/>
  <c i="6" l="1" r="D33"/>
  <c i="6" r="D43" s="1"/>
  <c i="6" r="Q23" s="1"/>
  <c i="6" r="R23" s="1"/>
  <c i="6" r="I13"/>
  <c i="6" r="J13" s="1"/>
  <c i="6" r="K1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4"/>
  <c i="6" r="D34"/>
  <c i="6" r="D44" s="1"/>
  <c i="6" r="Q24" s="1"/>
  <c i="6" r="R24" s="1"/>
  <c i="1" r="Q15"/>
  <c i="1" r="Q28" s="1"/>
  <c i="1" r="R15"/>
  <c i="1" r="R28" s="1"/>
  <c i="1" r="U10"/>
  <c i="1" r="U11"/>
  <c i="1" r="U12"/>
  <c i="1" r="J10"/>
  <c i="1" r="G23" s="1"/>
  <c i="1" r="J11"/>
  <c i="1" r="J12"/>
  <c i="1" r="F15"/>
  <c i="1" r="G15"/>
  <c i="6" l="1" r="D35"/>
  <c i="6" r="D45" s="1"/>
  <c i="6" r="Q25" s="1"/>
  <c i="6" r="R25" s="1"/>
  <c i="1" r="H24"/>
  <c i="1" r="H25"/>
  <c i="1" r="H23"/>
  <c i="1" r="G25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2"/>
  <c i="1" r="H20"/>
  <c i="1" r="H21"/>
  <c i="1" r="J23"/>
  <c i="1" r="J25"/>
  <c i="1" r="J24"/>
  <c i="1" r="U20"/>
  <c i="1" r="U21"/>
  <c i="1" r="G21"/>
  <c i="1" r="J27"/>
  <c i="1" r="G22"/>
  <c i="1" r="F21"/>
  <c i="1" r="G20"/>
  <c i="1" r="G28" s="1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S33"/>
  <c i="1" r="S34"/>
  <c i="1" r="S35"/>
  <c i="1" r="S36"/>
  <c i="1" r="S38"/>
  <c i="1" r="S39"/>
  <c i="1" r="S37"/>
  <c i="1" r="P39"/>
  <c i="1" r="Q39"/>
  <c i="1" r="N39"/>
  <c i="1" r="R39"/>
  <c i="1" r="M39"/>
  <c i="1" r="O39"/>
  <c i="1" r="J20"/>
  <c i="1" r="H28"/>
  <c i="1" r="I28"/>
  <c i="1" r="S41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35" s="1"/>
  <c i="1" r="Y35" s="1"/>
  <c i="1" r="E33"/>
  <c i="1" r="AA33" s="1"/>
  <c i="1" r="C33"/>
  <c i="1" r="Y33" s="1"/>
  <c i="1" r="E38"/>
  <c i="1" r="AA38" s="1"/>
  <c i="1" l="1" r="I41"/>
  <c i="1" r="AE41" s="1"/>
  <c i="1" r="J37"/>
  <c i="1" r="AF37" s="1"/>
  <c i="1" r="D34"/>
  <c i="1" r="Z34" s="1"/>
  <c i="1" r="C39"/>
  <c i="1" r="Y39" s="1"/>
  <c i="1" r="F39"/>
  <c i="1" r="AB39" s="1"/>
  <c i="1" r="D39"/>
  <c i="1" r="Z39" s="1"/>
  <c i="1" r="E39"/>
  <c i="1" r="AA39" s="1"/>
  <c i="1" r="H39"/>
  <c i="1" r="AD39" s="1"/>
  <c i="1" r="B39"/>
  <c i="1" r="X39" s="1"/>
  <c i="1" r="G39"/>
  <c i="1" r="AC39" s="1"/>
  <c i="1" r="H35"/>
  <c i="1" r="AD35" s="1"/>
  <c i="1" r="H36"/>
  <c i="1" r="AD36" s="1"/>
  <c i="1" r="H38"/>
  <c i="1" r="AD38" s="1"/>
  <c i="1" r="H37"/>
  <c i="1" r="AD37" s="1"/>
  <c i="1" r="H34"/>
  <c i="1" r="AD34" s="1"/>
  <c i="1" r="H33"/>
  <c i="1" r="AD33" s="1"/>
  <c i="1" r="G36"/>
  <c i="1" r="AC36" s="1"/>
  <c i="1" r="D33"/>
  <c i="1" r="Z33" s="1"/>
  <c i="1" r="E35"/>
  <c i="1" r="AA35" s="1"/>
  <c i="1" r="B33"/>
  <c i="1" r="X33" s="1"/>
  <c i="1" r="G33"/>
  <c i="1" r="AC33" s="1"/>
  <c i="1" r="C34"/>
  <c i="1" r="Y34" s="1"/>
  <c i="1" r="G38"/>
  <c i="1" r="AC38" s="1"/>
  <c i="1" r="E41"/>
  <c i="1" r="AA41" s="1"/>
  <c i="1" r="F33"/>
  <c i="1" r="AB33" s="1"/>
  <c i="1" r="G41"/>
  <c i="1" r="AC41" s="1"/>
  <c i="1" r="D35"/>
  <c i="1" r="Z35" s="1"/>
  <c i="1" r="G35"/>
  <c i="1" r="AC35" s="1"/>
  <c i="1" r="F41"/>
  <c i="1" r="AB41" s="1"/>
  <c i="1" r="B41"/>
  <c i="1" r="X41" s="1"/>
  <c i="1" r="J34"/>
  <c i="1" r="AF34" s="1"/>
  <c i="1" r="F35"/>
  <c i="1" r="AB35" s="1"/>
  <c i="1" r="C37"/>
  <c i="1" r="Y37" s="1"/>
  <c i="1" r="B37"/>
  <c i="1" r="X37" s="1"/>
  <c i="1" r="D41"/>
  <c i="1" r="Z41" s="1"/>
  <c i="1" r="B35"/>
  <c i="1" r="X35" s="1"/>
  <c i="1" r="B36"/>
  <c i="1" r="X36" s="1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J39"/>
  <c i="1" r="AF39" s="1"/>
  <c i="1" r="E37"/>
  <c i="1" r="AA37" s="1"/>
  <c i="1" r="J38"/>
  <c i="1" r="AF38" s="1"/>
  <c i="1" r="D36"/>
  <c i="1" r="Z36" s="1"/>
  <c i="1" r="H41"/>
  <c i="1" r="AD41" s="1"/>
  <c i="1" r="B34"/>
  <c i="1" r="X34" s="1"/>
  <c i="1" r="D38"/>
  <c i="1" r="Z38" s="1"/>
  <c i="1" r="J36"/>
  <c i="1" r="AF36" s="1"/>
  <c i="1" r="E34"/>
  <c i="1" r="AA34" s="1"/>
  <c i="1" r="G37"/>
  <c i="1" r="AC37" s="1"/>
</calcChain>
</file>

<file path=xl/sharedStrings.xml><?xml version="1.0" encoding="utf-8"?>
<sst xmlns="http://schemas.openxmlformats.org/spreadsheetml/2006/main" count="718" uniqueCount="347">
  <si>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</si>
  <si>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</si>
  <si>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</si>
  <si>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</si>
  <si>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</si>
  <si>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</si>
  <si>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</si>
  <si>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</si>
  <si>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</si>
  <si>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</si>
  <si>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</si>
  <si>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</si>
  <si>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</si>
  <si>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</si>
  <si>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</si>
  <si>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</si>
  <si>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</si>
  <si>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</si>
  <si>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</si>
  <si>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</si>
  <si>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</si>
  <si>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</si>
  <si>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</si>
  <si>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</si>
  <si>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</si>
  <si>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</si>
  <si>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</si>
  <si>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</si>
  <si>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</si>
  <si>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</si>
  <si>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</si>
  <si>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</si>
  <si>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</si>
  <si>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</si>
  <si>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</si>
  <si>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</si>
  <si>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</si>
  <si>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</si>
  <si>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</si>
  <si>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</si>
  <si>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</si>
  <si>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</si>
  <si>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</si>
  <si>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</si>
  <si>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</si>
  <si>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</si>
  <si>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</si>
  <si>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</si>
  <si>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</si>
  <si>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</si>
  <si>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</si>
  <si>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</si>
  <si>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</si>
  <si>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</si>
  <si>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</si>
  <si>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</si>
  <si>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</si>
  <si>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</si>
  <si>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</si>
  <si>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</si>
  <si>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</si>
  <si>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</si>
  <si>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</si>
  <si>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</si>
  <si>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</si>
  <si>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</si>
  <si>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</si>
  <si>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</si>
  <si>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</si>
  <si>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</si>
  <si>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</si>
  <si>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</si>
  <si>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</si>
  <si>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</si>
  <si>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</si>
  <si>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</si>
  <si>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</si>
  <si>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</si>
  <si>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</si>
  <si>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</si>
  <si>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</si>
  <si>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</si>
  <si>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</si>
  <si>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</si>
  <si>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</si>
  <si>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</si>
  <si>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</si>
  <si>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</si>
  <si>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</si>
  <si>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</si>
  <si>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</si>
  <si>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</si>
  <si>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</si>
  <si>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</si>
  <si>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</si>
  <si>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</si>
  <si>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</si>
  <si>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</si>
  <si>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</si>
  <si>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</si>
  <si>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</si>
  <si>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</si>
  <si>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</si>
  <si>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</si>
  <si>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</si>
  <si>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</si>
  <si>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</si>
  <si>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</si>
  <si>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</si>
  <si>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</si>
  <si>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</si>
  <si>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</si>
  <si>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</si>
  <si>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</si>
  <si>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</si>
  <si>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</si>
  <si>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</si>
  <si>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</si>
  <si>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</si>
  <si>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</si>
  <si>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</si>
  <si>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</si>
  <si>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</si>
  <si>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</si>
  <si>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</si>
  <si>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</si>
  <si>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</si>
  <si>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</si>
  <si>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</si>
  <si>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</si>
  <si>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</si>
  <si>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</si>
  <si>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</si>
  <si>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</si>
  <si>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</si>
  <si>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</si>
  <si>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</si>
  <si>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</si>
  <si>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</si>
  <si>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</si>
  <si>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</si>
  <si>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</si>
  <si>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</si>
  <si>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</si>
  <si>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</si>
  <si>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</si>
  <si>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</si>
  <si>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</si>
  <si>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</si>
  <si>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</si>
  <si>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</si>
  <si>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</si>
  <si>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</si>
  <si>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</si>
  <si>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</si>
  <si>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</si>
  <si>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</si>
  <si>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</si>
  <si>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</si>
  <si>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</si>
  <si>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</si>
  <si>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</si>
  <si>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</si>
  <si>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</si>
  <si>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</si>
  <si>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</si>
  <si>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</si>
  <si>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</si>
  <si>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</si>
  <si>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</si>
  <si>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</si>
  <si>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</si>
  <si>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</si>
  <si>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</si>
  <si>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</si>
  <si>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</si>
  <si>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</si>
  <si>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</si>
  <si>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</si>
  <si>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</si>
  <si>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</si>
  <si>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</si>
  <si>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</si>
  <si>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</si>
  <si>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</si>
  <si>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</si>
  <si>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</si>
  <si>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</si>
  <si>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</si>
  <si>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</si>
  <si>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</si>
  <si>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</si>
  <si>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</si>
  <si>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</si>
  <si>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</si>
  <si>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</si>
  <si>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</si>
  <si>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</si>
  <si>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</si>
  <si>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</si>
  <si>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</si>
  <si>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</si>
  <si>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</si>
  <si>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</si>
  <si>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</si>
  <si>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</si>
  <si>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</si>
  <si>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</si>
  <si>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</si>
  <si>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</si>
  <si>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</si>
  <si>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</si>
  <si>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</si>
  <si>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</si>
  <si>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</si>
  <si>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</si>
  <si>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</si>
  <si>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</si>
  <si>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</si>
  <si>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</si>
  <si>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</si>
  <si>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</si>
  <si>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</si>
  <si>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</si>
  <si>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</si>
  <si>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</si>
  <si>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</si>
  <si>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</si>
  <si>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</si>
  <si>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</si>
  <si>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</si>
  <si>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</si>
  <si>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</si>
  <si>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</si>
  <si>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</si>
  <si>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</si>
  <si>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</si>
  <si>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</si>
  <si>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</si>
  <si>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</si>
  <si>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</si>
  <si>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</si>
  <si>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</si>
  <si>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</si>
  <si>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</si>
  <si>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</si>
  <si>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</si>
  <si>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</si>
  <si>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</si>
  <si>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</si>
  <si>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</si>
  <si>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</si>
  <si>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</si>
  <si>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</si>
  <si>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</si>
  <si>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Beta00118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</si>
  <si>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</si>
  <si>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</si>
  <si>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</si>
  <si>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</si>
  <si>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</si>
  <si>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</si>
  <si>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</si>
  <si>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</si>
  <si>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</si>
  <si>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</si>
  <si>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</si>
  <si>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</si>
  <si>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</si>
  <si>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</si>
  <si>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</si>
  <si>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</si>
  <si>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</si>
  <si>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</si>
  <si>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</si>
  <si>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</si>
  <si>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</si>
  <si>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</si>
  <si>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</si>
  <si>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</si>
  <si>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Copy (Ctrl-c) cells Q3:Q104</t>
  </si>
  <si>
    <t>CALIBRATION</t>
  </si>
  <si>
    <t>svn</t>
  </si>
  <si>
    <t>v1799,</t>
  </si>
  <si>
    <t>alo</t>
  </si>
  <si>
    <t>v0601)</t>
  </si>
  <si>
    <t>damp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</si>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</sst>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  <xf applyAlignment="1" applyFont="1" applyNumberFormat="1" borderId="0" fillId="0" fontId="0" numFmtId="4" xfId="0">
      <alignment horizontal="right"/>
    </xf>
    <xf applyAlignment="1" applyFont="1" borderId="0" fillId="0" fontId="1" numFmtId="0" xfId="0">
      <alignment horizontal="right"/>
    </xf>
    <xf applyAlignment="1" applyBorder="1" applyFill="1" applyFont="1" applyNumberFormat="1" borderId="0" fillId="6" fontId="0" numFmtId="3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0.19412315525471849</c:v>
                </c:pt>
                <c:pt idx="1">
                  <c:v>0.20445702113087125</c:v>
                </c:pt>
                <c:pt idx="2">
                  <c:v>0.12508667710192808</c:v>
                </c:pt>
                <c:pt idx="3">
                  <c:v>0.11763651463313231</c:v>
                </c:pt>
                <c:pt idx="4">
                  <c:v>8.3475450241555491E-2</c:v>
                </c:pt>
                <c:pt idx="5">
                  <c:v>5.2581092641289039E-2</c:v>
                </c:pt>
                <c:pt idx="6">
                  <c:v>3.242463241311612E-2</c:v>
                </c:pt>
                <c:pt idx="7">
                  <c:v>2.4448465935987762E-2</c:v>
                </c:pt>
                <c:pt idx="8">
                  <c:v>4.0603952097587506E-2</c:v>
                </c:pt>
                <c:pt idx="9">
                  <c:v>2.3290245204776409E-2</c:v>
                </c:pt>
                <c:pt idx="10">
                  <c:v>4.093066500066204E-3</c:v>
                </c:pt>
                <c:pt idx="11">
                  <c:v>2.1569557230303685E-2</c:v>
                </c:pt>
                <c:pt idx="12">
                  <c:v>1.0512351288364667E-2</c:v>
                </c:pt>
                <c:pt idx="13">
                  <c:v>1.3292291797167939E-2</c:v>
                </c:pt>
                <c:pt idx="14">
                  <c:v>3.8571847489879E-3</c:v>
                </c:pt>
                <c:pt idx="15">
                  <c:v>2.2783964190377379E-3</c:v>
                </c:pt>
                <c:pt idx="16">
                  <c:v>6.9918179881120425E-4</c:v>
                </c:pt>
                <c:pt idx="17">
                  <c:v>3.0361884273144265E-3</c:v>
                </c:pt>
                <c:pt idx="18">
                  <c:v>3.5323206493262185E-3</c:v>
                </c:pt>
                <c:pt idx="19">
                  <c:v>1.2617910259939916E-3</c:v>
                </c:pt>
                <c:pt idx="20">
                  <c:v>1.2322749057944447E-3</c:v>
                </c:pt>
                <c:pt idx="21">
                  <c:v>1.8883760619132885E-3</c:v>
                </c:pt>
                <c:pt idx="22">
                  <c:v>2.5692264537094742E-4</c:v>
                </c:pt>
                <c:pt idx="23">
                  <c:v>4.0991455748499803E-3</c:v>
                </c:pt>
                <c:pt idx="24">
                  <c:v>6.5775129745809801E-4</c:v>
                </c:pt>
                <c:pt idx="25">
                  <c:v>1.1109262898540208E-4</c:v>
                </c:pt>
                <c:pt idx="26">
                  <c:v>9.1692166230657856E-3</c:v>
                </c:pt>
                <c:pt idx="27">
                  <c:v>4.4235619117638505E-3</c:v>
                </c:pt>
                <c:pt idx="28">
                  <c:v>3.0826264847056109E-3</c:v>
                </c:pt>
                <c:pt idx="29">
                  <c:v>6.2029584961346138E-5</c:v>
                </c:pt>
                <c:pt idx="30">
                  <c:v>7.7928185128998126E-4</c:v>
                </c:pt>
                <c:pt idx="31">
                  <c:v>3.0204203402275462E-5</c:v>
                </c:pt>
                <c:pt idx="32">
                  <c:v>6.4629146707337827E-5</c:v>
                </c:pt>
                <c:pt idx="33">
                  <c:v>8.8435283691260262E-4</c:v>
                </c:pt>
                <c:pt idx="34">
                  <c:v>0</c:v>
                </c:pt>
                <c:pt idx="35">
                  <c:v>8.4447086337817348E-5</c:v>
                </c:pt>
                <c:pt idx="36">
                  <c:v>1.2473103154267605E-4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4.4859758595859724E-3</c:v>
                </c:pt>
                <c:pt idx="41">
                  <c:v>1.7533940339589074E-4</c:v>
                </c:pt>
                <c:pt idx="42">
                  <c:v>0</c:v>
                </c:pt>
                <c:pt idx="43">
                  <c:v>0</c:v>
                </c:pt>
                <c:pt idx="44">
                  <c:v>5.7172147662578887E-3</c:v>
                </c:pt>
                <c:pt idx="45">
                  <c:v>0</c:v>
                </c:pt>
                <c:pt idx="46">
                  <c:v>3.0134250445631762E-5</c:v>
                </c:pt>
                <c:pt idx="47">
                  <c:v>0</c:v>
                </c:pt>
                <c:pt idx="48">
                  <c:v>0</c:v>
                </c:pt>
                <c:pt idx="49">
                  <c:v>8.0221762930090001E-6</c:v>
                </c:pt>
                <c:pt idx="50">
                  <c:v>0</c:v>
                </c:pt>
                <c:pt idx="51">
                  <c:v>0</c:v>
                </c:pt>
                <c:pt idx="52">
                  <c:v>1.4997042542781131E-4</c:v>
                </c:pt>
                <c:pt idx="53">
                  <c:v>0</c:v>
                </c:pt>
                <c:pt idx="54">
                  <c:v>0</c:v>
                </c:pt>
                <c:pt idx="55">
                  <c:v>1.7216477980575004E-4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0.13243355062872952</c:v>
                </c:pt>
                <c:pt idx="1">
                  <c:v>0.23010532685906948</c:v>
                </c:pt>
                <c:pt idx="2">
                  <c:v>0.19127826915674703</c:v>
                </c:pt>
                <c:pt idx="3">
                  <c:v>0.12372869843008022</c:v>
                </c:pt>
                <c:pt idx="4">
                  <c:v>8.080342348313474E-2</c:v>
                </c:pt>
                <c:pt idx="5">
                  <c:v>5.3552645933378752E-2</c:v>
                </c:pt>
                <c:pt idx="6">
                  <c:v>3.5758026104264741E-2</c:v>
                </c:pt>
                <c:pt idx="7">
                  <c:v>2.2300394589776892E-2</c:v>
                </c:pt>
                <c:pt idx="8">
                  <c:v>1.4206878665187384E-2</c:v>
                </c:pt>
                <c:pt idx="9">
                  <c:v>9.0959427443441099E-3</c:v>
                </c:pt>
                <c:pt idx="10">
                  <c:v>7.1404900158700425E-3</c:v>
                </c:pt>
                <c:pt idx="11">
                  <c:v>6.7205822720714011E-3</c:v>
                </c:pt>
                <c:pt idx="12">
                  <c:v>6.2039310774956212E-3</c:v>
                </c:pt>
                <c:pt idx="13">
                  <c:v>5.8581247002496804E-3</c:v>
                </c:pt>
                <c:pt idx="14">
                  <c:v>5.4793843823136507E-3</c:v>
                </c:pt>
                <c:pt idx="15">
                  <c:v>5.1706286883440606E-3</c:v>
                </c:pt>
                <c:pt idx="16">
                  <c:v>4.7527793158385493E-3</c:v>
                </c:pt>
                <c:pt idx="17">
                  <c:v>4.2505367203146838E-3</c:v>
                </c:pt>
                <c:pt idx="18">
                  <c:v>4.2011358092795496E-3</c:v>
                </c:pt>
                <c:pt idx="19">
                  <c:v>4.0426412197084932E-3</c:v>
                </c:pt>
                <c:pt idx="20">
                  <c:v>3.5939162778060234E-3</c:v>
                </c:pt>
                <c:pt idx="21">
                  <c:v>3.4518886585800119E-3</c:v>
                </c:pt>
                <c:pt idx="22">
                  <c:v>3.2275261876287768E-3</c:v>
                </c:pt>
                <c:pt idx="23">
                  <c:v>2.9228872362454484E-3</c:v>
                </c:pt>
                <c:pt idx="24">
                  <c:v>2.8570193548652693E-3</c:v>
                </c:pt>
                <c:pt idx="25">
                  <c:v>2.7108749930529969E-3</c:v>
                </c:pt>
                <c:pt idx="26">
                  <c:v>2.4638704378773251E-3</c:v>
                </c:pt>
                <c:pt idx="27">
                  <c:v>2.1921654271840861E-3</c:v>
                </c:pt>
                <c:pt idx="28">
                  <c:v>2.1777568281321721E-3</c:v>
                </c:pt>
                <c:pt idx="29">
                  <c:v>1.9122269313183251E-3</c:v>
                </c:pt>
                <c:pt idx="30">
                  <c:v>1.887526475800758E-3</c:v>
                </c:pt>
                <c:pt idx="31">
                  <c:v>1.7557907130403996E-3</c:v>
                </c:pt>
                <c:pt idx="32">
                  <c:v>1.6425802919182169E-3</c:v>
                </c:pt>
                <c:pt idx="33">
                  <c:v>1.5170196430372503E-3</c:v>
                </c:pt>
                <c:pt idx="34">
                  <c:v>1.4182178209669817E-3</c:v>
                </c:pt>
                <c:pt idx="35">
                  <c:v>1.2967739146722765E-3</c:v>
                </c:pt>
                <c:pt idx="36">
                  <c:v>1.2576648601027951E-3</c:v>
                </c:pt>
                <c:pt idx="37">
                  <c:v>1.2206141768264444E-3</c:v>
                </c:pt>
                <c:pt idx="38">
                  <c:v>1.0621195872553882E-3</c:v>
                </c:pt>
                <c:pt idx="39">
                  <c:v>9.1803359673624653E-4</c:v>
                </c:pt>
                <c:pt idx="40">
                  <c:v>9.0156662639120173E-4</c:v>
                </c:pt>
                <c:pt idx="41">
                  <c:v>9.1597522544311586E-4</c:v>
                </c:pt>
                <c:pt idx="42">
                  <c:v>8.7274942828737337E-4</c:v>
                </c:pt>
                <c:pt idx="43">
                  <c:v>8.2952363113163077E-4</c:v>
                </c:pt>
                <c:pt idx="44">
                  <c:v>7.2248832388883976E-4</c:v>
                </c:pt>
                <c:pt idx="45">
                  <c:v>6.5250369992239936E-4</c:v>
                </c:pt>
                <c:pt idx="46">
                  <c:v>5.6811047690404493E-4</c:v>
                </c:pt>
                <c:pt idx="47">
                  <c:v>6.1545301664604865E-4</c:v>
                </c:pt>
                <c:pt idx="48">
                  <c:v>6.1339464535291809E-4</c:v>
                </c:pt>
                <c:pt idx="49">
                  <c:v>5.4958513526586958E-4</c:v>
                </c:pt>
                <c:pt idx="50">
                  <c:v>4.2814122897116429E-4</c:v>
                </c:pt>
                <c:pt idx="51">
                  <c:v>4.1373262991925011E-4</c:v>
                </c:pt>
                <c:pt idx="52">
                  <c:v>3.8285706052229113E-4</c:v>
                </c:pt>
                <c:pt idx="53">
                  <c:v>3.3139777819402618E-4</c:v>
                </c:pt>
                <c:pt idx="54">
                  <c:v>3.7462357534976873E-4</c:v>
                </c:pt>
                <c:pt idx="55">
                  <c:v>2.7170501069323884E-4</c:v>
                </c:pt>
                <c:pt idx="56">
                  <c:v>2.1612898577871273E-4</c:v>
                </c:pt>
                <c:pt idx="57">
                  <c:v>2.4494618388254109E-4</c:v>
                </c:pt>
                <c:pt idx="58">
                  <c:v>1.7701993120923138E-4</c:v>
                </c:pt>
                <c:pt idx="59">
                  <c:v>1.6055296086418661E-4</c:v>
                </c:pt>
                <c:pt idx="60">
                  <c:v>1.4820273310540302E-4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3.938036498685387E-2</c:v>
                </c:pt>
                <c:pt idx="1">
                  <c:v>0.10301939504894449</c:v>
                </c:pt>
                <c:pt idx="2">
                  <c:v>8.7525500950006774E-2</c:v>
                </c:pt>
                <c:pt idx="3">
                  <c:v>9.8579659604136324E-2</c:v>
                </c:pt>
                <c:pt idx="4">
                  <c:v>8.5471123172146224E-2</c:v>
                </c:pt>
                <c:pt idx="5">
                  <c:v>0.10718345477298163</c:v>
                </c:pt>
                <c:pt idx="6">
                  <c:v>5.8340298831789449E-2</c:v>
                </c:pt>
                <c:pt idx="7">
                  <c:v>5.3404642795352092E-2</c:v>
                </c:pt>
                <c:pt idx="8">
                  <c:v>4.0733709183620341E-2</c:v>
                </c:pt>
                <c:pt idx="9">
                  <c:v>5.1709369117380485E-2</c:v>
                </c:pt>
                <c:pt idx="10">
                  <c:v>3.6754242994915774E-2</c:v>
                </c:pt>
                <c:pt idx="11">
                  <c:v>2.1680014790982263E-2</c:v>
                </c:pt>
                <c:pt idx="12">
                  <c:v>2.020150050923681E-2</c:v>
                </c:pt>
                <c:pt idx="13">
                  <c:v>2.1878884060429017E-2</c:v>
                </c:pt>
                <c:pt idx="14">
                  <c:v>1.9947842423402924E-2</c:v>
                </c:pt>
                <c:pt idx="15">
                  <c:v>9.7692686211890926E-3</c:v>
                </c:pt>
                <c:pt idx="16">
                  <c:v>1.3572615851572913E-2</c:v>
                </c:pt>
                <c:pt idx="17">
                  <c:v>3.349309281148434E-2</c:v>
                </c:pt>
                <c:pt idx="18">
                  <c:v>2.1498387573178502E-3</c:v>
                </c:pt>
                <c:pt idx="19">
                  <c:v>6.6611503048913372E-3</c:v>
                </c:pt>
                <c:pt idx="20">
                  <c:v>2.8205442873010279E-3</c:v>
                </c:pt>
                <c:pt idx="21">
                  <c:v>4.4667505280910426E-4</c:v>
                </c:pt>
                <c:pt idx="22">
                  <c:v>6.8831094450771534E-4</c:v>
                </c:pt>
                <c:pt idx="23">
                  <c:v>5.2370128013144836E-3</c:v>
                </c:pt>
                <c:pt idx="24">
                  <c:v>7.3050895866555729E-3</c:v>
                </c:pt>
                <c:pt idx="25">
                  <c:v>1.6041464700545195E-4</c:v>
                </c:pt>
                <c:pt idx="26">
                  <c:v>2.5469683773634625E-2</c:v>
                </c:pt>
                <c:pt idx="27">
                  <c:v>6.4487388114390269E-3</c:v>
                </c:pt>
                <c:pt idx="28">
                  <c:v>1.4009476195597564E-3</c:v>
                </c:pt>
                <c:pt idx="29">
                  <c:v>5.7342214978080373E-4</c:v>
                </c:pt>
                <c:pt idx="30">
                  <c:v>1.0712423057901556E-3</c:v>
                </c:pt>
                <c:pt idx="31">
                  <c:v>1.4690674577662727E-3</c:v>
                </c:pt>
                <c:pt idx="32">
                  <c:v>9.1372985956385299E-4</c:v>
                </c:pt>
                <c:pt idx="33">
                  <c:v>3.9984219532254961E-4</c:v>
                </c:pt>
                <c:pt idx="34">
                  <c:v>3.4904673778795073E-3</c:v>
                </c:pt>
                <c:pt idx="35">
                  <c:v>3.9959473346110703E-3</c:v>
                </c:pt>
                <c:pt idx="36">
                  <c:v>3.1098666951713095E-5</c:v>
                </c:pt>
                <c:pt idx="37">
                  <c:v>5.4540184764100708E-3</c:v>
                </c:pt>
                <c:pt idx="38">
                  <c:v>8.3277505716268813E-3</c:v>
                </c:pt>
                <c:pt idx="39">
                  <c:v>6.6678199634045976E-5</c:v>
                </c:pt>
                <c:pt idx="40">
                  <c:v>9.1788306071212097E-4</c:v>
                </c:pt>
                <c:pt idx="41">
                  <c:v>7.7928185128998148E-4</c:v>
                </c:pt>
                <c:pt idx="42">
                  <c:v>0</c:v>
                </c:pt>
                <c:pt idx="43">
                  <c:v>4.6086754410035424E-5</c:v>
                </c:pt>
                <c:pt idx="44">
                  <c:v>2.0917811788049345E-4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3.1098922907819733E-5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4.4859758595859733E-3</c:v>
                </c:pt>
                <c:pt idx="53">
                  <c:v>1.7533940339589077E-4</c:v>
                </c:pt>
                <c:pt idx="54">
                  <c:v>3.0134250445631769E-5</c:v>
                </c:pt>
                <c:pt idx="55">
                  <c:v>0</c:v>
                </c:pt>
                <c:pt idx="56">
                  <c:v>5.7172147662578904E-3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2.3131976592201654E-2</c:v>
                </c:pt>
                <c:pt idx="1">
                  <c:v>5.4056946900195753E-2</c:v>
                </c:pt>
                <c:pt idx="2">
                  <c:v>8.4201794488093354E-2</c:v>
                </c:pt>
                <c:pt idx="3">
                  <c:v>0.11277198803674604</c:v>
                </c:pt>
                <c:pt idx="4">
                  <c:v>0.11712956006430351</c:v>
                </c:pt>
                <c:pt idx="5">
                  <c:v>0.1060143550813983</c:v>
                </c:pt>
                <c:pt idx="6">
                  <c:v>8.6813867659076074E-2</c:v>
                </c:pt>
                <c:pt idx="7">
                  <c:v>6.6952643051658947E-2</c:v>
                </c:pt>
                <c:pt idx="8">
                  <c:v>5.2994827312940362E-2</c:v>
                </c:pt>
                <c:pt idx="9">
                  <c:v>4.340487545824491E-2</c:v>
                </c:pt>
                <c:pt idx="10">
                  <c:v>3.5352526959518009E-2</c:v>
                </c:pt>
                <c:pt idx="11">
                  <c:v>2.817704463166475E-2</c:v>
                </c:pt>
                <c:pt idx="12">
                  <c:v>2.2821162526938936E-2</c:v>
                </c:pt>
                <c:pt idx="13">
                  <c:v>1.8659135772228864E-2</c:v>
                </c:pt>
                <c:pt idx="14">
                  <c:v>1.408955150147894E-2</c:v>
                </c:pt>
                <c:pt idx="15">
                  <c:v>1.0598553788329447E-2</c:v>
                </c:pt>
                <c:pt idx="16">
                  <c:v>8.4372639305423189E-3</c:v>
                </c:pt>
                <c:pt idx="17">
                  <c:v>7.09520584742117E-3</c:v>
                </c:pt>
                <c:pt idx="18">
                  <c:v>5.9054672399916838E-3</c:v>
                </c:pt>
                <c:pt idx="19">
                  <c:v>5.2591386539486765E-3</c:v>
                </c:pt>
                <c:pt idx="20">
                  <c:v>4.7548376871316802E-3</c:v>
                </c:pt>
                <c:pt idx="21">
                  <c:v>4.4707824486796581E-3</c:v>
                </c:pt>
                <c:pt idx="22">
                  <c:v>4.2978792600566872E-3</c:v>
                </c:pt>
                <c:pt idx="23">
                  <c:v>4.3802141117819113E-3</c:v>
                </c:pt>
                <c:pt idx="24">
                  <c:v>4.0405828484153632E-3</c:v>
                </c:pt>
                <c:pt idx="25">
                  <c:v>3.9952986799664898E-3</c:v>
                </c:pt>
                <c:pt idx="26">
                  <c:v>3.6906597285831615E-3</c:v>
                </c:pt>
                <c:pt idx="27">
                  <c:v>3.447771915993751E-3</c:v>
                </c:pt>
                <c:pt idx="28">
                  <c:v>3.3530868365097433E-3</c:v>
                </c:pt>
                <c:pt idx="29">
                  <c:v>3.2316429302150381E-3</c:v>
                </c:pt>
                <c:pt idx="30">
                  <c:v>2.9825800037462358E-3</c:v>
                </c:pt>
                <c:pt idx="31">
                  <c:v>2.8858365529690977E-3</c:v>
                </c:pt>
                <c:pt idx="32">
                  <c:v>2.7335170772774336E-3</c:v>
                </c:pt>
                <c:pt idx="33">
                  <c:v>2.6058980571033365E-3</c:v>
                </c:pt>
                <c:pt idx="34">
                  <c:v>2.5029794924468067E-3</c:v>
                </c:pt>
                <c:pt idx="35">
                  <c:v>2.2250993678741759E-3</c:v>
                </c:pt>
                <c:pt idx="36">
                  <c:v>2.2045156549428701E-3</c:v>
                </c:pt>
                <c:pt idx="37">
                  <c:v>2.2539165659780044E-3</c:v>
                </c:pt>
                <c:pt idx="38">
                  <c:v>2.1015970902863402E-3</c:v>
                </c:pt>
                <c:pt idx="39">
                  <c:v>2.0254373524405079E-3</c:v>
                </c:pt>
                <c:pt idx="40">
                  <c:v>2.0871884912344258E-3</c:v>
                </c:pt>
                <c:pt idx="41">
                  <c:v>1.8484174212312766E-3</c:v>
                </c:pt>
                <c:pt idx="42">
                  <c:v>1.6693391187289147E-3</c:v>
                </c:pt>
                <c:pt idx="43">
                  <c:v>1.5890626382968212E-3</c:v>
                </c:pt>
                <c:pt idx="44">
                  <c:v>1.5005526726922056E-3</c:v>
                </c:pt>
                <c:pt idx="45">
                  <c:v>1.5520119550204705E-3</c:v>
                </c:pt>
                <c:pt idx="46">
                  <c:v>1.3935173654494146E-3</c:v>
                </c:pt>
                <c:pt idx="47">
                  <c:v>1.2905988007928847E-3</c:v>
                </c:pt>
                <c:pt idx="48">
                  <c:v>1.1382793251012203E-3</c:v>
                </c:pt>
                <c:pt idx="49">
                  <c:v>1.2247309194127055E-3</c:v>
                </c:pt>
                <c:pt idx="50">
                  <c:v>1.0250689039790375E-3</c:v>
                </c:pt>
                <c:pt idx="51">
                  <c:v>1.0086019336339928E-3</c:v>
                </c:pt>
                <c:pt idx="52">
                  <c:v>1.0250689039790375E-3</c:v>
                </c:pt>
                <c:pt idx="53">
                  <c:v>8.9539151251180995E-4</c:v>
                </c:pt>
                <c:pt idx="54">
                  <c:v>8.7274942828737337E-4</c:v>
                </c:pt>
                <c:pt idx="55">
                  <c:v>8.2540688854536954E-4</c:v>
                </c:pt>
                <c:pt idx="56">
                  <c:v>7.8218109138962705E-4</c:v>
                </c:pt>
                <c:pt idx="57">
                  <c:v>6.7720415543996661E-4</c:v>
                </c:pt>
                <c:pt idx="58">
                  <c:v>6.5456207121553003E-4</c:v>
                </c:pt>
                <c:pt idx="59">
                  <c:v>6.0927790276665687E-4</c:v>
                </c:pt>
                <c:pt idx="60">
                  <c:v>5.372349075070859E-4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L11" sqref="L1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5" t="n">
        <v>12167.11888507059</v>
      </c>
      <c r="C11" s="11">
        <f>B11/B$102</f>
        <v>0.19412315525471849</v>
      </c>
      <c r="E11" s="19">
        <v>0</v>
      </c>
      <c r="F11" s="337" t="n">
        <v>15379.0</v>
      </c>
      <c r="G11" s="11">
        <f>F11/F$102</f>
        <v>0.13243355062872952</v>
      </c>
      <c r="K11" s="8" t="n">
        <v>5.361408004076393</v>
      </c>
      <c r="L11" s="8" t="n">
        <v>7.642638015648719</v>
      </c>
    </row>
    <row r="12" spans="1:12" x14ac:dyDescent="0.25">
      <c r="A12">
        <v>1</v>
      </c>
      <c r="B12" s="335" t="n">
        <v>39250.29235987473</v>
      </c>
      <c r="C12" s="11">
        <f>B12/B$102</f>
        <v>0.20445702113087125</v>
      </c>
      <c r="E12" s="20">
        <v>1</v>
      </c>
      <c r="F12" s="337" t="n">
        <v>20180.0</v>
      </c>
      <c r="G12" s="11">
        <f>F12/F$102</f>
        <v>0.23010532685906948</v>
      </c>
      <c r="K12" s="8"/>
      <c r="L12" s="289"/>
    </row>
    <row r="13" spans="1:12" x14ac:dyDescent="0.25">
      <c r="A13">
        <v>2</v>
      </c>
      <c r="B13" s="335" t="n">
        <v>31110.73682270321</v>
      </c>
      <c r="C13" s="11">
        <f ref="C13:C76" si="0" t="shared">B13/B$102</f>
        <v>0.12508667710192808</v>
      </c>
      <c r="E13" s="21">
        <v>2</v>
      </c>
      <c r="F13" s="337" t="n">
        <v>24505.0</v>
      </c>
      <c r="G13" s="11">
        <f ref="G13:G76" si="1" t="shared">F13/F$102</f>
        <v>0.19127826915674703</v>
      </c>
    </row>
    <row r="14" spans="1:12" x14ac:dyDescent="0.25">
      <c r="A14">
        <v>3</v>
      </c>
      <c r="B14" s="335" t="n">
        <v>34120.75582174378</v>
      </c>
      <c r="C14" s="11">
        <f si="0" t="shared"/>
        <v>0.11763651463313231</v>
      </c>
      <c r="E14" s="22">
        <v>3</v>
      </c>
      <c r="F14" s="337" t="n">
        <v>26567.0</v>
      </c>
      <c r="G14" s="11">
        <f si="1" t="shared"/>
        <v>0.12372869843008022</v>
      </c>
    </row>
    <row r="15" spans="1:12" x14ac:dyDescent="0.25">
      <c r="A15">
        <v>4</v>
      </c>
      <c r="B15" s="335" t="n">
        <v>20243.12139269702</v>
      </c>
      <c r="C15" s="11">
        <f si="0" t="shared"/>
        <v>8.3475450241555491E-2</v>
      </c>
      <c r="E15" s="23">
        <v>4</v>
      </c>
      <c r="F15" s="337" t="n">
        <v>20736.0</v>
      </c>
      <c r="G15" s="11">
        <f si="1" t="shared"/>
        <v>8.080342348313474E-2</v>
      </c>
    </row>
    <row r="16" spans="1:12" x14ac:dyDescent="0.25">
      <c r="A16">
        <v>5</v>
      </c>
      <c r="B16" s="335" t="n">
        <v>13533.492765461748</v>
      </c>
      <c r="C16" s="11">
        <f si="0" t="shared"/>
        <v>5.2581092641289039E-2</v>
      </c>
      <c r="E16" s="24">
        <v>5</v>
      </c>
      <c r="F16" s="337" t="n">
        <v>15261.0</v>
      </c>
      <c r="G16" s="11">
        <f si="1" t="shared"/>
        <v>5.3552645933378752E-2</v>
      </c>
    </row>
    <row r="17" spans="1:7" x14ac:dyDescent="0.25">
      <c r="A17">
        <v>6</v>
      </c>
      <c r="B17" s="335" t="n">
        <v>11910.205287849398</v>
      </c>
      <c r="C17" s="11">
        <f si="0" t="shared"/>
        <v>3.242463241311612E-2</v>
      </c>
      <c r="E17" s="25">
        <v>6</v>
      </c>
      <c r="F17" s="337" t="n">
        <v>10370.0</v>
      </c>
      <c r="G17" s="11">
        <f si="1" t="shared"/>
        <v>3.5758026104264741E-2</v>
      </c>
    </row>
    <row r="18" spans="1:7" x14ac:dyDescent="0.25">
      <c r="A18">
        <v>7</v>
      </c>
      <c r="B18" s="335" t="n">
        <v>8195.234425447617</v>
      </c>
      <c r="C18" s="11">
        <f si="0" t="shared"/>
        <v>2.4448465935987762E-2</v>
      </c>
      <c r="E18" s="26">
        <v>7</v>
      </c>
      <c r="F18" s="337" t="n">
        <v>7170.0</v>
      </c>
      <c r="G18" s="11">
        <f si="1" t="shared"/>
        <v>2.2300394589776892E-2</v>
      </c>
    </row>
    <row r="19" spans="1:7" x14ac:dyDescent="0.25">
      <c r="A19">
        <v>8</v>
      </c>
      <c r="B19" s="335" t="n">
        <v>8932.640716440848</v>
      </c>
      <c r="C19" s="11">
        <f si="0" t="shared"/>
        <v>4.0603952097587506E-2</v>
      </c>
      <c r="E19" s="27">
        <v>8</v>
      </c>
      <c r="F19" s="337" t="n">
        <v>4973.0</v>
      </c>
      <c r="G19" s="11">
        <f si="1" t="shared"/>
        <v>1.4206878665187384E-2</v>
      </c>
    </row>
    <row r="20" spans="1:7" x14ac:dyDescent="0.25">
      <c r="A20">
        <v>9</v>
      </c>
      <c r="B20" s="335" t="n">
        <v>5528.833068680876</v>
      </c>
      <c r="C20" s="11">
        <f si="0" t="shared"/>
        <v>2.3290245204776409E-2</v>
      </c>
      <c r="E20" s="28">
        <v>9</v>
      </c>
      <c r="F20" s="337" t="n">
        <v>3514.0</v>
      </c>
      <c r="G20" s="11">
        <f si="1" t="shared"/>
        <v>9.0959427443441099E-3</v>
      </c>
    </row>
    <row r="21" spans="1:7" x14ac:dyDescent="0.25">
      <c r="A21">
        <v>10</v>
      </c>
      <c r="B21" s="335" t="n">
        <v>2509.3714974129575</v>
      </c>
      <c r="C21" s="11">
        <f si="0" t="shared"/>
        <v>4.093066500066204E-3</v>
      </c>
      <c r="E21" s="29">
        <v>10</v>
      </c>
      <c r="F21" s="337" t="n">
        <v>2846.0</v>
      </c>
      <c r="G21" s="11">
        <f si="1" t="shared"/>
        <v>7.1404900158700425E-3</v>
      </c>
    </row>
    <row r="22" spans="1:7" x14ac:dyDescent="0.25">
      <c r="A22">
        <v>11</v>
      </c>
      <c r="B22" s="335" t="n">
        <v>5127.364126477674</v>
      </c>
      <c r="C22" s="11">
        <f si="0" t="shared"/>
        <v>2.1569557230303685E-2</v>
      </c>
      <c r="E22" s="30">
        <v>11</v>
      </c>
      <c r="F22" s="337" t="n">
        <v>2730.0</v>
      </c>
      <c r="G22" s="11">
        <f si="1" t="shared"/>
        <v>6.7205822720714011E-3</v>
      </c>
    </row>
    <row r="23" spans="1:7" x14ac:dyDescent="0.25">
      <c r="A23">
        <v>12</v>
      </c>
      <c r="B23" s="335" t="n">
        <v>4305.177343285806</v>
      </c>
      <c r="C23" s="11">
        <f si="0" t="shared"/>
        <v>1.0512351288364667E-2</v>
      </c>
      <c r="E23" s="31">
        <v>12</v>
      </c>
      <c r="F23" s="337" t="n">
        <v>2550.0</v>
      </c>
      <c r="G23" s="11">
        <f si="1" t="shared"/>
        <v>6.2039310774956212E-3</v>
      </c>
    </row>
    <row r="24" spans="1:7" x14ac:dyDescent="0.25">
      <c r="A24">
        <v>13</v>
      </c>
      <c r="B24" s="335" t="n">
        <v>3199.866890363296</v>
      </c>
      <c r="C24" s="11">
        <f si="0" t="shared"/>
        <v>1.3292291797167939E-2</v>
      </c>
      <c r="E24" s="32">
        <v>13</v>
      </c>
      <c r="F24" s="337" t="n">
        <v>2337.0</v>
      </c>
      <c r="G24" s="11">
        <f si="1" t="shared"/>
        <v>5.8581247002496804E-3</v>
      </c>
    </row>
    <row r="25" spans="1:7" x14ac:dyDescent="0.25">
      <c r="A25">
        <v>14</v>
      </c>
      <c r="B25" s="335" t="n">
        <v>1899.7243579419126</v>
      </c>
      <c r="C25" s="11">
        <f si="0" t="shared"/>
        <v>3.8571847489879E-3</v>
      </c>
      <c r="E25" s="33">
        <v>14</v>
      </c>
      <c r="F25" s="337" t="n">
        <v>2082.0</v>
      </c>
      <c r="G25" s="11">
        <f si="1" t="shared"/>
        <v>5.4793843823136507E-3</v>
      </c>
    </row>
    <row r="26" spans="1:7" x14ac:dyDescent="0.25">
      <c r="A26">
        <v>15</v>
      </c>
      <c r="B26" s="335" t="n">
        <v>3256.9648695733777</v>
      </c>
      <c r="C26" s="11">
        <f si="0" t="shared"/>
        <v>2.2783964190377379E-3</v>
      </c>
      <c r="E26" s="34">
        <v>15</v>
      </c>
      <c r="F26" s="337" t="n">
        <v>1956.0</v>
      </c>
      <c r="G26" s="11">
        <f si="1" t="shared"/>
        <v>5.1706286883440606E-3</v>
      </c>
    </row>
    <row r="27" spans="1:7" x14ac:dyDescent="0.25">
      <c r="A27">
        <v>16</v>
      </c>
      <c r="B27" s="335" t="n">
        <v>1300.3884033714182</v>
      </c>
      <c r="C27" s="11">
        <f si="0" t="shared"/>
        <v>6.9918179881120425E-4</v>
      </c>
      <c r="E27" s="35">
        <v>16</v>
      </c>
      <c r="F27" s="337" t="n">
        <v>1856.0</v>
      </c>
      <c r="G27" s="11">
        <f si="1" t="shared"/>
        <v>4.7527793158385493E-3</v>
      </c>
    </row>
    <row r="28" spans="1:7" x14ac:dyDescent="0.25">
      <c r="A28">
        <v>17</v>
      </c>
      <c r="B28" s="335" t="n">
        <v>571.429017272914</v>
      </c>
      <c r="C28" s="11">
        <f si="0" t="shared"/>
        <v>3.0361884273144265E-3</v>
      </c>
      <c r="E28" s="36">
        <v>17</v>
      </c>
      <c r="F28" s="337" t="n">
        <v>1723.0</v>
      </c>
      <c r="G28" s="11">
        <f si="1" t="shared"/>
        <v>4.2505367203146838E-3</v>
      </c>
    </row>
    <row r="29" spans="1:7" x14ac:dyDescent="0.25">
      <c r="A29">
        <v>18</v>
      </c>
      <c r="B29" s="335" t="n">
        <v>262.6868748792052</v>
      </c>
      <c r="C29" s="11">
        <f si="0" t="shared"/>
        <v>3.5323206493262185E-3</v>
      </c>
      <c r="E29" s="37">
        <v>18</v>
      </c>
      <c r="F29" s="337" t="n">
        <v>1466.0</v>
      </c>
      <c r="G29" s="11">
        <f si="1" t="shared"/>
        <v>4.2011358092795496E-3</v>
      </c>
    </row>
    <row r="30" spans="1:7" x14ac:dyDescent="0.25">
      <c r="A30">
        <v>19</v>
      </c>
      <c r="B30" s="335" t="n">
        <v>214.6429730231568</v>
      </c>
      <c r="C30" s="11">
        <f si="0" t="shared"/>
        <v>1.2617910259939916E-3</v>
      </c>
      <c r="E30" s="38">
        <v>19</v>
      </c>
      <c r="F30" s="337" t="n">
        <v>1458.0</v>
      </c>
      <c r="G30" s="11">
        <f si="1" t="shared"/>
        <v>4.0426412197084932E-3</v>
      </c>
    </row>
    <row r="31" spans="1:7" x14ac:dyDescent="0.25">
      <c r="A31">
        <v>20</v>
      </c>
      <c r="B31" s="335" t="n">
        <v>652.4915431894524</v>
      </c>
      <c r="C31" s="11">
        <f si="0" t="shared"/>
        <v>1.2322749057944447E-3</v>
      </c>
      <c r="E31" s="39">
        <v>20</v>
      </c>
      <c r="F31" s="337" t="n">
        <v>1367.0</v>
      </c>
      <c r="G31" s="11">
        <f si="1" t="shared"/>
        <v>3.5939162778060234E-3</v>
      </c>
    </row>
    <row r="32" spans="1:7" x14ac:dyDescent="0.25">
      <c r="A32">
        <v>21</v>
      </c>
      <c r="B32" s="335" t="n">
        <v>231.1795800726106</v>
      </c>
      <c r="C32" s="11">
        <f si="0" t="shared"/>
        <v>1.8883760619132885E-3</v>
      </c>
      <c r="E32" s="40">
        <v>21</v>
      </c>
      <c r="F32" s="337" t="n">
        <v>1328.0</v>
      </c>
      <c r="G32" s="11">
        <f si="1" t="shared"/>
        <v>3.4518886585800119E-3</v>
      </c>
    </row>
    <row r="33" spans="1:7" x14ac:dyDescent="0.25">
      <c r="A33">
        <v>22</v>
      </c>
      <c r="B33" s="335" t="n">
        <v>675.2884045247084</v>
      </c>
      <c r="C33" s="11">
        <f si="0" t="shared"/>
        <v>2.5692264537094742E-4</v>
      </c>
      <c r="E33" s="41">
        <v>22</v>
      </c>
      <c r="F33" s="337" t="n">
        <v>1226.0</v>
      </c>
      <c r="G33" s="11">
        <f si="1" t="shared"/>
        <v>3.2275261876287768E-3</v>
      </c>
    </row>
    <row r="34" spans="1:7" x14ac:dyDescent="0.25">
      <c r="A34">
        <v>23</v>
      </c>
      <c r="B34" s="335" t="n">
        <v>350.79012381613984</v>
      </c>
      <c r="C34" s="11">
        <f si="0" t="shared"/>
        <v>4.0991455748499803E-3</v>
      </c>
      <c r="E34" s="42">
        <v>23</v>
      </c>
      <c r="F34" s="337" t="n">
        <v>1200.0</v>
      </c>
      <c r="G34" s="11">
        <f si="1" t="shared"/>
        <v>2.9228872362454484E-3</v>
      </c>
    </row>
    <row r="35" spans="1:7" x14ac:dyDescent="0.25">
      <c r="A35">
        <v>24</v>
      </c>
      <c r="B35" s="335" t="n">
        <v>297.904912503097</v>
      </c>
      <c r="C35" s="11">
        <f si="0" t="shared"/>
        <v>6.5775129745809801E-4</v>
      </c>
      <c r="E35" s="43">
        <v>24</v>
      </c>
      <c r="F35" s="337" t="n">
        <v>1127.0</v>
      </c>
      <c r="G35" s="11">
        <f si="1" t="shared"/>
        <v>2.8570193548652693E-3</v>
      </c>
    </row>
    <row r="36" spans="1:7" x14ac:dyDescent="0.25">
      <c r="A36">
        <v>25</v>
      </c>
      <c r="B36" s="335" t="n">
        <v>82.41694017243921</v>
      </c>
      <c r="C36" s="11">
        <f si="0" t="shared"/>
        <v>1.1109262898540208E-4</v>
      </c>
      <c r="E36" s="44">
        <v>25</v>
      </c>
      <c r="F36" s="337" t="n">
        <v>1059.0</v>
      </c>
      <c r="G36" s="11">
        <f si="1" t="shared"/>
        <v>2.7108749930529969E-3</v>
      </c>
    </row>
    <row r="37" spans="1:7" x14ac:dyDescent="0.25">
      <c r="A37">
        <v>26</v>
      </c>
      <c r="B37" s="335" t="n">
        <v>265.4570306423854</v>
      </c>
      <c r="C37" s="11">
        <f si="0" t="shared"/>
        <v>9.1692166230657856E-3</v>
      </c>
      <c r="E37" s="45">
        <v>26</v>
      </c>
      <c r="F37" s="337" t="n">
        <v>964.0</v>
      </c>
      <c r="G37" s="11">
        <f si="1" t="shared"/>
        <v>2.4638704378773251E-3</v>
      </c>
    </row>
    <row r="38" spans="1:7" x14ac:dyDescent="0.25">
      <c r="A38">
        <v>27</v>
      </c>
      <c r="B38" s="335" t="n">
        <v>0.0</v>
      </c>
      <c r="C38" s="11">
        <f si="0" t="shared"/>
        <v>4.4235619117638505E-3</v>
      </c>
      <c r="E38" s="46">
        <v>27</v>
      </c>
      <c r="F38" s="337" t="n">
        <v>855.0</v>
      </c>
      <c r="G38" s="11">
        <f si="1" t="shared"/>
        <v>2.1921654271840861E-3</v>
      </c>
    </row>
    <row r="39" spans="1:7" x14ac:dyDescent="0.25">
      <c r="A39">
        <v>28</v>
      </c>
      <c r="B39" s="335" t="n">
        <v>28.4741211831502</v>
      </c>
      <c r="C39" s="11">
        <f si="0" t="shared"/>
        <v>3.0826264847056109E-3</v>
      </c>
      <c r="E39" s="47">
        <v>28</v>
      </c>
      <c r="F39" s="337" t="n">
        <v>740.0</v>
      </c>
      <c r="G39" s="11">
        <f si="1" t="shared"/>
        <v>2.1777568281321721E-3</v>
      </c>
    </row>
    <row r="40" spans="1:7" x14ac:dyDescent="0.25">
      <c r="A40">
        <v>29</v>
      </c>
      <c r="B40" s="335" t="n">
        <v>180.2853098848988</v>
      </c>
      <c r="C40" s="11">
        <f si="0" t="shared"/>
        <v>6.2029584961346138E-5</v>
      </c>
      <c r="E40" s="48">
        <v>29</v>
      </c>
      <c r="F40" s="337" t="n">
        <v>689.0</v>
      </c>
      <c r="G40" s="11">
        <f si="1" t="shared"/>
        <v>1.9122269313183251E-3</v>
      </c>
    </row>
    <row r="41" spans="1:7" x14ac:dyDescent="0.25">
      <c r="A41">
        <v>30</v>
      </c>
      <c r="B41" s="335" t="n">
        <v>0.0</v>
      </c>
      <c r="C41" s="11">
        <f si="0" t="shared"/>
        <v>7.7928185128998126E-4</v>
      </c>
      <c r="E41" s="49">
        <v>30</v>
      </c>
      <c r="F41" s="337" t="n">
        <v>601.0</v>
      </c>
      <c r="G41" s="11">
        <f si="1" t="shared"/>
        <v>1.887526475800758E-3</v>
      </c>
    </row>
    <row r="42" spans="1:7" x14ac:dyDescent="0.25">
      <c r="A42">
        <v>31</v>
      </c>
      <c r="B42" s="335" t="n">
        <v>0.0</v>
      </c>
      <c r="C42" s="11">
        <f si="0" t="shared"/>
        <v>3.0204203402275462E-5</v>
      </c>
      <c r="E42" s="50">
        <v>31</v>
      </c>
      <c r="F42" s="337" t="n">
        <v>581.0</v>
      </c>
      <c r="G42" s="11">
        <f si="1" t="shared"/>
        <v>1.7557907130403996E-3</v>
      </c>
    </row>
    <row r="43" spans="1:7" x14ac:dyDescent="0.25">
      <c r="A43">
        <v>32</v>
      </c>
      <c r="B43" s="335" t="n">
        <v>250.206803860951</v>
      </c>
      <c r="C43" s="11">
        <f si="0" t="shared"/>
        <v>6.4629146707337827E-5</v>
      </c>
      <c r="E43" s="51">
        <v>32</v>
      </c>
      <c r="F43" s="337" t="n">
        <v>520.0</v>
      </c>
      <c r="G43" s="11">
        <f si="1" t="shared"/>
        <v>1.6425802919182169E-3</v>
      </c>
    </row>
    <row r="44" spans="1:7" x14ac:dyDescent="0.25">
      <c r="A44">
        <v>33</v>
      </c>
      <c r="B44" s="335" t="n">
        <v>230.5781158223509</v>
      </c>
      <c r="C44" s="11">
        <f si="0" t="shared"/>
        <v>8.8435283691260262E-4</v>
      </c>
      <c r="E44" s="52">
        <v>33</v>
      </c>
      <c r="F44" s="337" t="n">
        <v>479.0</v>
      </c>
      <c r="G44" s="11">
        <f si="1" t="shared"/>
        <v>1.5170196430372503E-3</v>
      </c>
    </row>
    <row r="45" spans="1:7" x14ac:dyDescent="0.25">
      <c r="A45">
        <v>34</v>
      </c>
      <c r="B45" s="335" t="n">
        <v>92.1874805010168</v>
      </c>
      <c r="C45" s="11">
        <f si="0" t="shared"/>
        <v>0</v>
      </c>
      <c r="E45" s="53">
        <v>34</v>
      </c>
      <c r="F45" s="337" t="n">
        <v>497.0</v>
      </c>
      <c r="G45" s="11">
        <f si="1" t="shared"/>
        <v>1.4182178209669817E-3</v>
      </c>
    </row>
    <row r="46" spans="1:7" x14ac:dyDescent="0.25">
      <c r="A46">
        <v>35</v>
      </c>
      <c r="B46" s="335" t="n">
        <v>120.74720401575</v>
      </c>
      <c r="C46" s="11">
        <f si="0" t="shared"/>
        <v>8.4447086337817348E-5</v>
      </c>
      <c r="E46" s="54">
        <v>35</v>
      </c>
      <c r="F46" s="337" t="n">
        <v>455.0</v>
      </c>
      <c r="G46" s="11">
        <f si="1" t="shared"/>
        <v>1.2967739146722765E-3</v>
      </c>
    </row>
    <row r="47" spans="1:7" x14ac:dyDescent="0.25">
      <c r="A47">
        <v>36</v>
      </c>
      <c r="B47" s="335" t="n">
        <v>0.0</v>
      </c>
      <c r="C47" s="11">
        <f si="0" t="shared"/>
        <v>1.2473103154267605E-4</v>
      </c>
      <c r="E47" s="55">
        <v>36</v>
      </c>
      <c r="F47" s="337" t="n">
        <v>387.0</v>
      </c>
      <c r="G47" s="11">
        <f si="1" t="shared"/>
        <v>1.2576648601027951E-3</v>
      </c>
    </row>
    <row r="48" spans="1:7" x14ac:dyDescent="0.25">
      <c r="A48">
        <v>37</v>
      </c>
      <c r="B48" s="335" t="n">
        <v>0.0</v>
      </c>
      <c r="C48" s="11">
        <f si="0" t="shared"/>
        <v>0</v>
      </c>
      <c r="E48" s="56">
        <v>37</v>
      </c>
      <c r="F48" s="337" t="n">
        <v>342.0</v>
      </c>
      <c r="G48" s="11">
        <f si="1" t="shared"/>
        <v>1.2206141768264444E-3</v>
      </c>
    </row>
    <row r="49" spans="1:7" x14ac:dyDescent="0.25">
      <c r="A49">
        <v>38</v>
      </c>
      <c r="B49" s="335" t="n">
        <v>0.0</v>
      </c>
      <c r="C49" s="11">
        <f si="0" t="shared"/>
        <v>0</v>
      </c>
      <c r="E49" s="57">
        <v>38</v>
      </c>
      <c r="F49" s="337" t="n">
        <v>298.0</v>
      </c>
      <c r="G49" s="11">
        <f si="1" t="shared"/>
        <v>1.0621195872553882E-3</v>
      </c>
    </row>
    <row r="50" spans="1:7" x14ac:dyDescent="0.25">
      <c r="A50">
        <v>39</v>
      </c>
      <c r="B50" s="335" t="n">
        <v>0.0</v>
      </c>
      <c r="C50" s="11">
        <f si="0" t="shared"/>
        <v>0</v>
      </c>
      <c r="E50" s="58">
        <v>39</v>
      </c>
      <c r="F50" s="337" t="n">
        <v>258.0</v>
      </c>
      <c r="G50" s="11">
        <f si="1" t="shared"/>
        <v>9.1803359673624653E-4</v>
      </c>
    </row>
    <row r="51" spans="1:7" x14ac:dyDescent="0.25">
      <c r="A51">
        <v>40</v>
      </c>
      <c r="B51" s="335" t="n">
        <v>0.0</v>
      </c>
      <c r="C51" s="11">
        <f si="0" t="shared"/>
        <v>4.4859758595859724E-3</v>
      </c>
      <c r="E51" s="59">
        <v>40</v>
      </c>
      <c r="F51" s="337" t="n">
        <v>251.0</v>
      </c>
      <c r="G51" s="11">
        <f si="1" t="shared"/>
        <v>9.0156662639120173E-4</v>
      </c>
    </row>
    <row r="52" spans="1:7" x14ac:dyDescent="0.25">
      <c r="A52">
        <v>41</v>
      </c>
      <c r="B52" s="335" t="n">
        <v>0.0</v>
      </c>
      <c r="C52" s="11">
        <f si="0" t="shared"/>
        <v>1.7533940339589074E-4</v>
      </c>
      <c r="E52" s="60">
        <v>41</v>
      </c>
      <c r="F52" s="337" t="n">
        <v>241.0</v>
      </c>
      <c r="G52" s="11">
        <f si="1" t="shared"/>
        <v>9.1597522544311586E-4</v>
      </c>
    </row>
    <row r="53" spans="1:7" x14ac:dyDescent="0.25">
      <c r="A53">
        <v>42</v>
      </c>
      <c r="B53" s="335" t="n">
        <v>0.0</v>
      </c>
      <c r="C53" s="11">
        <f si="0" t="shared"/>
        <v>0</v>
      </c>
      <c r="E53" s="61">
        <v>42</v>
      </c>
      <c r="F53" s="337" t="n">
        <v>263.0</v>
      </c>
      <c r="G53" s="11">
        <f si="1" t="shared"/>
        <v>8.7274942828737337E-4</v>
      </c>
    </row>
    <row r="54" spans="1:7" x14ac:dyDescent="0.25">
      <c r="A54">
        <v>43</v>
      </c>
      <c r="B54" s="335" t="n">
        <v>78.3441108859256</v>
      </c>
      <c r="C54" s="11">
        <f si="0" t="shared"/>
        <v>0</v>
      </c>
      <c r="E54" s="62">
        <v>43</v>
      </c>
      <c r="F54" s="337" t="n">
        <v>170.0</v>
      </c>
      <c r="G54" s="11">
        <f si="1" t="shared"/>
        <v>8.2952363113163077E-4</v>
      </c>
    </row>
    <row r="55" spans="1:7" x14ac:dyDescent="0.25">
      <c r="A55">
        <v>44</v>
      </c>
      <c r="B55" s="335" t="n">
        <v>886.307258578798</v>
      </c>
      <c r="C55" s="11">
        <f si="0" t="shared"/>
        <v>5.7172147662578887E-3</v>
      </c>
      <c r="E55" s="63">
        <v>44</v>
      </c>
      <c r="F55" s="337" t="n">
        <v>172.0</v>
      </c>
      <c r="G55" s="11">
        <f si="1" t="shared"/>
        <v>7.2248832388883976E-4</v>
      </c>
    </row>
    <row r="56" spans="1:7" x14ac:dyDescent="0.25">
      <c r="A56">
        <v>45</v>
      </c>
      <c r="B56" s="335" t="n">
        <v>0.0</v>
      </c>
      <c r="C56" s="11">
        <f si="0" t="shared"/>
        <v>0</v>
      </c>
      <c r="E56" s="64">
        <v>45</v>
      </c>
      <c r="F56" s="337" t="n">
        <v>205.0</v>
      </c>
      <c r="G56" s="11">
        <f si="1" t="shared"/>
        <v>6.5250369992239936E-4</v>
      </c>
    </row>
    <row r="57" spans="1:7" x14ac:dyDescent="0.25">
      <c r="A57">
        <v>46</v>
      </c>
      <c r="B57" s="335" t="n">
        <v>180.440866596186</v>
      </c>
      <c r="C57" s="11">
        <f si="0" t="shared"/>
        <v>3.0134250445631762E-5</v>
      </c>
      <c r="E57" s="65">
        <v>46</v>
      </c>
      <c r="F57" s="337" t="n">
        <v>163.0</v>
      </c>
      <c r="G57" s="11">
        <f si="1" t="shared"/>
        <v>5.6811047690404493E-4</v>
      </c>
    </row>
    <row r="58" spans="1:7" x14ac:dyDescent="0.25">
      <c r="A58">
        <v>47</v>
      </c>
      <c r="B58" s="335" t="n">
        <v>26.8818455625007</v>
      </c>
      <c r="C58" s="11">
        <f si="0" t="shared"/>
        <v>0</v>
      </c>
      <c r="E58" s="66">
        <v>47</v>
      </c>
      <c r="F58" s="337" t="n">
        <v>128.0</v>
      </c>
      <c r="G58" s="11">
        <f si="1" t="shared"/>
        <v>6.1545301664604865E-4</v>
      </c>
    </row>
    <row r="59" spans="1:7" x14ac:dyDescent="0.25">
      <c r="A59">
        <v>48</v>
      </c>
      <c r="B59" s="335" t="n">
        <v>0.0</v>
      </c>
      <c r="C59" s="11">
        <f si="0" t="shared"/>
        <v>0</v>
      </c>
      <c r="E59" s="67">
        <v>48</v>
      </c>
      <c r="F59" s="337" t="n">
        <v>104.0</v>
      </c>
      <c r="G59" s="11">
        <f si="1" t="shared"/>
        <v>6.1339464535291809E-4</v>
      </c>
    </row>
    <row r="60" spans="1:7" x14ac:dyDescent="0.25">
      <c r="A60">
        <v>49</v>
      </c>
      <c r="B60" s="335" t="n">
        <v>0.0</v>
      </c>
      <c r="C60" s="11">
        <f si="0" t="shared"/>
        <v>8.0221762930090001E-6</v>
      </c>
      <c r="E60" s="68">
        <v>49</v>
      </c>
      <c r="F60" s="337" t="n">
        <v>105.0</v>
      </c>
      <c r="G60" s="11">
        <f si="1" t="shared"/>
        <v>5.4958513526586958E-4</v>
      </c>
    </row>
    <row r="61" spans="1:7" x14ac:dyDescent="0.25">
      <c r="A61">
        <v>50</v>
      </c>
      <c r="B61" s="335" t="n">
        <v>0.0</v>
      </c>
      <c r="C61" s="11">
        <f si="0" t="shared"/>
        <v>0</v>
      </c>
      <c r="E61" s="69">
        <v>50</v>
      </c>
      <c r="F61" s="337" t="n">
        <v>113.0</v>
      </c>
      <c r="G61" s="11">
        <f si="1" t="shared"/>
        <v>4.2814122897116429E-4</v>
      </c>
    </row>
    <row r="62" spans="1:7" x14ac:dyDescent="0.25">
      <c r="A62">
        <v>51</v>
      </c>
      <c r="B62" s="335" t="n">
        <v>0.0</v>
      </c>
      <c r="C62" s="11">
        <f si="0" t="shared"/>
        <v>0</v>
      </c>
      <c r="E62" s="70">
        <v>51</v>
      </c>
      <c r="F62" s="337" t="n">
        <v>97.0</v>
      </c>
      <c r="G62" s="11">
        <f si="1" t="shared"/>
        <v>4.1373262991925011E-4</v>
      </c>
    </row>
    <row r="63" spans="1:7" x14ac:dyDescent="0.25">
      <c r="A63">
        <v>52</v>
      </c>
      <c r="B63" s="335" t="n">
        <v>0.0</v>
      </c>
      <c r="C63" s="11">
        <f si="0" t="shared"/>
        <v>1.4997042542781131E-4</v>
      </c>
      <c r="E63" s="71">
        <v>52</v>
      </c>
      <c r="F63" s="337" t="n">
        <v>138.0</v>
      </c>
      <c r="G63" s="11">
        <f si="1" t="shared"/>
        <v>3.8285706052229113E-4</v>
      </c>
    </row>
    <row r="64" spans="1:7" x14ac:dyDescent="0.25">
      <c r="A64">
        <v>53</v>
      </c>
      <c r="B64" s="335" t="n">
        <v>0.0</v>
      </c>
      <c r="C64" s="11">
        <f si="0" t="shared"/>
        <v>0</v>
      </c>
      <c r="E64" s="72">
        <v>53</v>
      </c>
      <c r="F64" s="337" t="n">
        <v>91.0</v>
      </c>
      <c r="G64" s="11">
        <f si="1" t="shared"/>
        <v>3.3139777819402618E-4</v>
      </c>
    </row>
    <row r="65" spans="1:7" x14ac:dyDescent="0.25">
      <c r="A65">
        <v>54</v>
      </c>
      <c r="B65" s="335" t="n">
        <v>0.0</v>
      </c>
      <c r="C65" s="11">
        <f si="0" t="shared"/>
        <v>0</v>
      </c>
      <c r="E65" s="73">
        <v>54</v>
      </c>
      <c r="F65" s="337" t="n">
        <v>73.0</v>
      </c>
      <c r="G65" s="11">
        <f si="1" t="shared"/>
        <v>3.7462357534976873E-4</v>
      </c>
    </row>
    <row r="66" spans="1:7" x14ac:dyDescent="0.25">
      <c r="A66">
        <v>55</v>
      </c>
      <c r="B66" s="335" t="n">
        <v>0.0</v>
      </c>
      <c r="C66" s="11">
        <f si="0" t="shared"/>
        <v>1.7216477980575004E-4</v>
      </c>
      <c r="E66" s="74">
        <v>55</v>
      </c>
      <c r="F66" s="337" t="n">
        <v>64.0</v>
      </c>
      <c r="G66" s="11">
        <f si="1" t="shared"/>
        <v>2.7170501069323884E-4</v>
      </c>
    </row>
    <row r="67" spans="1:7" x14ac:dyDescent="0.25">
      <c r="A67">
        <v>56</v>
      </c>
      <c r="B67" s="335" t="n">
        <v>0.0</v>
      </c>
      <c r="C67" s="11">
        <f si="0" t="shared"/>
        <v>0</v>
      </c>
      <c r="E67" s="75">
        <v>56</v>
      </c>
      <c r="F67" s="337" t="n">
        <v>102.0</v>
      </c>
      <c r="G67" s="11">
        <f si="1" t="shared"/>
        <v>2.1612898577871273E-4</v>
      </c>
    </row>
    <row r="68" spans="1:7" x14ac:dyDescent="0.25">
      <c r="A68">
        <v>57</v>
      </c>
      <c r="B68" s="335" t="n">
        <v>0.0</v>
      </c>
      <c r="C68" s="11">
        <f si="0" t="shared"/>
        <v>0</v>
      </c>
      <c r="E68" s="76">
        <v>57</v>
      </c>
      <c r="F68" s="337" t="n">
        <v>99.0</v>
      </c>
      <c r="G68" s="11">
        <f si="1" t="shared"/>
        <v>2.4494618388254109E-4</v>
      </c>
    </row>
    <row r="69" spans="1:7" x14ac:dyDescent="0.25">
      <c r="A69">
        <v>58</v>
      </c>
      <c r="B69" s="335" t="n">
        <v>0.0</v>
      </c>
      <c r="C69" s="11">
        <f si="0" t="shared"/>
        <v>0</v>
      </c>
      <c r="E69" s="77">
        <v>58</v>
      </c>
      <c r="F69" s="337" t="n">
        <v>35.0</v>
      </c>
      <c r="G69" s="11">
        <f si="1" t="shared"/>
        <v>1.7701993120923138E-4</v>
      </c>
    </row>
    <row r="70" spans="1:7" x14ac:dyDescent="0.25">
      <c r="A70">
        <v>59</v>
      </c>
      <c r="B70" s="335" t="n">
        <v>0.0</v>
      </c>
      <c r="C70" s="11">
        <f si="0" t="shared"/>
        <v>0</v>
      </c>
      <c r="E70" s="78">
        <v>59</v>
      </c>
      <c r="F70" s="337" t="n">
        <v>41.0</v>
      </c>
      <c r="G70" s="11">
        <f si="1" t="shared"/>
        <v>1.6055296086418661E-4</v>
      </c>
    </row>
    <row r="71" spans="1:7" x14ac:dyDescent="0.25">
      <c r="A71">
        <v>60</v>
      </c>
      <c r="B71" s="335" t="n">
        <v>0.0</v>
      </c>
      <c r="C71" s="11">
        <f si="0" t="shared"/>
        <v>0</v>
      </c>
      <c r="E71" s="79">
        <v>60</v>
      </c>
      <c r="F71" s="337" t="n">
        <v>32.0</v>
      </c>
      <c r="G71" s="11">
        <f si="1" t="shared"/>
        <v>1.4820273310540302E-4</v>
      </c>
    </row>
    <row r="72" spans="1:7" x14ac:dyDescent="0.25">
      <c r="A72">
        <v>61</v>
      </c>
      <c r="B72" s="335" t="n">
        <v>0.0</v>
      </c>
      <c r="C72" s="11">
        <f si="0" t="shared"/>
        <v>0</v>
      </c>
      <c r="E72" s="80">
        <v>61</v>
      </c>
      <c r="F72" s="337" t="n">
        <v>60.0</v>
      </c>
      <c r="G72" s="11">
        <f si="1" t="shared"/>
        <v>1.2761902017409705E-4</v>
      </c>
    </row>
    <row r="73" spans="1:7" x14ac:dyDescent="0.25">
      <c r="A73">
        <v>62</v>
      </c>
      <c r="B73" s="335" t="n">
        <v>0.0</v>
      </c>
      <c r="C73" s="11">
        <f si="0" t="shared"/>
        <v>0</v>
      </c>
      <c r="E73" s="81">
        <v>62</v>
      </c>
      <c r="F73" s="337" t="n">
        <v>10.0</v>
      </c>
      <c r="G73" s="11">
        <f si="1" t="shared"/>
        <v>1.3173576276035825E-4</v>
      </c>
    </row>
    <row r="74" spans="1:7" x14ac:dyDescent="0.25">
      <c r="A74">
        <v>63</v>
      </c>
      <c r="B74" s="335" t="n">
        <v>0.0</v>
      </c>
      <c r="C74" s="11">
        <f si="0" t="shared"/>
        <v>0</v>
      </c>
      <c r="E74" s="82">
        <v>63</v>
      </c>
      <c r="F74" s="337" t="n">
        <v>22.0</v>
      </c>
      <c r="G74" s="11">
        <f si="1" t="shared"/>
        <v>8.6451594311485092E-5</v>
      </c>
    </row>
    <row r="75" spans="1:7" x14ac:dyDescent="0.25">
      <c r="A75">
        <v>64</v>
      </c>
      <c r="B75" s="335" t="n">
        <v>0.0</v>
      </c>
      <c r="C75" s="11">
        <f si="0" t="shared"/>
        <v>5.099792339016602E-5</v>
      </c>
      <c r="E75" s="83">
        <v>64</v>
      </c>
      <c r="F75" s="337" t="n">
        <v>8.0</v>
      </c>
      <c r="G75" s="11">
        <f si="1" t="shared"/>
        <v>8.2334851725223893E-5</v>
      </c>
    </row>
    <row r="76" spans="1:7" x14ac:dyDescent="0.25">
      <c r="A76">
        <v>65</v>
      </c>
      <c r="B76" s="335" t="n">
        <v>0.0</v>
      </c>
      <c r="C76" s="11">
        <f si="0" t="shared"/>
        <v>0</v>
      </c>
      <c r="E76" s="84">
        <v>65</v>
      </c>
      <c r="F76" s="337" t="n">
        <v>21.0</v>
      </c>
      <c r="G76" s="11">
        <f si="1" t="shared"/>
        <v>7.8218109138962708E-5</v>
      </c>
    </row>
    <row r="77" spans="1:7" x14ac:dyDescent="0.25">
      <c r="A77">
        <v>66</v>
      </c>
      <c r="B77" s="335" t="n">
        <v>0.0</v>
      </c>
      <c r="C77" s="11">
        <f ref="C77:C102" si="2" t="shared">B77/B$102</f>
        <v>0</v>
      </c>
      <c r="E77" s="85">
        <v>66</v>
      </c>
      <c r="F77" s="337" t="n">
        <v>15.0</v>
      </c>
      <c r="G77" s="11">
        <f ref="G77:G102" si="3" t="shared">F77/F$102</f>
        <v>9.056833689774629E-5</v>
      </c>
    </row>
    <row r="78" spans="1:7" x14ac:dyDescent="0.25">
      <c r="A78">
        <v>67</v>
      </c>
      <c r="B78" s="335" t="n">
        <v>0.0</v>
      </c>
      <c r="C78" s="11">
        <f si="2" t="shared"/>
        <v>0</v>
      </c>
      <c r="E78" s="86">
        <v>67</v>
      </c>
      <c r="F78" s="337" t="n">
        <v>17.0</v>
      </c>
      <c r="G78" s="11">
        <f si="3" t="shared"/>
        <v>5.5576024914526135E-5</v>
      </c>
    </row>
    <row r="79" spans="1:7" x14ac:dyDescent="0.25">
      <c r="A79">
        <v>68</v>
      </c>
      <c r="B79" s="335" t="n">
        <v>0.0</v>
      </c>
      <c r="C79" s="11">
        <f si="2" t="shared"/>
        <v>0</v>
      </c>
      <c r="E79" s="87">
        <v>68</v>
      </c>
      <c r="F79" s="337" t="n">
        <v>47.0</v>
      </c>
      <c r="G79" s="11">
        <f si="3" t="shared"/>
        <v>4.7342539742003745E-5</v>
      </c>
    </row>
    <row r="80" spans="1:7" x14ac:dyDescent="0.25">
      <c r="A80">
        <v>69</v>
      </c>
      <c r="B80" s="335" t="n">
        <v>0.0</v>
      </c>
      <c r="C80" s="11">
        <f si="2" t="shared"/>
        <v>0</v>
      </c>
      <c r="E80" s="88">
        <v>69</v>
      </c>
      <c r="F80" s="337" t="n">
        <v>4.0</v>
      </c>
      <c r="G80" s="11">
        <f si="3" t="shared"/>
        <v>3.2933940690089563E-5</v>
      </c>
    </row>
    <row r="81" spans="1:7" x14ac:dyDescent="0.25">
      <c r="A81">
        <v>70</v>
      </c>
      <c r="B81" s="335" t="n">
        <v>0.0</v>
      </c>
      <c r="C81" s="11">
        <f si="2" t="shared"/>
        <v>0</v>
      </c>
      <c r="E81" s="89">
        <v>70</v>
      </c>
      <c r="F81" s="337" t="n">
        <v>12.0</v>
      </c>
      <c r="G81" s="11">
        <f si="3" t="shared"/>
        <v>3.7050683276350755E-5</v>
      </c>
    </row>
    <row r="82" spans="1:7" x14ac:dyDescent="0.25">
      <c r="A82">
        <v>71</v>
      </c>
      <c r="B82" s="335" t="n">
        <v>0.0</v>
      </c>
      <c r="C82" s="11">
        <f si="2" t="shared"/>
        <v>0</v>
      </c>
      <c r="E82" s="90">
        <v>71</v>
      </c>
      <c r="F82" s="337" t="n">
        <v>4.0</v>
      </c>
      <c r="G82" s="11">
        <f si="3" t="shared"/>
        <v>4.3225797155742546E-5</v>
      </c>
    </row>
    <row r="83" spans="1:7" x14ac:dyDescent="0.25">
      <c r="A83">
        <v>72</v>
      </c>
      <c r="B83" s="335" t="n">
        <v>0.0</v>
      </c>
      <c r="C83" s="11">
        <f si="2" t="shared"/>
        <v>0</v>
      </c>
      <c r="E83" s="91">
        <v>72</v>
      </c>
      <c r="F83" s="337" t="n">
        <v>10.0</v>
      </c>
      <c r="G83" s="11">
        <f si="3" t="shared"/>
        <v>2.4700455517567169E-5</v>
      </c>
    </row>
    <row r="84" spans="1:7" x14ac:dyDescent="0.25">
      <c r="A84">
        <v>73</v>
      </c>
      <c r="B84" s="335" t="n">
        <v>0.0</v>
      </c>
      <c r="C84" s="11">
        <f si="2" t="shared"/>
        <v>0</v>
      </c>
      <c r="E84" s="92">
        <v>73</v>
      </c>
      <c r="F84" s="337" t="n">
        <v>17.0</v>
      </c>
      <c r="G84" s="11">
        <f si="3" t="shared"/>
        <v>5.1459282328264937E-5</v>
      </c>
    </row>
    <row r="85" spans="1:7" x14ac:dyDescent="0.25">
      <c r="A85">
        <v>74</v>
      </c>
      <c r="B85" s="335" t="n">
        <v>0.0</v>
      </c>
      <c r="C85" s="11">
        <f si="2" t="shared"/>
        <v>0</v>
      </c>
      <c r="E85" s="93">
        <v>74</v>
      </c>
      <c r="F85" s="337" t="n">
        <v>4.0</v>
      </c>
      <c r="G85" s="11">
        <f si="3" t="shared"/>
        <v>1.6466970345044781E-5</v>
      </c>
    </row>
    <row r="86" spans="1:7" x14ac:dyDescent="0.25">
      <c r="A86">
        <v>75</v>
      </c>
      <c r="B86" s="335" t="n">
        <v>0.0</v>
      </c>
      <c r="C86" s="11">
        <f si="2" t="shared"/>
        <v>0</v>
      </c>
      <c r="E86" s="94">
        <v>75</v>
      </c>
      <c r="F86" s="337" t="n">
        <v>4.0</v>
      </c>
      <c r="G86" s="11">
        <f si="3" t="shared"/>
        <v>1.2350227758783584E-5</v>
      </c>
    </row>
    <row r="87" spans="1:7" x14ac:dyDescent="0.25">
      <c r="A87">
        <v>76</v>
      </c>
      <c r="B87" s="335" t="n">
        <v>0.0</v>
      </c>
      <c r="C87" s="11">
        <f si="2" t="shared"/>
        <v>0</v>
      </c>
      <c r="E87" s="95">
        <v>76</v>
      </c>
      <c r="F87" s="337" t="n">
        <v>3.0</v>
      </c>
      <c r="G87" s="11">
        <f si="3" t="shared"/>
        <v>1.2350227758783584E-5</v>
      </c>
    </row>
    <row r="88" spans="1:7" x14ac:dyDescent="0.25">
      <c r="A88">
        <v>77</v>
      </c>
      <c r="B88" s="335" t="n">
        <v>0.0</v>
      </c>
      <c r="C88" s="11">
        <f si="2" t="shared"/>
        <v>0</v>
      </c>
      <c r="E88" s="96">
        <v>77</v>
      </c>
      <c r="F88" s="337" t="n">
        <v>18.0</v>
      </c>
      <c r="G88" s="11">
        <f si="3" t="shared"/>
        <v>1.0291856465652987E-5</v>
      </c>
    </row>
    <row r="89" spans="1:7" x14ac:dyDescent="0.25">
      <c r="A89">
        <v>78</v>
      </c>
      <c r="B89" s="335" t="n">
        <v>0.0</v>
      </c>
      <c r="C89" s="11">
        <f si="2" t="shared"/>
        <v>0</v>
      </c>
      <c r="E89" s="97">
        <v>78</v>
      </c>
      <c r="F89" s="337" t="n">
        <v>4.0</v>
      </c>
      <c r="G89" s="11">
        <f si="3" t="shared"/>
        <v>1.0291856465652987E-5</v>
      </c>
    </row>
    <row r="90" spans="1:7" x14ac:dyDescent="0.25">
      <c r="A90">
        <v>79</v>
      </c>
      <c r="B90" s="335" t="n">
        <v>0.0</v>
      </c>
      <c r="C90" s="11">
        <f si="2" t="shared"/>
        <v>0</v>
      </c>
      <c r="E90" s="98">
        <v>79</v>
      </c>
      <c r="F90" s="337" t="n">
        <v>6.0</v>
      </c>
      <c r="G90" s="11">
        <f si="3" t="shared"/>
        <v>1.6466970345044781E-5</v>
      </c>
    </row>
    <row r="91" spans="1:7" x14ac:dyDescent="0.25">
      <c r="A91">
        <v>80</v>
      </c>
      <c r="B91" s="335" t="n">
        <v>0.0</v>
      </c>
      <c r="C91" s="11">
        <f si="2" t="shared"/>
        <v>0</v>
      </c>
      <c r="E91" s="99">
        <v>80</v>
      </c>
      <c r="F91" s="337" t="n">
        <v>4.0</v>
      </c>
      <c r="G91" s="11">
        <f si="3" t="shared"/>
        <v>8.2334851725223907E-6</v>
      </c>
    </row>
    <row r="92" spans="1:7" x14ac:dyDescent="0.25">
      <c r="A92">
        <v>81</v>
      </c>
      <c r="B92" s="335" t="n">
        <v>0.0</v>
      </c>
      <c r="C92" s="11">
        <f si="2" t="shared"/>
        <v>0</v>
      </c>
      <c r="E92" s="100">
        <v>81</v>
      </c>
      <c r="F92" s="337" t="n">
        <v>2.0</v>
      </c>
      <c r="G92" s="11">
        <f si="3" t="shared"/>
        <v>1.4408599051914182E-5</v>
      </c>
    </row>
    <row r="93" spans="1:7" x14ac:dyDescent="0.25">
      <c r="A93">
        <v>82</v>
      </c>
      <c r="B93" s="335" t="n">
        <v>0.0</v>
      </c>
      <c r="C93" s="11">
        <f si="2" t="shared"/>
        <v>0</v>
      </c>
      <c r="E93" s="101">
        <v>82</v>
      </c>
      <c r="F93" s="337" t="n">
        <v>5.0</v>
      </c>
      <c r="G93" s="11">
        <f si="3" t="shared"/>
        <v>1.0291856465652987E-5</v>
      </c>
    </row>
    <row r="94" spans="1:7" x14ac:dyDescent="0.25">
      <c r="A94">
        <v>83</v>
      </c>
      <c r="B94" s="335" t="n">
        <v>0.0</v>
      </c>
      <c r="C94" s="11">
        <f si="2" t="shared"/>
        <v>0</v>
      </c>
      <c r="E94" s="102">
        <v>83</v>
      </c>
      <c r="F94" s="337" t="n">
        <v>1.0</v>
      </c>
      <c r="G94" s="11">
        <f si="3" t="shared"/>
        <v>1.0291856465652987E-5</v>
      </c>
    </row>
    <row r="95" spans="1:7" x14ac:dyDescent="0.25">
      <c r="A95">
        <v>84</v>
      </c>
      <c r="B95" s="335" t="n">
        <v>0.0</v>
      </c>
      <c r="C95" s="11">
        <f si="2" t="shared"/>
        <v>0</v>
      </c>
      <c r="E95" s="103">
        <v>84</v>
      </c>
      <c r="F95" s="337" t="n">
        <v>4.0</v>
      </c>
      <c r="G95" s="11">
        <f si="3" t="shared"/>
        <v>2.0583712931305977E-6</v>
      </c>
    </row>
    <row r="96" spans="1:7" x14ac:dyDescent="0.25">
      <c r="A96">
        <v>85</v>
      </c>
      <c r="B96" s="335" t="n">
        <v>0.0</v>
      </c>
      <c r="C96" s="11">
        <f si="2" t="shared"/>
        <v>0</v>
      </c>
      <c r="E96" s="104">
        <v>85</v>
      </c>
      <c r="F96" s="337" t="n">
        <v>6.0</v>
      </c>
      <c r="G96" s="11">
        <f si="3" t="shared"/>
        <v>0</v>
      </c>
    </row>
    <row r="97" spans="1:7" x14ac:dyDescent="0.25">
      <c r="A97">
        <v>86</v>
      </c>
      <c r="B97" s="335" t="n">
        <v>0.0</v>
      </c>
      <c r="C97" s="11">
        <f si="2" t="shared"/>
        <v>0</v>
      </c>
      <c r="E97" s="105">
        <v>86</v>
      </c>
      <c r="F97" s="337" t="n">
        <v>7.0</v>
      </c>
      <c r="G97" s="11">
        <f si="3" t="shared"/>
        <v>4.1167425862611953E-6</v>
      </c>
    </row>
    <row r="98" spans="1:7" x14ac:dyDescent="0.25">
      <c r="A98">
        <v>87</v>
      </c>
      <c r="B98" s="335" t="n">
        <v>0.0</v>
      </c>
      <c r="C98" s="11">
        <f si="2" t="shared"/>
        <v>0</v>
      </c>
      <c r="E98" s="106">
        <v>87</v>
      </c>
      <c r="F98" s="337" t="n">
        <v>1.0</v>
      </c>
      <c r="G98" s="11">
        <f si="3" t="shared"/>
        <v>2.0583712931305977E-6</v>
      </c>
    </row>
    <row r="99" spans="1:7" x14ac:dyDescent="0.25">
      <c r="A99">
        <v>88</v>
      </c>
      <c r="B99" s="335" t="n">
        <v>0.0</v>
      </c>
      <c r="C99" s="11">
        <f si="2" t="shared"/>
        <v>0</v>
      </c>
      <c r="E99" s="107">
        <v>88</v>
      </c>
      <c r="F99" s="337" t="n">
        <v>6.0</v>
      </c>
      <c r="G99" s="11">
        <f si="3" t="shared"/>
        <v>0</v>
      </c>
    </row>
    <row r="100" spans="1:7" x14ac:dyDescent="0.25">
      <c r="A100">
        <v>89</v>
      </c>
      <c r="B100" s="335" t="n">
        <v>0.0</v>
      </c>
      <c r="C100" s="11">
        <f si="2" t="shared"/>
        <v>0</v>
      </c>
      <c r="E100" s="108">
        <v>89</v>
      </c>
      <c r="F100" s="337" t="n">
        <v>0.0</v>
      </c>
      <c r="G100" s="11">
        <f si="3" t="shared"/>
        <v>4.1167425862611953E-6</v>
      </c>
    </row>
    <row ht="15.75" r="101" spans="1:7" thickBot="1" x14ac:dyDescent="0.3">
      <c r="A101" s="1">
        <v>90</v>
      </c>
      <c r="B101" s="336" t="n">
        <v>0.0</v>
      </c>
      <c r="C101" s="11">
        <f si="2" t="shared"/>
        <v>0</v>
      </c>
      <c r="E101" s="291">
        <v>90</v>
      </c>
      <c r="F101" s="338" t="n">
        <v>87.0</v>
      </c>
      <c r="G101" s="11">
        <f si="3" t="shared"/>
        <v>1.6466970345044781E-5</v>
      </c>
    </row>
    <row r="102" spans="1:7" x14ac:dyDescent="0.25">
      <c r="B102" s="335">
        <f>SUM(B11:B101)</f>
        <v>478493.66755413607</v>
      </c>
      <c r="C102" s="11">
        <f si="2" t="shared"/>
        <v>1</v>
      </c>
      <c r="F102" s="335">
        <f>SUM(F11:F101)</f>
        <v>485821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F11" sqref="F11:F10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3.938036498685387E-2</v>
      </c>
      <c r="E11" s="109">
        <v>0</v>
      </c>
      <c r="F11" s="199" t="n">
        <v>3153.0</v>
      </c>
      <c r="G11" s="11">
        <f>F11/F$102</f>
        <v>2.3131976592201654E-2</v>
      </c>
      <c r="K11" s="8" t="n">
        <v>12.423453046459535</v>
      </c>
      <c r="L11" s="8" t="n">
        <v>17.818416039236272</v>
      </c>
    </row>
    <row r="12" spans="1:12" x14ac:dyDescent="0.25">
      <c r="A12">
        <v>1</v>
      </c>
      <c r="B12" s="8" t="n">
        <v>0.0</v>
      </c>
      <c r="C12" s="11">
        <f>B12/B$102</f>
        <v>0.10301939504894449</v>
      </c>
      <c r="E12" s="110">
        <v>1</v>
      </c>
      <c r="F12" s="200" t="n">
        <v>2481.0</v>
      </c>
      <c r="G12" s="11">
        <f>F12/F$102</f>
        <v>5.4056946900195753E-2</v>
      </c>
      <c r="K12" s="8"/>
      <c r="L12" s="290"/>
    </row>
    <row r="13" spans="1:12" x14ac:dyDescent="0.25">
      <c r="A13">
        <v>2</v>
      </c>
      <c r="B13" s="8" t="n">
        <v>1297.3675540942368</v>
      </c>
      <c r="C13" s="11">
        <f ref="C13:C76" si="0" t="shared">B13/B$102</f>
        <v>8.7525500950006774E-2</v>
      </c>
      <c r="E13" s="111">
        <v>2</v>
      </c>
      <c r="F13" s="201" t="n">
        <v>2605.0</v>
      </c>
      <c r="G13" s="11">
        <f ref="G13:G76" si="1" t="shared">F13/F$102</f>
        <v>8.4201794488093354E-2</v>
      </c>
    </row>
    <row r="14" spans="1:12" x14ac:dyDescent="0.25">
      <c r="A14">
        <v>3</v>
      </c>
      <c r="B14" s="8" t="n">
        <v>12560.154297193583</v>
      </c>
      <c r="C14" s="11">
        <f si="0" t="shared"/>
        <v>9.8579659604136324E-2</v>
      </c>
      <c r="E14" s="112">
        <v>3</v>
      </c>
      <c r="F14" s="202" t="n">
        <v>4022.0</v>
      </c>
      <c r="G14" s="11">
        <f si="1" t="shared"/>
        <v>0.11277198803674604</v>
      </c>
    </row>
    <row r="15" spans="1:12" x14ac:dyDescent="0.25">
      <c r="A15">
        <v>4</v>
      </c>
      <c r="B15" s="8" t="n">
        <v>11204.866139626776</v>
      </c>
      <c r="C15" s="11">
        <f si="0" t="shared"/>
        <v>8.5471123172146224E-2</v>
      </c>
      <c r="E15" s="113">
        <v>4</v>
      </c>
      <c r="F15" s="203" t="n">
        <v>5943.0</v>
      </c>
      <c r="G15" s="11">
        <f si="1" t="shared"/>
        <v>0.11712956006430351</v>
      </c>
    </row>
    <row r="16" spans="1:12" x14ac:dyDescent="0.25">
      <c r="A16">
        <v>5</v>
      </c>
      <c r="B16" s="8" t="n">
        <v>19715.549171450413</v>
      </c>
      <c r="C16" s="11">
        <f si="0" t="shared"/>
        <v>0.10718345477298163</v>
      </c>
      <c r="E16" s="114">
        <v>5</v>
      </c>
      <c r="F16" s="204" t="n">
        <v>8192.0</v>
      </c>
      <c r="G16" s="11">
        <f si="1" t="shared"/>
        <v>0.1060143550813983</v>
      </c>
    </row>
    <row r="17" spans="1:7" x14ac:dyDescent="0.25">
      <c r="A17">
        <v>6</v>
      </c>
      <c r="B17" s="8" t="n">
        <v>14252.150106065343</v>
      </c>
      <c r="C17" s="11">
        <f si="0" t="shared"/>
        <v>5.8340298831789449E-2</v>
      </c>
      <c r="E17" s="115">
        <v>6</v>
      </c>
      <c r="F17" s="205" t="n">
        <v>10188.0</v>
      </c>
      <c r="G17" s="11">
        <f si="1" t="shared"/>
        <v>8.6813867659076074E-2</v>
      </c>
    </row>
    <row r="18" spans="1:7" x14ac:dyDescent="0.25">
      <c r="A18">
        <v>7</v>
      </c>
      <c r="B18" s="8" t="n">
        <v>14897.766546432431</v>
      </c>
      <c r="C18" s="11">
        <f si="0" t="shared"/>
        <v>5.3404642795352092E-2</v>
      </c>
      <c r="E18" s="116">
        <v>7</v>
      </c>
      <c r="F18" s="206" t="n">
        <v>11798.0</v>
      </c>
      <c r="G18" s="11">
        <f si="1" t="shared"/>
        <v>6.6952643051658947E-2</v>
      </c>
    </row>
    <row r="19" spans="1:7" x14ac:dyDescent="0.25">
      <c r="A19">
        <v>8</v>
      </c>
      <c r="B19" s="8" t="n">
        <v>23614.93904424214</v>
      </c>
      <c r="C19" s="11">
        <f si="0" t="shared"/>
        <v>4.0733709183620341E-2</v>
      </c>
      <c r="E19" s="117">
        <v>8</v>
      </c>
      <c r="F19" s="207" t="n">
        <v>12317.0</v>
      </c>
      <c r="G19" s="11">
        <f si="1" t="shared"/>
        <v>5.2994827312940362E-2</v>
      </c>
    </row>
    <row r="20" spans="1:7" x14ac:dyDescent="0.25">
      <c r="A20">
        <v>9</v>
      </c>
      <c r="B20" s="8" t="n">
        <v>17772.4102283067</v>
      </c>
      <c r="C20" s="11">
        <f si="0" t="shared"/>
        <v>5.1709369117380485E-2</v>
      </c>
      <c r="E20" s="118">
        <v>9</v>
      </c>
      <c r="F20" s="208" t="n">
        <v>12115.0</v>
      </c>
      <c r="G20" s="11">
        <f si="1" t="shared"/>
        <v>4.340487545824491E-2</v>
      </c>
    </row>
    <row r="21" spans="1:7" x14ac:dyDescent="0.25">
      <c r="A21">
        <v>10</v>
      </c>
      <c r="B21" s="8" t="n">
        <v>11415.695705371085</v>
      </c>
      <c r="C21" s="11">
        <f si="0" t="shared"/>
        <v>3.6754242994915774E-2</v>
      </c>
      <c r="E21" s="119">
        <v>10</v>
      </c>
      <c r="F21" s="209" t="n">
        <v>11366.0</v>
      </c>
      <c r="G21" s="11">
        <f si="1" t="shared"/>
        <v>3.5352526959518009E-2</v>
      </c>
    </row>
    <row r="22" spans="1:7" x14ac:dyDescent="0.25">
      <c r="A22">
        <v>11</v>
      </c>
      <c r="B22" s="8" t="n">
        <v>14663.388837472765</v>
      </c>
      <c r="C22" s="11">
        <f si="0" t="shared"/>
        <v>2.1680014790982263E-2</v>
      </c>
      <c r="E22" s="120">
        <v>11</v>
      </c>
      <c r="F22" s="210" t="n">
        <v>10036.0</v>
      </c>
      <c r="G22" s="11">
        <f si="1" t="shared"/>
        <v>2.817704463166475E-2</v>
      </c>
    </row>
    <row r="23" spans="1:7" x14ac:dyDescent="0.25">
      <c r="A23">
        <v>12</v>
      </c>
      <c r="B23" s="8" t="n">
        <v>4781.679036266247</v>
      </c>
      <c r="C23" s="11">
        <f si="0" t="shared"/>
        <v>2.020150050923681E-2</v>
      </c>
      <c r="E23" s="121">
        <v>12</v>
      </c>
      <c r="F23" s="211" t="n">
        <v>9030.0</v>
      </c>
      <c r="G23" s="11">
        <f si="1" t="shared"/>
        <v>2.2821162526938936E-2</v>
      </c>
    </row>
    <row r="24" spans="1:7" x14ac:dyDescent="0.25">
      <c r="A24">
        <v>13</v>
      </c>
      <c r="B24" s="8" t="n">
        <v>8235.86483114413</v>
      </c>
      <c r="C24" s="11">
        <f si="0" t="shared"/>
        <v>2.1878884060429017E-2</v>
      </c>
      <c r="E24" s="122">
        <v>13</v>
      </c>
      <c r="F24" s="212" t="n">
        <v>7829.0</v>
      </c>
      <c r="G24" s="11">
        <f si="1" t="shared"/>
        <v>1.8659135772228864E-2</v>
      </c>
    </row>
    <row r="25" spans="1:7" x14ac:dyDescent="0.25">
      <c r="A25">
        <v>14</v>
      </c>
      <c r="B25" s="8" t="n">
        <v>5947.079879651186</v>
      </c>
      <c r="C25" s="11">
        <f si="0" t="shared"/>
        <v>1.9947842423402924E-2</v>
      </c>
      <c r="E25" s="123">
        <v>14</v>
      </c>
      <c r="F25" s="213" t="n">
        <v>6971.0</v>
      </c>
      <c r="G25" s="11">
        <f si="1" t="shared"/>
        <v>1.408955150147894E-2</v>
      </c>
    </row>
    <row r="26" spans="1:7" x14ac:dyDescent="0.25">
      <c r="A26">
        <v>15</v>
      </c>
      <c r="B26" s="8" t="n">
        <v>4745.774136660218</v>
      </c>
      <c r="C26" s="11">
        <f si="0" t="shared"/>
        <v>9.7692686211890926E-3</v>
      </c>
      <c r="E26" s="124">
        <v>15</v>
      </c>
      <c r="F26" s="214" t="n">
        <v>5813.0</v>
      </c>
      <c r="G26" s="11">
        <f si="1" t="shared"/>
        <v>1.0598553788329447E-2</v>
      </c>
    </row>
    <row r="27" spans="1:7" x14ac:dyDescent="0.25">
      <c r="A27">
        <v>16</v>
      </c>
      <c r="B27" s="8" t="n">
        <v>2317.1896208126514</v>
      </c>
      <c r="C27" s="11">
        <f si="0" t="shared"/>
        <v>1.3572615851572913E-2</v>
      </c>
      <c r="E27" s="125">
        <v>16</v>
      </c>
      <c r="F27" s="215" t="n">
        <v>5076.0</v>
      </c>
      <c r="G27" s="11">
        <f si="1" t="shared"/>
        <v>8.4372639305423189E-3</v>
      </c>
    </row>
    <row r="28" spans="1:7" x14ac:dyDescent="0.25">
      <c r="A28">
        <v>17</v>
      </c>
      <c r="B28" s="8" t="n">
        <v>3502.192670456962</v>
      </c>
      <c r="C28" s="11">
        <f si="0" t="shared"/>
        <v>3.349309281148434E-2</v>
      </c>
      <c r="E28" s="126">
        <v>17</v>
      </c>
      <c r="F28" s="216" t="n">
        <v>4335.0</v>
      </c>
      <c r="G28" s="11">
        <f si="1" t="shared"/>
        <v>7.09520584742117E-3</v>
      </c>
    </row>
    <row r="29" spans="1:7" x14ac:dyDescent="0.25">
      <c r="A29">
        <v>18</v>
      </c>
      <c r="B29" s="8" t="n">
        <v>4603.07545321039</v>
      </c>
      <c r="C29" s="11">
        <f si="0" t="shared"/>
        <v>2.1498387573178502E-3</v>
      </c>
      <c r="E29" s="127">
        <v>18</v>
      </c>
      <c r="F29" s="217" t="n">
        <v>3940.0</v>
      </c>
      <c r="G29" s="11">
        <f si="1" t="shared"/>
        <v>5.9054672399916838E-3</v>
      </c>
    </row>
    <row r="30" spans="1:7" x14ac:dyDescent="0.25">
      <c r="A30">
        <v>19</v>
      </c>
      <c r="B30" s="8" t="n">
        <v>4721.897221950022</v>
      </c>
      <c r="C30" s="11">
        <f si="0" t="shared"/>
        <v>6.6611503048913372E-3</v>
      </c>
      <c r="E30" s="128">
        <v>19</v>
      </c>
      <c r="F30" s="218" t="n">
        <v>3424.0</v>
      </c>
      <c r="G30" s="11">
        <f si="1" t="shared"/>
        <v>5.2591386539486765E-3</v>
      </c>
    </row>
    <row r="31" spans="1:7" x14ac:dyDescent="0.25">
      <c r="A31">
        <v>20</v>
      </c>
      <c r="B31" s="8" t="n">
        <v>3328.6534421561</v>
      </c>
      <c r="C31" s="11">
        <f si="0" t="shared"/>
        <v>2.8205442873010279E-3</v>
      </c>
      <c r="E31" s="129">
        <v>20</v>
      </c>
      <c r="F31" s="219" t="n">
        <v>2977.0</v>
      </c>
      <c r="G31" s="11">
        <f si="1" t="shared"/>
        <v>4.7548376871316802E-3</v>
      </c>
    </row>
    <row r="32" spans="1:7" x14ac:dyDescent="0.25">
      <c r="A32">
        <v>21</v>
      </c>
      <c r="B32" s="8" t="n">
        <v>1528.1233682282077</v>
      </c>
      <c r="C32" s="11">
        <f si="0" t="shared"/>
        <v>4.4667505280910426E-4</v>
      </c>
      <c r="E32" s="130">
        <v>21</v>
      </c>
      <c r="F32" s="220" t="n">
        <v>2654.0</v>
      </c>
      <c r="G32" s="11">
        <f si="1" t="shared"/>
        <v>4.4707824486796581E-3</v>
      </c>
    </row>
    <row r="33" spans="1:7" x14ac:dyDescent="0.25">
      <c r="A33">
        <v>22</v>
      </c>
      <c r="B33" s="8" t="n">
        <v>4144.606564452339</v>
      </c>
      <c r="C33" s="11">
        <f si="0" t="shared"/>
        <v>6.8831094450771534E-4</v>
      </c>
      <c r="E33" s="131">
        <v>22</v>
      </c>
      <c r="F33" s="221" t="n">
        <v>2435.0</v>
      </c>
      <c r="G33" s="11">
        <f si="1" t="shared"/>
        <v>4.2978792600566872E-3</v>
      </c>
    </row>
    <row r="34" spans="1:7" x14ac:dyDescent="0.25">
      <c r="A34">
        <v>23</v>
      </c>
      <c r="B34" s="8" t="n">
        <v>1879.7271250412084</v>
      </c>
      <c r="C34" s="11">
        <f si="0" t="shared"/>
        <v>5.2370128013144836E-3</v>
      </c>
      <c r="E34" s="132">
        <v>23</v>
      </c>
      <c r="F34" s="222" t="n">
        <v>2287.0</v>
      </c>
      <c r="G34" s="11">
        <f si="1" t="shared"/>
        <v>4.3802141117819113E-3</v>
      </c>
    </row>
    <row r="35" spans="1:7" x14ac:dyDescent="0.25">
      <c r="A35">
        <v>24</v>
      </c>
      <c r="B35" s="8" t="n">
        <v>2248.7034077970598</v>
      </c>
      <c r="C35" s="11">
        <f si="0" t="shared"/>
        <v>7.3050895866555729E-3</v>
      </c>
      <c r="E35" s="133">
        <v>24</v>
      </c>
      <c r="F35" s="223" t="n">
        <v>2020.0</v>
      </c>
      <c r="G35" s="11">
        <f si="1" t="shared"/>
        <v>4.0405828484153632E-3</v>
      </c>
    </row>
    <row r="36" spans="1:7" x14ac:dyDescent="0.25">
      <c r="A36">
        <v>25</v>
      </c>
      <c r="B36" s="8" t="n">
        <v>1836.3550250468147</v>
      </c>
      <c r="C36" s="11">
        <f si="0" t="shared"/>
        <v>1.6041464700545195E-4</v>
      </c>
      <c r="E36" s="134">
        <v>25</v>
      </c>
      <c r="F36" s="224" t="n">
        <v>1884.0</v>
      </c>
      <c r="G36" s="11">
        <f si="1" t="shared"/>
        <v>3.9952986799664898E-3</v>
      </c>
    </row>
    <row r="37" spans="1:7" x14ac:dyDescent="0.25">
      <c r="A37">
        <v>26</v>
      </c>
      <c r="B37" s="8" t="n">
        <v>2835.7722648895237</v>
      </c>
      <c r="C37" s="11">
        <f si="0" t="shared"/>
        <v>2.5469683773634625E-2</v>
      </c>
      <c r="E37" s="135">
        <v>26</v>
      </c>
      <c r="F37" s="225" t="n">
        <v>1747.0</v>
      </c>
      <c r="G37" s="11">
        <f si="1" t="shared"/>
        <v>3.6906597285831615E-3</v>
      </c>
    </row>
    <row r="38" spans="1:7" x14ac:dyDescent="0.25">
      <c r="A38">
        <v>27</v>
      </c>
      <c r="B38" s="8" t="n">
        <v>1885.9204564767392</v>
      </c>
      <c r="C38" s="11">
        <f si="0" t="shared"/>
        <v>6.4487388114390269E-3</v>
      </c>
      <c r="E38" s="136">
        <v>27</v>
      </c>
      <c r="F38" s="226" t="n">
        <v>1485.0</v>
      </c>
      <c r="G38" s="11">
        <f si="1" t="shared"/>
        <v>3.447771915993751E-3</v>
      </c>
    </row>
    <row r="39" spans="1:7" x14ac:dyDescent="0.25">
      <c r="A39">
        <v>28</v>
      </c>
      <c r="B39" s="8" t="n">
        <v>366.1088659359639</v>
      </c>
      <c r="C39" s="11">
        <f si="0" t="shared"/>
        <v>1.4009476195597564E-3</v>
      </c>
      <c r="E39" s="137">
        <v>28</v>
      </c>
      <c r="F39" s="227" t="n">
        <v>1504.0</v>
      </c>
      <c r="G39" s="11">
        <f si="1" t="shared"/>
        <v>3.3530868365097433E-3</v>
      </c>
    </row>
    <row r="40" spans="1:7" x14ac:dyDescent="0.25">
      <c r="A40">
        <v>29</v>
      </c>
      <c r="B40" s="8" t="n">
        <v>772.2018345058191</v>
      </c>
      <c r="C40" s="11">
        <f si="0" t="shared"/>
        <v>5.7342214978080373E-4</v>
      </c>
      <c r="E40" s="138">
        <v>29</v>
      </c>
      <c r="F40" s="228" t="n">
        <v>1405.0</v>
      </c>
      <c r="G40" s="11">
        <f si="1" t="shared"/>
        <v>3.2316429302150381E-3</v>
      </c>
    </row>
    <row r="41" spans="1:7" x14ac:dyDescent="0.25">
      <c r="A41">
        <v>30</v>
      </c>
      <c r="B41" s="8" t="n">
        <v>524.4989354901293</v>
      </c>
      <c r="C41" s="11">
        <f si="0" t="shared"/>
        <v>1.0712423057901556E-3</v>
      </c>
      <c r="E41" s="139">
        <v>30</v>
      </c>
      <c r="F41" s="229" t="n">
        <v>1334.0</v>
      </c>
      <c r="G41" s="11">
        <f si="1" t="shared"/>
        <v>2.9825800037462358E-3</v>
      </c>
    </row>
    <row r="42" spans="1:7" x14ac:dyDescent="0.25">
      <c r="A42">
        <v>31</v>
      </c>
      <c r="B42" s="8" t="n">
        <v>3226.0058444587567</v>
      </c>
      <c r="C42" s="11">
        <f si="0" t="shared"/>
        <v>1.4690674577662727E-3</v>
      </c>
      <c r="E42" s="140">
        <v>31</v>
      </c>
      <c r="F42" s="230" t="n">
        <v>1253.0</v>
      </c>
      <c r="G42" s="11">
        <f si="1" t="shared"/>
        <v>2.8858365529690977E-3</v>
      </c>
    </row>
    <row r="43" spans="1:7" x14ac:dyDescent="0.25">
      <c r="A43">
        <v>32</v>
      </c>
      <c r="B43" s="8" t="n">
        <v>378.9884050414742</v>
      </c>
      <c r="C43" s="11">
        <f si="0" t="shared"/>
        <v>9.1372985956385299E-4</v>
      </c>
      <c r="E43" s="141">
        <v>32</v>
      </c>
      <c r="F43" s="231" t="n">
        <v>1203.0</v>
      </c>
      <c r="G43" s="11">
        <f si="1" t="shared"/>
        <v>2.7335170772774336E-3</v>
      </c>
    </row>
    <row r="44" spans="1:7" x14ac:dyDescent="0.25">
      <c r="A44">
        <v>33</v>
      </c>
      <c r="B44" s="8" t="n">
        <v>849.3060832907545</v>
      </c>
      <c r="C44" s="11">
        <f si="0" t="shared"/>
        <v>3.9984219532254961E-4</v>
      </c>
      <c r="E44" s="142">
        <v>33</v>
      </c>
      <c r="F44" s="232" t="n">
        <v>1123.0</v>
      </c>
      <c r="G44" s="11">
        <f si="1" t="shared"/>
        <v>2.6058980571033365E-3</v>
      </c>
    </row>
    <row r="45" spans="1:7" x14ac:dyDescent="0.25">
      <c r="A45">
        <v>34</v>
      </c>
      <c r="B45" s="8" t="n">
        <v>444.0968783910029</v>
      </c>
      <c r="C45" s="11">
        <f si="0" t="shared"/>
        <v>3.4904673778795073E-3</v>
      </c>
      <c r="E45" s="143">
        <v>34</v>
      </c>
      <c r="F45" s="233" t="n">
        <v>1002.0</v>
      </c>
      <c r="G45" s="11">
        <f si="1" t="shared"/>
        <v>2.5029794924468067E-3</v>
      </c>
    </row>
    <row r="46" spans="1:7" x14ac:dyDescent="0.25">
      <c r="A46">
        <v>35</v>
      </c>
      <c r="B46" s="8" t="n">
        <v>49.6927684640005</v>
      </c>
      <c r="C46" s="11">
        <f si="0" t="shared"/>
        <v>3.9959473346110703E-3</v>
      </c>
      <c r="E46" s="144">
        <v>35</v>
      </c>
      <c r="F46" s="234" t="n">
        <v>946.0</v>
      </c>
      <c r="G46" s="11">
        <f si="1" t="shared"/>
        <v>2.2250993678741759E-3</v>
      </c>
    </row>
    <row r="47" spans="1:7" x14ac:dyDescent="0.25">
      <c r="A47">
        <v>36</v>
      </c>
      <c r="B47" s="8" t="n">
        <v>327.896125782144</v>
      </c>
      <c r="C47" s="11">
        <f si="0" t="shared"/>
        <v>3.1098666951713095E-5</v>
      </c>
      <c r="E47" s="145">
        <v>36</v>
      </c>
      <c r="F47" s="235" t="n">
        <v>981.0</v>
      </c>
      <c r="G47" s="11">
        <f si="1" t="shared"/>
        <v>2.2045156549428701E-3</v>
      </c>
    </row>
    <row r="48" spans="1:7" x14ac:dyDescent="0.25">
      <c r="A48">
        <v>37</v>
      </c>
      <c r="B48" s="8" t="n">
        <v>94.3601008487602</v>
      </c>
      <c r="C48" s="11">
        <f si="0" t="shared"/>
        <v>5.4540184764100708E-3</v>
      </c>
      <c r="E48" s="146">
        <v>37</v>
      </c>
      <c r="F48" s="236" t="n">
        <v>865.0</v>
      </c>
      <c r="G48" s="11">
        <f si="1" t="shared"/>
        <v>2.2539165659780044E-3</v>
      </c>
    </row>
    <row r="49" spans="1:7" x14ac:dyDescent="0.25">
      <c r="A49">
        <v>38</v>
      </c>
      <c r="B49" s="8" t="n">
        <v>145.8555799184429</v>
      </c>
      <c r="C49" s="11">
        <f si="0" t="shared"/>
        <v>8.3277505716268813E-3</v>
      </c>
      <c r="E49" s="147">
        <v>38</v>
      </c>
      <c r="F49" s="237" t="n">
        <v>823.0</v>
      </c>
      <c r="G49" s="11">
        <f si="1" t="shared"/>
        <v>2.1015970902863402E-3</v>
      </c>
    </row>
    <row r="50" spans="1:7" x14ac:dyDescent="0.25">
      <c r="A50">
        <v>39</v>
      </c>
      <c r="B50" s="8" t="n">
        <v>48.0000860889849</v>
      </c>
      <c r="C50" s="11">
        <f si="0" t="shared"/>
        <v>6.6678199634045976E-5</v>
      </c>
      <c r="E50" s="148">
        <v>39</v>
      </c>
      <c r="F50" s="238" t="n">
        <v>808.0</v>
      </c>
      <c r="G50" s="11">
        <f si="1" t="shared"/>
        <v>2.0254373524405079E-3</v>
      </c>
    </row>
    <row r="51" spans="1:7" x14ac:dyDescent="0.25">
      <c r="A51">
        <v>40</v>
      </c>
      <c r="B51" s="8" t="n">
        <v>341.8438697954875</v>
      </c>
      <c r="C51" s="11">
        <f si="0" t="shared"/>
        <v>9.1788306071212097E-4</v>
      </c>
      <c r="E51" s="149">
        <v>40</v>
      </c>
      <c r="F51" s="239" t="n">
        <v>789.0</v>
      </c>
      <c r="G51" s="11">
        <f si="1" t="shared"/>
        <v>2.0871884912344258E-3</v>
      </c>
    </row>
    <row r="52" spans="1:7" x14ac:dyDescent="0.25">
      <c r="A52">
        <v>41</v>
      </c>
      <c r="B52" s="8" t="n">
        <v>1216.2344627818184</v>
      </c>
      <c r="C52" s="11">
        <f si="0" t="shared"/>
        <v>7.7928185128998148E-4</v>
      </c>
      <c r="E52" s="150">
        <v>41</v>
      </c>
      <c r="F52" s="240" t="n">
        <v>764.0</v>
      </c>
      <c r="G52" s="11">
        <f si="1" t="shared"/>
        <v>1.8484174212312766E-3</v>
      </c>
    </row>
    <row r="53" spans="1:7" x14ac:dyDescent="0.25">
      <c r="A53">
        <v>42</v>
      </c>
      <c r="B53" s="8" t="n">
        <v>399.5653394805639</v>
      </c>
      <c r="C53" s="11">
        <f si="0" t="shared"/>
        <v>0</v>
      </c>
      <c r="E53" s="151">
        <v>42</v>
      </c>
      <c r="F53" s="241" t="n">
        <v>678.0</v>
      </c>
      <c r="G53" s="11">
        <f si="1" t="shared"/>
        <v>1.6693391187289147E-3</v>
      </c>
    </row>
    <row r="54" spans="1:7" x14ac:dyDescent="0.25">
      <c r="A54">
        <v>43</v>
      </c>
      <c r="B54" s="8" t="n">
        <v>0.0</v>
      </c>
      <c r="C54" s="11">
        <f si="0" t="shared"/>
        <v>4.6086754410035424E-5</v>
      </c>
      <c r="E54" s="152">
        <v>43</v>
      </c>
      <c r="F54" s="242" t="n">
        <v>631.0</v>
      </c>
      <c r="G54" s="11">
        <f si="1" t="shared"/>
        <v>1.5890626382968212E-3</v>
      </c>
    </row>
    <row r="55" spans="1:7" x14ac:dyDescent="0.25">
      <c r="A55">
        <v>44</v>
      </c>
      <c r="B55" s="8" t="n">
        <v>236.440855720579</v>
      </c>
      <c r="C55" s="11">
        <f si="0" t="shared"/>
        <v>2.0917811788049345E-4</v>
      </c>
      <c r="E55" s="153">
        <v>44</v>
      </c>
      <c r="F55" s="243" t="n">
        <v>639.0</v>
      </c>
      <c r="G55" s="11">
        <f si="1" t="shared"/>
        <v>1.5005526726922056E-3</v>
      </c>
    </row>
    <row r="56" spans="1:7" x14ac:dyDescent="0.25">
      <c r="A56">
        <v>45</v>
      </c>
      <c r="B56" s="8" t="n">
        <v>34.9577484619624</v>
      </c>
      <c r="C56" s="11">
        <f si="0" t="shared"/>
        <v>0</v>
      </c>
      <c r="E56" s="154">
        <v>45</v>
      </c>
      <c r="F56" s="244" t="n">
        <v>606.0</v>
      </c>
      <c r="G56" s="11">
        <f si="1" t="shared"/>
        <v>1.5520119550204705E-3</v>
      </c>
    </row>
    <row r="57" spans="1:7" x14ac:dyDescent="0.25">
      <c r="A57">
        <v>46</v>
      </c>
      <c r="B57" s="8" t="n">
        <v>82.4468197297628</v>
      </c>
      <c r="C57" s="11">
        <f si="0" t="shared"/>
        <v>0</v>
      </c>
      <c r="E57" s="155">
        <v>46</v>
      </c>
      <c r="F57" s="245" t="n">
        <v>573.0</v>
      </c>
      <c r="G57" s="11">
        <f si="1" t="shared"/>
        <v>1.3935173654494146E-3</v>
      </c>
    </row>
    <row r="58" spans="1:7" x14ac:dyDescent="0.25">
      <c r="A58">
        <v>47</v>
      </c>
      <c r="B58" s="8" t="n">
        <v>106.681227151876</v>
      </c>
      <c r="C58" s="11">
        <f si="0" t="shared"/>
        <v>0</v>
      </c>
      <c r="E58" s="156">
        <v>47</v>
      </c>
      <c r="F58" s="246" t="n">
        <v>521.0</v>
      </c>
      <c r="G58" s="11">
        <f si="1" t="shared"/>
        <v>1.2905988007928847E-3</v>
      </c>
    </row>
    <row r="59" spans="1:7" x14ac:dyDescent="0.25">
      <c r="A59">
        <v>48</v>
      </c>
      <c r="B59" s="8" t="n">
        <v>167.42433644846</v>
      </c>
      <c r="C59" s="11">
        <f si="0" t="shared"/>
        <v>3.1098922907819733E-5</v>
      </c>
      <c r="E59" s="157">
        <v>48</v>
      </c>
      <c r="F59" s="247" t="n">
        <v>504.0</v>
      </c>
      <c r="G59" s="11">
        <f si="1" t="shared"/>
        <v>1.1382793251012203E-3</v>
      </c>
    </row>
    <row r="60" spans="1:7" x14ac:dyDescent="0.25">
      <c r="A60">
        <v>49</v>
      </c>
      <c r="B60" s="8" t="n">
        <v>54.6598079620228</v>
      </c>
      <c r="C60" s="11">
        <f si="0" t="shared"/>
        <v>0</v>
      </c>
      <c r="E60" s="158">
        <v>49</v>
      </c>
      <c r="F60" s="248" t="n">
        <v>490.0</v>
      </c>
      <c r="G60" s="11">
        <f si="1" t="shared"/>
        <v>1.2247309194127055E-3</v>
      </c>
    </row>
    <row r="61" spans="1:7" x14ac:dyDescent="0.25">
      <c r="A61">
        <v>50</v>
      </c>
      <c r="B61" s="8" t="n">
        <v>158.3058596072953</v>
      </c>
      <c r="C61" s="11">
        <f si="0" t="shared"/>
        <v>0</v>
      </c>
      <c r="E61" s="159">
        <v>50</v>
      </c>
      <c r="F61" s="249" t="n">
        <v>468.0</v>
      </c>
      <c r="G61" s="11">
        <f si="1" t="shared"/>
        <v>1.0250689039790375E-3</v>
      </c>
    </row>
    <row r="62" spans="1:7" x14ac:dyDescent="0.25">
      <c r="A62">
        <v>51</v>
      </c>
      <c r="B62" s="8" t="n">
        <v>162.68379096318068</v>
      </c>
      <c r="C62" s="11">
        <f si="0" t="shared"/>
        <v>0</v>
      </c>
      <c r="E62" s="160">
        <v>51</v>
      </c>
      <c r="F62" s="250" t="n">
        <v>421.0</v>
      </c>
      <c r="G62" s="11">
        <f si="1" t="shared"/>
        <v>1.0086019336339928E-3</v>
      </c>
    </row>
    <row r="63" spans="1:7" x14ac:dyDescent="0.25">
      <c r="A63">
        <v>52</v>
      </c>
      <c r="B63" s="8" t="n">
        <v>0.0</v>
      </c>
      <c r="C63" s="11">
        <f si="0" t="shared"/>
        <v>4.4859758595859733E-3</v>
      </c>
      <c r="E63" s="161">
        <v>52</v>
      </c>
      <c r="F63" s="251" t="n">
        <v>406.0</v>
      </c>
      <c r="G63" s="11">
        <f si="1" t="shared"/>
        <v>1.0250689039790375E-3</v>
      </c>
    </row>
    <row r="64" spans="1:7" x14ac:dyDescent="0.25">
      <c r="A64">
        <v>53</v>
      </c>
      <c r="B64" s="8" t="n">
        <v>70.4186736778582</v>
      </c>
      <c r="C64" s="11">
        <f si="0" t="shared"/>
        <v>1.7533940339589077E-4</v>
      </c>
      <c r="E64" s="162">
        <v>53</v>
      </c>
      <c r="F64" s="252" t="n">
        <v>403.0</v>
      </c>
      <c r="G64" s="11">
        <f si="1" t="shared"/>
        <v>8.9539151251180995E-4</v>
      </c>
    </row>
    <row r="65" spans="1:7" x14ac:dyDescent="0.25">
      <c r="A65">
        <v>54</v>
      </c>
      <c r="B65" s="8" t="n">
        <v>335.3518242407474</v>
      </c>
      <c r="C65" s="11">
        <f si="0" t="shared"/>
        <v>3.0134250445631769E-5</v>
      </c>
      <c r="E65" s="163">
        <v>54</v>
      </c>
      <c r="F65" s="253" t="n">
        <v>339.0</v>
      </c>
      <c r="G65" s="11">
        <f si="1" t="shared"/>
        <v>8.7274942828737337E-4</v>
      </c>
    </row>
    <row r="66" spans="1:7" x14ac:dyDescent="0.25">
      <c r="A66">
        <v>55</v>
      </c>
      <c r="B66" s="8" t="n">
        <v>123.6144106882526</v>
      </c>
      <c r="C66" s="11">
        <f si="0" t="shared"/>
        <v>0</v>
      </c>
      <c r="E66" s="164">
        <v>55</v>
      </c>
      <c r="F66" s="254" t="n">
        <v>366.0</v>
      </c>
      <c r="G66" s="11">
        <f si="1" t="shared"/>
        <v>8.2540688854536954E-4</v>
      </c>
    </row>
    <row r="67" spans="1:7" x14ac:dyDescent="0.25">
      <c r="A67">
        <v>56</v>
      </c>
      <c r="B67" s="8" t="n">
        <v>0.0</v>
      </c>
      <c r="C67" s="11">
        <f si="0" t="shared"/>
        <v>5.7172147662578904E-3</v>
      </c>
      <c r="E67" s="165">
        <v>56</v>
      </c>
      <c r="F67" s="255" t="n">
        <v>317.0</v>
      </c>
      <c r="G67" s="11">
        <f si="1" t="shared"/>
        <v>7.8218109138962705E-4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301.0</v>
      </c>
      <c r="G68" s="11">
        <f si="1" t="shared"/>
        <v>6.7720415543996661E-4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289.0</v>
      </c>
      <c r="G69" s="11">
        <f si="1" t="shared"/>
        <v>6.5456207121553003E-4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285.0</v>
      </c>
      <c r="G70" s="11">
        <f si="1" t="shared"/>
        <v>6.0927790276665687E-4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245.0</v>
      </c>
      <c r="G71" s="11">
        <f si="1" t="shared"/>
        <v>5.372349075070859E-4</v>
      </c>
    </row>
    <row r="72" spans="1:7" x14ac:dyDescent="0.25">
      <c r="A72">
        <v>61</v>
      </c>
      <c r="B72" s="8" t="n">
        <v>122.658624470071</v>
      </c>
      <c r="C72" s="11">
        <f si="0" t="shared"/>
        <v>0</v>
      </c>
      <c r="E72" s="170">
        <v>61</v>
      </c>
      <c r="F72" s="260" t="n">
        <v>250.0</v>
      </c>
      <c r="G72" s="11">
        <f si="1" t="shared"/>
        <v>5.5987699173152248E-4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251.0</v>
      </c>
      <c r="G73" s="11">
        <f si="1" t="shared"/>
        <v>5.9486930371474263E-4</v>
      </c>
    </row>
    <row r="74" spans="1:7" x14ac:dyDescent="0.25">
      <c r="A74">
        <v>63</v>
      </c>
      <c r="B74" s="8" t="n">
        <v>120.74720401575</v>
      </c>
      <c r="C74" s="11">
        <f si="0" t="shared"/>
        <v>8.0221762930090017E-6</v>
      </c>
      <c r="E74" s="172">
        <v>63</v>
      </c>
      <c r="F74" s="262" t="n">
        <v>224.0</v>
      </c>
      <c r="G74" s="11">
        <f si="1" t="shared"/>
        <v>4.7754214000629862E-4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217.0</v>
      </c>
      <c r="G75" s="11">
        <f si="1" t="shared"/>
        <v>4.1990774379864189E-4</v>
      </c>
    </row>
    <row r="76" spans="1:7" x14ac:dyDescent="0.25">
      <c r="A76">
        <v>65</v>
      </c>
      <c r="B76" s="8" t="n">
        <v>886.307258578798</v>
      </c>
      <c r="C76" s="11">
        <f si="0" t="shared"/>
        <v>0</v>
      </c>
      <c r="E76" s="174">
        <v>65</v>
      </c>
      <c r="F76" s="264" t="n">
        <v>203.0</v>
      </c>
      <c r="G76" s="11">
        <f si="1" t="shared"/>
        <v>4.2608285767803367E-4</v>
      </c>
    </row>
    <row r="77" spans="1:7" x14ac:dyDescent="0.25">
      <c r="A77">
        <v>66</v>
      </c>
      <c r="B77" s="8" t="n">
        <v>61.533373950259</v>
      </c>
      <c r="C77" s="11">
        <f ref="C77:C102" si="2" t="shared">B77/B$102</f>
        <v>0</v>
      </c>
      <c r="E77" s="175">
        <v>66</v>
      </c>
      <c r="F77" s="265" t="n">
        <v>174.0</v>
      </c>
      <c r="G77" s="11">
        <f ref="G77:G102" si="3" t="shared">F77/F$102</f>
        <v>3.7874031793602996E-4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185.0</v>
      </c>
      <c r="G78" s="11">
        <f si="3" t="shared"/>
        <v>3.7256520405663812E-4</v>
      </c>
    </row>
    <row r="79" spans="1:7" x14ac:dyDescent="0.25">
      <c r="A79">
        <v>68</v>
      </c>
      <c r="B79" s="8" t="n">
        <v>0.0</v>
      </c>
      <c r="C79" s="11">
        <f si="2" t="shared"/>
        <v>1.721647798057501E-4</v>
      </c>
      <c r="E79" s="177">
        <v>68</v>
      </c>
      <c r="F79" s="267" t="n">
        <v>185.0</v>
      </c>
      <c r="G79" s="11">
        <f si="3" t="shared"/>
        <v>3.252226643146344E-4</v>
      </c>
    </row>
    <row r="80" spans="1:7" x14ac:dyDescent="0.25">
      <c r="A80">
        <v>69</v>
      </c>
      <c r="B80" s="8" t="n">
        <v>46.3861174020209</v>
      </c>
      <c r="C80" s="11">
        <f si="2" t="shared"/>
        <v>0</v>
      </c>
      <c r="E80" s="178">
        <v>69</v>
      </c>
      <c r="F80" s="268" t="n">
        <v>165.0</v>
      </c>
      <c r="G80" s="11">
        <f si="3" t="shared"/>
        <v>3.252226643146344E-4</v>
      </c>
    </row>
    <row r="81" spans="1:7" x14ac:dyDescent="0.25">
      <c r="A81">
        <v>70</v>
      </c>
      <c r="B81" s="8" t="n">
        <v>180.440866596186</v>
      </c>
      <c r="C81" s="11">
        <f si="2" t="shared"/>
        <v>0</v>
      </c>
      <c r="E81" s="179">
        <v>70</v>
      </c>
      <c r="F81" s="269" t="n">
        <v>164.0</v>
      </c>
      <c r="G81" s="11">
        <f si="3" t="shared"/>
        <v>3.2110592172837323E-4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127.0</v>
      </c>
      <c r="G82" s="11">
        <f si="3" t="shared"/>
        <v>2.4494618388254109E-4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145.0</v>
      </c>
      <c r="G83" s="11">
        <f si="3" t="shared"/>
        <v>2.3259595612375752E-4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117.0</v>
      </c>
      <c r="G84" s="11">
        <f si="3" t="shared"/>
        <v>2.3053758483062691E-4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118.0</v>
      </c>
      <c r="G85" s="11">
        <f si="3" t="shared"/>
        <v>2.5729641164132466E-4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138.0</v>
      </c>
      <c r="G86" s="11">
        <f si="3" t="shared"/>
        <v>2.4494618388254109E-4</v>
      </c>
    </row>
    <row r="87" spans="1:7" x14ac:dyDescent="0.25">
      <c r="A87">
        <v>76</v>
      </c>
      <c r="B87" s="8" t="n">
        <v>92.1874805010168</v>
      </c>
      <c r="C87" s="11">
        <f si="2" t="shared"/>
        <v>0</v>
      </c>
      <c r="E87" s="185">
        <v>76</v>
      </c>
      <c r="F87" s="275" t="n">
        <v>108.0</v>
      </c>
      <c r="G87" s="11">
        <f si="3" t="shared"/>
        <v>1.8319504508862317E-4</v>
      </c>
    </row>
    <row r="88" spans="1:7" x14ac:dyDescent="0.25">
      <c r="A88">
        <v>77</v>
      </c>
      <c r="B88" s="8" t="n">
        <v>0.0</v>
      </c>
      <c r="C88" s="11">
        <f si="2" t="shared"/>
        <v>1.4997042542781136E-4</v>
      </c>
      <c r="E88" s="186">
        <v>77</v>
      </c>
      <c r="F88" s="276" t="n">
        <v>109.0</v>
      </c>
      <c r="G88" s="11">
        <f si="3" t="shared"/>
        <v>1.626113321573172E-4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90.0</v>
      </c>
      <c r="G89" s="11">
        <f si="3" t="shared"/>
        <v>1.3585250534661942E-4</v>
      </c>
    </row>
    <row r="90" spans="1:7" x14ac:dyDescent="0.25">
      <c r="A90">
        <v>79</v>
      </c>
      <c r="B90" s="8" t="n">
        <v>78.3441108859256</v>
      </c>
      <c r="C90" s="11">
        <f si="2" t="shared"/>
        <v>0</v>
      </c>
      <c r="E90" s="188">
        <v>79</v>
      </c>
      <c r="F90" s="278" t="n">
        <v>106.0</v>
      </c>
      <c r="G90" s="11">
        <f si="3" t="shared"/>
        <v>1.58494589571056E-4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109.0</v>
      </c>
      <c r="G91" s="11">
        <f si="3" t="shared"/>
        <v>1.543778469847948E-4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95.0</v>
      </c>
      <c r="G92" s="11">
        <f si="3" t="shared"/>
        <v>1.3996924793288062E-4</v>
      </c>
    </row>
    <row r="93" spans="1:7" x14ac:dyDescent="0.25">
      <c r="A93">
        <v>82</v>
      </c>
      <c r="B93" s="8" t="n">
        <v>0.0</v>
      </c>
      <c r="C93" s="11">
        <f si="2" t="shared"/>
        <v>5.0997923390166033E-5</v>
      </c>
      <c r="E93" s="191">
        <v>82</v>
      </c>
      <c r="F93" s="281" t="n">
        <v>102.0</v>
      </c>
      <c r="G93" s="11">
        <f si="3" t="shared"/>
        <v>1.2761902017409705E-4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91.0</v>
      </c>
      <c r="G94" s="11">
        <f si="3" t="shared"/>
        <v>1.3173576276035825E-4</v>
      </c>
    </row>
    <row r="95" spans="1:7" x14ac:dyDescent="0.25">
      <c r="A95">
        <v>84</v>
      </c>
      <c r="B95" s="8" t="n">
        <v>26.8818455625007</v>
      </c>
      <c r="C95" s="11">
        <f si="2" t="shared"/>
        <v>0</v>
      </c>
      <c r="E95" s="193">
        <v>84</v>
      </c>
      <c r="F95" s="283" t="n">
        <v>80.0</v>
      </c>
      <c r="G95" s="11">
        <f si="3" t="shared"/>
        <v>6.998462396644031E-5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65.0</v>
      </c>
      <c r="G96" s="11">
        <f si="3" t="shared"/>
        <v>1.1321042112218286E-4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74.0</v>
      </c>
      <c r="G97" s="11">
        <f si="3" t="shared"/>
        <v>8.8509965604615691E-5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59.0</v>
      </c>
      <c r="G98" s="11">
        <f si="3" t="shared"/>
        <v>7.8218109138962708E-5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67.0</v>
      </c>
      <c r="G99" s="11">
        <f si="3" t="shared"/>
        <v>8.4393223018354492E-5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47.0</v>
      </c>
      <c r="G100" s="11">
        <f si="3" t="shared"/>
        <v>5.7634396207656728E-5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1">
        <v>90</v>
      </c>
      <c r="F101" s="291" t="n">
        <v>2458.0</v>
      </c>
      <c r="G101" s="11">
        <f si="3" t="shared"/>
        <v>6.4427021474987702E-4</v>
      </c>
    </row>
    <row r="102" spans="1:7" x14ac:dyDescent="0.25">
      <c r="B102" s="8">
        <f>SUM(B11:B101)</f>
        <v>478493.66755413596</v>
      </c>
      <c r="C102" s="11">
        <f si="2" t="shared"/>
        <v>1</v>
      </c>
      <c r="F102" s="8">
        <f>SUM(F11:F101)</f>
        <v>485821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>
      <selection activeCell="K11" sqref="K11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3" t="s">
        <v>248</v>
      </c>
      <c r="B7" s="12" t="n">
        <v>69054.2861059696</v>
      </c>
      <c r="C7" s="12" t="n">
        <v>0.0</v>
      </c>
      <c r="D7" s="12" t="n">
        <v>0.0</v>
      </c>
      <c r="E7" s="12" t="n">
        <v>116.8047910798791</v>
      </c>
      <c r="F7" s="12" t="n">
        <v>443.5028731646758</v>
      </c>
      <c r="G7" s="12" t="n">
        <v>3028.607516347716</v>
      </c>
      <c r="H7" s="12" t="n">
        <v>0.0</v>
      </c>
      <c r="I7" s="12"/>
      <c r="J7" s="12">
        <f>SUM(B7:I7)</f>
        <v>478493.66755413607</v>
      </c>
      <c r="K7" s="12"/>
      <c r="L7" t="str">
        <f>$A$7</f>
        <v>Bellevue</v>
      </c>
      <c r="M7" s="337" t="n">
        <v>59326.0</v>
      </c>
      <c r="N7" s="337" t="n">
        <v>6.0</v>
      </c>
      <c r="O7" s="337" t="n">
        <v>24.0</v>
      </c>
      <c r="P7" s="337" t="n">
        <v>1955.0</v>
      </c>
      <c r="Q7" s="337" t="n">
        <v>301.0</v>
      </c>
      <c r="R7" s="337" t="n">
        <v>2523.0</v>
      </c>
      <c r="S7" s="337" t="n">
        <v>1054.0</v>
      </c>
      <c r="T7" s="337"/>
      <c r="U7" s="335">
        <f>SUM(M7:T7)</f>
        <v>485821</v>
      </c>
    </row>
    <row r="8" spans="1:21" x14ac:dyDescent="0.25">
      <c r="A8" t="s">
        <v>249</v>
      </c>
      <c r="B8" s="12" t="n">
        <v>105.2259564484263</v>
      </c>
      <c r="C8" s="12" t="n">
        <v>11511.597885823312</v>
      </c>
      <c r="D8" s="12" t="n">
        <v>0.0</v>
      </c>
      <c r="E8" s="12" t="n">
        <v>886.307258578798</v>
      </c>
      <c r="F8" s="12" t="n">
        <v>0.0</v>
      </c>
      <c r="G8" s="12" t="n">
        <v>1358.1645597748611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37" t="n">
        <v>636.0</v>
      </c>
      <c r="N8" s="337" t="n">
        <v>6528.0</v>
      </c>
      <c r="O8" s="337" t="n">
        <v>4.0</v>
      </c>
      <c r="P8" s="337" t="n">
        <v>325.0</v>
      </c>
      <c r="Q8" s="337" t="n">
        <v>1.0</v>
      </c>
      <c r="R8" s="337" t="n">
        <v>2232.0</v>
      </c>
      <c r="S8" s="337" t="n">
        <v>23.0</v>
      </c>
      <c r="T8" s="337"/>
      <c r="U8" s="335">
        <f ref="U8:U14" si="1" t="shared">SUM(M8:T8)</f>
        <v>0</v>
      </c>
    </row>
    <row r="9" spans="1:21" x14ac:dyDescent="0.25">
      <c r="A9" t="s">
        <v>250</v>
      </c>
      <c r="B9" s="12" t="n">
        <v>723.5454786123848</v>
      </c>
      <c r="C9" s="12" t="n">
        <v>0.0</v>
      </c>
      <c r="D9" s="12" t="n">
        <v>7589.45707736656</v>
      </c>
      <c r="E9" s="12" t="n">
        <v>0.0</v>
      </c>
      <c r="F9" s="12" t="n">
        <v>748.065546333499</v>
      </c>
      <c r="G9" s="12" t="n">
        <v>180.440866596186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337" t="n">
        <v>2586.0</v>
      </c>
      <c r="N9" s="337" t="n">
        <v>3.0</v>
      </c>
      <c r="O9" s="337" t="n">
        <v>3897.0</v>
      </c>
      <c r="P9" s="337" t="n">
        <v>86.0</v>
      </c>
      <c r="Q9" s="337" t="n">
        <v>481.0</v>
      </c>
      <c r="R9" s="337" t="n">
        <v>108.0</v>
      </c>
      <c r="S9" s="337" t="n">
        <v>70.0</v>
      </c>
      <c r="T9" s="337"/>
      <c r="U9" s="335">
        <f si="1" t="shared"/>
        <v>0</v>
      </c>
    </row>
    <row r="10" spans="1:21" x14ac:dyDescent="0.25">
      <c r="A10" t="s">
        <v>251</v>
      </c>
      <c r="B10" s="12" t="n">
        <v>945.952975103149</v>
      </c>
      <c r="C10" s="12" t="n">
        <v>0.0</v>
      </c>
      <c r="D10" s="12" t="n">
        <v>0.0</v>
      </c>
      <c r="E10" s="12" t="n">
        <v>37910.077057198294</v>
      </c>
      <c r="F10" s="12" t="n">
        <v>0.0</v>
      </c>
      <c r="G10" s="12" t="n">
        <v>227.373766554728</v>
      </c>
      <c r="H10" s="12" t="n">
        <v>0.0</v>
      </c>
      <c r="I10" s="12"/>
      <c r="J10" s="12">
        <f si="0" t="shared"/>
        <v>0</v>
      </c>
      <c r="K10" s="13"/>
      <c r="L10" t="str">
        <f>$A$10</f>
        <v>Redmond</v>
      </c>
      <c r="M10" s="337" t="n">
        <v>2150.0</v>
      </c>
      <c r="N10" s="337" t="n">
        <v>7.0</v>
      </c>
      <c r="O10" s="337" t="n">
        <v>1.0</v>
      </c>
      <c r="P10" s="337" t="n">
        <v>37127.0</v>
      </c>
      <c r="Q10" s="337" t="n">
        <v>15.0</v>
      </c>
      <c r="R10" s="337" t="n">
        <v>403.0</v>
      </c>
      <c r="S10" s="337" t="n">
        <v>208.0</v>
      </c>
      <c r="T10" s="337"/>
      <c r="U10" s="335">
        <f si="1" t="shared"/>
        <v>0</v>
      </c>
    </row>
    <row r="11" spans="1:21" x14ac:dyDescent="0.25">
      <c r="A11" t="s">
        <v>247</v>
      </c>
      <c r="B11" s="12" t="n">
        <v>1369.6464012995275</v>
      </c>
      <c r="C11" s="12" t="n">
        <v>0.0</v>
      </c>
      <c r="D11" s="12" t="n">
        <v>184.5448939545554</v>
      </c>
      <c r="E11" s="12" t="n">
        <v>0.0</v>
      </c>
      <c r="F11" s="12" t="n">
        <v>20883.499049338796</v>
      </c>
      <c r="G11" s="12" t="n">
        <v>28.4741211831502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337" t="n">
        <v>6857.0</v>
      </c>
      <c r="N11" s="337" t="n">
        <v>3.0</v>
      </c>
      <c r="O11" s="337" t="n">
        <v>452.0</v>
      </c>
      <c r="P11" s="337" t="n">
        <v>247.0</v>
      </c>
      <c r="Q11" s="337" t="n">
        <v>12589.0</v>
      </c>
      <c r="R11" s="337" t="n">
        <v>252.0</v>
      </c>
      <c r="S11" s="337" t="n">
        <v>399.0</v>
      </c>
      <c r="T11" s="337"/>
      <c r="U11" s="335">
        <f si="1" t="shared"/>
        <v>0</v>
      </c>
    </row>
    <row r="12" spans="1:21" x14ac:dyDescent="0.25">
      <c r="A12" t="s">
        <v>252</v>
      </c>
      <c r="B12" s="12" t="n">
        <v>4546.096584137439</v>
      </c>
      <c r="C12" s="12" t="n">
        <v>0.0</v>
      </c>
      <c r="D12" s="12" t="n">
        <v>0.0</v>
      </c>
      <c r="E12" s="12" t="n">
        <v>0.0</v>
      </c>
      <c r="F12" s="12" t="n">
        <v>61.533373950259</v>
      </c>
      <c r="G12" s="12" t="n">
        <v>32624.43078763933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37" t="n">
        <v>4515.0</v>
      </c>
      <c r="N12" s="337" t="n">
        <v>1135.0</v>
      </c>
      <c r="O12" s="337" t="n">
        <v>0.0</v>
      </c>
      <c r="P12" s="337" t="n">
        <v>1103.0</v>
      </c>
      <c r="Q12" s="337" t="n">
        <v>21.0</v>
      </c>
      <c r="R12" s="337" t="n">
        <v>22126.0</v>
      </c>
      <c r="S12" s="337" t="n">
        <v>55.0</v>
      </c>
      <c r="T12" s="337"/>
      <c r="U12" s="335">
        <f si="1" t="shared"/>
        <v>0</v>
      </c>
    </row>
    <row r="13" spans="1:21" x14ac:dyDescent="0.25">
      <c r="A13" t="s">
        <v>253</v>
      </c>
      <c r="B13" s="12" t="n">
        <v>3955.9528160385953</v>
      </c>
      <c r="C13" s="12" t="n">
        <v>0.0</v>
      </c>
      <c r="D13" s="12" t="n">
        <v>0.0</v>
      </c>
      <c r="E13" s="12" t="n">
        <v>335.0821907536926</v>
      </c>
      <c r="F13" s="12" t="n">
        <v>0.0</v>
      </c>
      <c r="G13" s="12" t="n">
        <v>0.0</v>
      </c>
      <c r="H13" s="12" t="n">
        <v>13451.359618136488</v>
      </c>
      <c r="I13" s="12"/>
      <c r="J13" s="12">
        <f si="0" t="shared"/>
        <v>0</v>
      </c>
      <c r="K13" s="13"/>
      <c r="L13" t="str">
        <f>A13</f>
        <v>Rest</v>
      </c>
      <c r="M13" s="337" t="n">
        <v>3400.0</v>
      </c>
      <c r="N13" s="337" t="n">
        <v>0.0</v>
      </c>
      <c r="O13" s="337" t="n">
        <v>3.0</v>
      </c>
      <c r="P13" s="337" t="n">
        <v>952.0</v>
      </c>
      <c r="Q13" s="337" t="n">
        <v>75.0</v>
      </c>
      <c r="R13" s="337" t="n">
        <v>133.0</v>
      </c>
      <c r="S13" s="337" t="n">
        <v>11331.0</v>
      </c>
      <c r="T13" s="337"/>
      <c r="U13" s="335">
        <f si="1" t="shared"/>
        <v>0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478493.66755413607</v>
      </c>
      <c r="C15" s="15">
        <f si="2" t="shared"/>
        <v>0</v>
      </c>
      <c r="D15" s="15">
        <f si="2" t="shared"/>
        <v>0</v>
      </c>
      <c r="E15" s="15">
        <f si="2" t="shared"/>
        <v>0</v>
      </c>
      <c r="F15" s="15">
        <f si="2" t="shared"/>
        <v>0</v>
      </c>
      <c r="G15" s="15">
        <f si="2" t="shared"/>
        <v>0</v>
      </c>
      <c r="H15" s="15">
        <f si="2" t="shared"/>
        <v>0</v>
      </c>
      <c r="I15" s="15">
        <f si="2" t="shared"/>
        <v>0</v>
      </c>
      <c r="J15" s="15">
        <f si="2" t="shared"/>
        <v>478493.66755413607</v>
      </c>
      <c r="K15" s="12"/>
      <c r="L15" s="15" t="s">
        <v>4</v>
      </c>
      <c r="M15" s="336">
        <f ref="M15:U15" si="3" t="shared">SUM(M7:M14)</f>
        <v>485821</v>
      </c>
      <c r="N15" s="336">
        <f si="3" t="shared"/>
        <v>0</v>
      </c>
      <c r="O15" s="336">
        <f si="3" t="shared"/>
        <v>0</v>
      </c>
      <c r="P15" s="336">
        <f si="3" t="shared"/>
        <v>0</v>
      </c>
      <c r="Q15" s="336">
        <f si="3" t="shared"/>
        <v>0</v>
      </c>
      <c r="R15" s="336">
        <f si="3" t="shared"/>
        <v>0</v>
      </c>
      <c r="S15" s="336">
        <f si="3" t="shared"/>
        <v>0</v>
      </c>
      <c r="T15" s="336">
        <f si="3" t="shared"/>
        <v>0</v>
      </c>
      <c r="U15" s="336">
        <f si="3" t="shared"/>
        <v>485821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485820.99999999994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0</v>
      </c>
      <c r="G20" s="12">
        <f si="4" t="shared"/>
        <v>0</v>
      </c>
      <c r="H20" s="12">
        <f ref="H20" si="5" t="shared">($U7/$J7)*H7</f>
        <v>0</v>
      </c>
      <c r="I20" s="12"/>
      <c r="J20" s="12">
        <f>SUM(B20:I20)</f>
        <v>485820.99999999994</v>
      </c>
      <c r="K20" s="12"/>
      <c r="L20" t="str">
        <f>$A$7</f>
        <v>Bellevue</v>
      </c>
      <c r="M20" s="12">
        <f ref="M20:M26" si="6" t="shared">M7</f>
        <v>485821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485821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5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0</v>
      </c>
      <c r="R24" s="12">
        <f si="12" t="shared"/>
        <v>0</v>
      </c>
      <c r="S24" s="12">
        <f ref="S24" si="20" t="shared">S11</f>
        <v>0</v>
      </c>
      <c r="T24" s="12"/>
      <c r="U24" s="12">
        <f si="14" t="shared"/>
        <v>0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0</v>
      </c>
      <c r="R25" s="12">
        <f si="12" t="shared"/>
        <v>0</v>
      </c>
      <c r="S25" s="12">
        <f ref="S25" si="22" t="shared">S12</f>
        <v>0</v>
      </c>
      <c r="T25" s="12"/>
      <c r="U25" s="12">
        <f si="14" t="shared"/>
        <v>0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0</v>
      </c>
      <c r="N26" s="12">
        <f ref="N26:R26" si="23" t="shared">N13</f>
        <v>0</v>
      </c>
      <c r="O26" s="12">
        <f si="23" t="shared"/>
        <v>0</v>
      </c>
      <c r="P26" s="12">
        <f si="23" t="shared"/>
        <v>0</v>
      </c>
      <c r="Q26" s="12">
        <f si="23" t="shared"/>
        <v>0</v>
      </c>
      <c r="R26" s="12">
        <f si="23" t="shared"/>
        <v>0</v>
      </c>
      <c r="S26" s="12">
        <f ref="S26" si="24" t="shared">S13</f>
        <v>0</v>
      </c>
      <c r="T26" s="12"/>
      <c r="U26" s="12">
        <f si="14" t="shared"/>
        <v>0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si="11" t="shared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5" t="shared">SUM(B20:B27)</f>
        <v>#DIV/0!</v>
      </c>
      <c r="C28" s="15" t="e">
        <f si="25" t="shared"/>
        <v>#DIV/0!</v>
      </c>
      <c r="D28" s="15" t="e">
        <f si="25" t="shared"/>
        <v>#DIV/0!</v>
      </c>
      <c r="E28" s="15" t="e">
        <f si="25" t="shared"/>
        <v>#DIV/0!</v>
      </c>
      <c r="F28" s="15" t="e">
        <f si="25" t="shared"/>
        <v>#DIV/0!</v>
      </c>
      <c r="G28" s="15" t="e">
        <f si="25" t="shared"/>
        <v>#DIV/0!</v>
      </c>
      <c r="H28" s="15" t="e">
        <f si="25" t="shared"/>
        <v>#DIV/0!</v>
      </c>
      <c r="I28" s="15">
        <f si="25" t="shared"/>
        <v>0</v>
      </c>
      <c r="J28" s="15" t="e">
        <f si="25" t="shared"/>
        <v>#DIV/0!</v>
      </c>
      <c r="K28" s="12"/>
      <c r="L28" s="15" t="s">
        <v>4</v>
      </c>
      <c r="M28" s="15">
        <f ref="M28:U28" si="26" t="shared">M15</f>
        <v>485821</v>
      </c>
      <c r="N28" s="15">
        <f si="26" t="shared"/>
        <v>0</v>
      </c>
      <c r="O28" s="15">
        <f si="26" t="shared"/>
        <v>0</v>
      </c>
      <c r="P28" s="15">
        <f si="26" t="shared"/>
        <v>0</v>
      </c>
      <c r="Q28" s="15">
        <f si="26" t="shared"/>
        <v>0</v>
      </c>
      <c r="R28" s="15">
        <f si="26" t="shared"/>
        <v>0</v>
      </c>
      <c r="S28" s="15">
        <f si="26" t="shared"/>
        <v>0</v>
      </c>
      <c r="T28" s="15"/>
      <c r="U28" s="15">
        <f si="26" t="shared"/>
        <v>485821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7" t="shared">B20/$J$28</f>
        <v>#DIV/0!</v>
      </c>
      <c r="C33" s="16" t="e">
        <f si="27" t="shared"/>
        <v>#DIV/0!</v>
      </c>
      <c r="D33" s="16" t="e">
        <f si="27" t="shared"/>
        <v>#DIV/0!</v>
      </c>
      <c r="E33" s="16" t="e">
        <f si="27" t="shared"/>
        <v>#DIV/0!</v>
      </c>
      <c r="F33" s="16" t="e">
        <f si="27" t="shared"/>
        <v>#DIV/0!</v>
      </c>
      <c r="G33" s="16" t="e">
        <f si="27" t="shared"/>
        <v>#DIV/0!</v>
      </c>
      <c r="H33" s="16" t="e">
        <f ref="H33" si="28" t="shared">H20/$J$28</f>
        <v>#DIV/0!</v>
      </c>
      <c r="I33" s="16"/>
      <c r="J33" s="16" t="e">
        <f ref="J33:J38" si="29" t="shared">J20/$J$28</f>
        <v>#DIV/0!</v>
      </c>
      <c r="K33" s="12"/>
      <c r="L33" t="str">
        <f>$A$7</f>
        <v>Bellevue</v>
      </c>
      <c r="M33" s="16">
        <f ref="M33:R33" si="30" t="shared">M20/$U$28</f>
        <v>1</v>
      </c>
      <c r="N33" s="16">
        <f si="30" t="shared"/>
        <v>0</v>
      </c>
      <c r="O33" s="16">
        <f si="30" t="shared"/>
        <v>0</v>
      </c>
      <c r="P33" s="16">
        <f si="30" t="shared"/>
        <v>0</v>
      </c>
      <c r="Q33" s="16">
        <f si="30" t="shared"/>
        <v>0</v>
      </c>
      <c r="R33" s="16">
        <f si="30" t="shared"/>
        <v>0</v>
      </c>
      <c r="S33" s="16">
        <f ref="S33" si="31" t="shared">S20/$U$28</f>
        <v>0</v>
      </c>
      <c r="T33" s="16"/>
      <c r="U33" s="16">
        <f ref="U33:U39" si="32" t="shared">U20/$U$28</f>
        <v>1</v>
      </c>
      <c r="W33" t="str">
        <f>$A$7</f>
        <v>Bellevue</v>
      </c>
      <c r="X33" s="16" t="e">
        <f ref="X33:AD33" si="33" t="shared">M33-B33</f>
        <v>#DIV/0!</v>
      </c>
      <c r="Y33" s="16" t="e">
        <f si="33" t="shared"/>
        <v>#DIV/0!</v>
      </c>
      <c r="Z33" s="16" t="e">
        <f si="33" t="shared"/>
        <v>#DIV/0!</v>
      </c>
      <c r="AA33" s="16" t="e">
        <f si="33" t="shared"/>
        <v>#DIV/0!</v>
      </c>
      <c r="AB33" s="16" t="e">
        <f si="33" t="shared"/>
        <v>#DIV/0!</v>
      </c>
      <c r="AC33" s="16" t="e">
        <f si="33" t="shared"/>
        <v>#DIV/0!</v>
      </c>
      <c r="AD33" s="16" t="e">
        <f si="33" t="shared"/>
        <v>#DIV/0!</v>
      </c>
      <c r="AE33" s="16"/>
      <c r="AF33" s="16" t="e">
        <f ref="AF33:AF39" si="34" t="shared">U33-J33</f>
        <v>#DIV/0!</v>
      </c>
    </row>
    <row r="34" spans="1:32" x14ac:dyDescent="0.25">
      <c r="A34" t="str">
        <f>$A$8</f>
        <v>Bellevue Downtown</v>
      </c>
      <c r="B34" s="16" t="e">
        <f si="27" t="shared"/>
        <v>#DIV/0!</v>
      </c>
      <c r="C34" s="16" t="e">
        <f si="27" t="shared"/>
        <v>#DIV/0!</v>
      </c>
      <c r="D34" s="16" t="e">
        <f si="27" t="shared"/>
        <v>#DIV/0!</v>
      </c>
      <c r="E34" s="16" t="e">
        <f si="27" t="shared"/>
        <v>#DIV/0!</v>
      </c>
      <c r="F34" s="16" t="e">
        <f si="27" t="shared"/>
        <v>#DIV/0!</v>
      </c>
      <c r="G34" s="16" t="e">
        <f si="27" t="shared"/>
        <v>#DIV/0!</v>
      </c>
      <c r="H34" s="16" t="e">
        <f ref="H34" si="35" t="shared">H21/$J$28</f>
        <v>#DIV/0!</v>
      </c>
      <c r="I34" s="16"/>
      <c r="J34" s="16" t="e">
        <f si="29" t="shared"/>
        <v>#DIV/0!</v>
      </c>
      <c r="K34" s="12"/>
      <c r="L34" t="str">
        <f>$A$8</f>
        <v>Bellevue Downtown</v>
      </c>
      <c r="M34" s="16">
        <f ref="M34:R39" si="36" t="shared">M21/$U$28</f>
        <v>0</v>
      </c>
      <c r="N34" s="16">
        <f si="36" t="shared"/>
        <v>0</v>
      </c>
      <c r="O34" s="16">
        <f si="36" t="shared"/>
        <v>0</v>
      </c>
      <c r="P34" s="16">
        <f si="36" t="shared"/>
        <v>0</v>
      </c>
      <c r="Q34" s="16">
        <f si="36" t="shared"/>
        <v>0</v>
      </c>
      <c r="R34" s="16">
        <f si="36" t="shared"/>
        <v>0</v>
      </c>
      <c r="S34" s="16">
        <f ref="S34" si="37" t="shared">S21/$U$28</f>
        <v>0</v>
      </c>
      <c r="T34" s="16"/>
      <c r="U34" s="16">
        <f si="32" t="shared"/>
        <v>0</v>
      </c>
      <c r="W34" t="str">
        <f>$A$8</f>
        <v>Bellevue Downtown</v>
      </c>
      <c r="X34" s="16" t="e">
        <f ref="X34:X38" si="38" t="shared">M34-B34</f>
        <v>#DIV/0!</v>
      </c>
      <c r="Y34" s="16" t="e">
        <f ref="Y34:AD38" si="39" t="shared">N34-C34</f>
        <v>#DIV/0!</v>
      </c>
      <c r="Z34" s="16" t="e">
        <f si="39" t="shared"/>
        <v>#DIV/0!</v>
      </c>
      <c r="AA34" s="16" t="e">
        <f si="39" t="shared"/>
        <v>#DIV/0!</v>
      </c>
      <c r="AB34" s="16" t="e">
        <f si="39" t="shared"/>
        <v>#DIV/0!</v>
      </c>
      <c r="AC34" s="16" t="e">
        <f si="39" t="shared"/>
        <v>#DIV/0!</v>
      </c>
      <c r="AD34" s="16" t="e">
        <f si="39" t="shared"/>
        <v>#DIV/0!</v>
      </c>
      <c r="AE34" s="16"/>
      <c r="AF34" s="16" t="e">
        <f si="34" t="shared"/>
        <v>#DIV/0!</v>
      </c>
    </row>
    <row r="35" spans="1:32" x14ac:dyDescent="0.25">
      <c r="A35" t="str">
        <f>$A$9</f>
        <v>Kirkland</v>
      </c>
      <c r="B35" s="16" t="e">
        <f si="27" t="shared"/>
        <v>#DIV/0!</v>
      </c>
      <c r="C35" s="16" t="e">
        <f si="27" t="shared"/>
        <v>#DIV/0!</v>
      </c>
      <c r="D35" s="16" t="e">
        <f si="27" t="shared"/>
        <v>#DIV/0!</v>
      </c>
      <c r="E35" s="16" t="e">
        <f si="27" t="shared"/>
        <v>#DIV/0!</v>
      </c>
      <c r="F35" s="16" t="e">
        <f si="27" t="shared"/>
        <v>#DIV/0!</v>
      </c>
      <c r="G35" s="16" t="e">
        <f si="27" t="shared"/>
        <v>#DIV/0!</v>
      </c>
      <c r="H35" s="16" t="e">
        <f ref="H35" si="40" t="shared">H22/$J$28</f>
        <v>#DIV/0!</v>
      </c>
      <c r="I35" s="16"/>
      <c r="J35" s="16" t="e">
        <f si="29" t="shared"/>
        <v>#DIV/0!</v>
      </c>
      <c r="K35" s="13"/>
      <c r="L35" t="str">
        <f>$A$9</f>
        <v>Kirkland</v>
      </c>
      <c r="M35" s="16">
        <f si="36" t="shared"/>
        <v>0</v>
      </c>
      <c r="N35" s="16">
        <f si="36" t="shared"/>
        <v>0</v>
      </c>
      <c r="O35" s="16">
        <f si="36" t="shared"/>
        <v>0</v>
      </c>
      <c r="P35" s="16">
        <f si="36" t="shared"/>
        <v>0</v>
      </c>
      <c r="Q35" s="16">
        <f si="36" t="shared"/>
        <v>0</v>
      </c>
      <c r="R35" s="16">
        <f si="36" t="shared"/>
        <v>0</v>
      </c>
      <c r="S35" s="16">
        <f ref="S35" si="41" t="shared">S22/$U$28</f>
        <v>0</v>
      </c>
      <c r="T35" s="16"/>
      <c r="U35" s="16">
        <f si="32" t="shared"/>
        <v>0</v>
      </c>
      <c r="W35" t="str">
        <f>$A$9</f>
        <v>Kirkland</v>
      </c>
      <c r="X35" s="16" t="e">
        <f si="38" t="shared"/>
        <v>#DIV/0!</v>
      </c>
      <c r="Y35" s="16" t="e">
        <f si="39" t="shared"/>
        <v>#DIV/0!</v>
      </c>
      <c r="Z35" s="16" t="e">
        <f si="39" t="shared"/>
        <v>#DIV/0!</v>
      </c>
      <c r="AA35" s="16" t="e">
        <f si="39" t="shared"/>
        <v>#DIV/0!</v>
      </c>
      <c r="AB35" s="16" t="e">
        <f si="39" t="shared"/>
        <v>#DIV/0!</v>
      </c>
      <c r="AC35" s="16" t="e">
        <f si="39" t="shared"/>
        <v>#DIV/0!</v>
      </c>
      <c r="AD35" s="16" t="e">
        <f si="39" t="shared"/>
        <v>#DIV/0!</v>
      </c>
      <c r="AE35" s="16"/>
      <c r="AF35" s="16" t="e">
        <f si="34" t="shared"/>
        <v>#DIV/0!</v>
      </c>
    </row>
    <row r="36" spans="1:32" x14ac:dyDescent="0.25">
      <c r="A36" t="str">
        <f>$A$10</f>
        <v>Redmond</v>
      </c>
      <c r="B36" s="16" t="e">
        <f si="27" t="shared"/>
        <v>#DIV/0!</v>
      </c>
      <c r="C36" s="16" t="e">
        <f si="27" t="shared"/>
        <v>#DIV/0!</v>
      </c>
      <c r="D36" s="16" t="e">
        <f si="27" t="shared"/>
        <v>#DIV/0!</v>
      </c>
      <c r="E36" s="16" t="e">
        <f si="27" t="shared"/>
        <v>#DIV/0!</v>
      </c>
      <c r="F36" s="16" t="e">
        <f si="27" t="shared"/>
        <v>#DIV/0!</v>
      </c>
      <c r="G36" s="16" t="e">
        <f si="27" t="shared"/>
        <v>#DIV/0!</v>
      </c>
      <c r="H36" s="16" t="e">
        <f ref="H36" si="42" t="shared">H23/$J$28</f>
        <v>#DIV/0!</v>
      </c>
      <c r="I36" s="16"/>
      <c r="J36" s="16" t="e">
        <f si="29" t="shared"/>
        <v>#DIV/0!</v>
      </c>
      <c r="K36" s="13"/>
      <c r="L36" t="str">
        <f>$A$10</f>
        <v>Redmond</v>
      </c>
      <c r="M36" s="16">
        <f si="36" t="shared"/>
        <v>0</v>
      </c>
      <c r="N36" s="16">
        <f si="36" t="shared"/>
        <v>0</v>
      </c>
      <c r="O36" s="16">
        <f si="36" t="shared"/>
        <v>0</v>
      </c>
      <c r="P36" s="16">
        <f si="36" t="shared"/>
        <v>0</v>
      </c>
      <c r="Q36" s="16">
        <f si="36" t="shared"/>
        <v>0</v>
      </c>
      <c r="R36" s="16">
        <f si="36" t="shared"/>
        <v>0</v>
      </c>
      <c r="S36" s="16">
        <f ref="S36" si="43" t="shared">S23/$U$28</f>
        <v>0</v>
      </c>
      <c r="T36" s="16"/>
      <c r="U36" s="16">
        <f si="32" t="shared"/>
        <v>0</v>
      </c>
      <c r="W36" t="str">
        <f>$A$10</f>
        <v>Redmond</v>
      </c>
      <c r="X36" s="16" t="e">
        <f si="38" t="shared"/>
        <v>#DIV/0!</v>
      </c>
      <c r="Y36" s="16" t="e">
        <f si="39" t="shared"/>
        <v>#DIV/0!</v>
      </c>
      <c r="Z36" s="16" t="e">
        <f si="39" t="shared"/>
        <v>#DIV/0!</v>
      </c>
      <c r="AA36" s="16" t="e">
        <f si="39" t="shared"/>
        <v>#DIV/0!</v>
      </c>
      <c r="AB36" s="16" t="e">
        <f si="39" t="shared"/>
        <v>#DIV/0!</v>
      </c>
      <c r="AC36" s="16" t="e">
        <f si="39" t="shared"/>
        <v>#DIV/0!</v>
      </c>
      <c r="AD36" s="16" t="e">
        <f si="39" t="shared"/>
        <v>#DIV/0!</v>
      </c>
      <c r="AE36" s="16"/>
      <c r="AF36" s="16" t="e">
        <f si="34" t="shared"/>
        <v>#DIV/0!</v>
      </c>
    </row>
    <row r="37" spans="1:32" x14ac:dyDescent="0.25">
      <c r="A37" t="str">
        <f>$A$11</f>
        <v>Seattle</v>
      </c>
      <c r="B37" s="16" t="e">
        <f si="27" t="shared"/>
        <v>#DIV/0!</v>
      </c>
      <c r="C37" s="16" t="e">
        <f si="27" t="shared"/>
        <v>#DIV/0!</v>
      </c>
      <c r="D37" s="16" t="e">
        <f si="27" t="shared"/>
        <v>#DIV/0!</v>
      </c>
      <c r="E37" s="16" t="e">
        <f si="27" t="shared"/>
        <v>#DIV/0!</v>
      </c>
      <c r="F37" s="16" t="e">
        <f si="27" t="shared"/>
        <v>#DIV/0!</v>
      </c>
      <c r="G37" s="16" t="e">
        <f si="27" t="shared"/>
        <v>#DIV/0!</v>
      </c>
      <c r="H37" s="16" t="e">
        <f ref="H37" si="44" t="shared">H24/$J$28</f>
        <v>#DIV/0!</v>
      </c>
      <c r="I37" s="16"/>
      <c r="J37" s="16" t="e">
        <f si="29" t="shared"/>
        <v>#DIV/0!</v>
      </c>
      <c r="K37" s="13"/>
      <c r="L37" t="str">
        <f>$A$11</f>
        <v>Seattle</v>
      </c>
      <c r="M37" s="16">
        <f si="36" t="shared"/>
        <v>0</v>
      </c>
      <c r="N37" s="16">
        <f si="36" t="shared"/>
        <v>0</v>
      </c>
      <c r="O37" s="16">
        <f si="36" t="shared"/>
        <v>0</v>
      </c>
      <c r="P37" s="16">
        <f si="36" t="shared"/>
        <v>0</v>
      </c>
      <c r="Q37" s="16">
        <f si="36" t="shared"/>
        <v>0</v>
      </c>
      <c r="R37" s="16">
        <f si="36" t="shared"/>
        <v>0</v>
      </c>
      <c r="S37" s="16">
        <f ref="S37" si="45" t="shared">S24/$U$28</f>
        <v>0</v>
      </c>
      <c r="T37" s="16"/>
      <c r="U37" s="16">
        <f si="32" t="shared"/>
        <v>0</v>
      </c>
      <c r="W37" t="str">
        <f>$A$11</f>
        <v>Seattle</v>
      </c>
      <c r="X37" s="16" t="e">
        <f si="38" t="shared"/>
        <v>#DIV/0!</v>
      </c>
      <c r="Y37" s="16" t="e">
        <f si="39" t="shared"/>
        <v>#DIV/0!</v>
      </c>
      <c r="Z37" s="16" t="e">
        <f si="39" t="shared"/>
        <v>#DIV/0!</v>
      </c>
      <c r="AA37" s="16" t="e">
        <f si="39" t="shared"/>
        <v>#DIV/0!</v>
      </c>
      <c r="AB37" s="16" t="e">
        <f si="39" t="shared"/>
        <v>#DIV/0!</v>
      </c>
      <c r="AC37" s="16" t="e">
        <f si="39" t="shared"/>
        <v>#DIV/0!</v>
      </c>
      <c r="AD37" s="16" t="e">
        <f si="39" t="shared"/>
        <v>#DIV/0!</v>
      </c>
      <c r="AE37" s="16"/>
      <c r="AF37" s="16" t="e">
        <f si="34" t="shared"/>
        <v>#DIV/0!</v>
      </c>
    </row>
    <row r="38" spans="1:32" x14ac:dyDescent="0.25">
      <c r="A38" t="str">
        <f>$A$12</f>
        <v>Seattle Downtown</v>
      </c>
      <c r="B38" s="16" t="e">
        <f si="27" t="shared"/>
        <v>#DIV/0!</v>
      </c>
      <c r="C38" s="16" t="e">
        <f si="27" t="shared"/>
        <v>#DIV/0!</v>
      </c>
      <c r="D38" s="16" t="e">
        <f si="27" t="shared"/>
        <v>#DIV/0!</v>
      </c>
      <c r="E38" s="16" t="e">
        <f si="27" t="shared"/>
        <v>#DIV/0!</v>
      </c>
      <c r="F38" s="16" t="e">
        <f si="27" t="shared"/>
        <v>#DIV/0!</v>
      </c>
      <c r="G38" s="16" t="e">
        <f si="27" t="shared"/>
        <v>#DIV/0!</v>
      </c>
      <c r="H38" s="16" t="e">
        <f ref="H38:H39" si="46" t="shared">H25/$J$28</f>
        <v>#DIV/0!</v>
      </c>
      <c r="I38" s="16"/>
      <c r="J38" s="16" t="e">
        <f si="29" t="shared"/>
        <v>#DIV/0!</v>
      </c>
      <c r="K38" s="13"/>
      <c r="L38" t="str">
        <f>$A$12</f>
        <v>Seattle Downtown</v>
      </c>
      <c r="M38" s="16">
        <f si="36" t="shared"/>
        <v>0</v>
      </c>
      <c r="N38" s="16">
        <f si="36" t="shared"/>
        <v>0</v>
      </c>
      <c r="O38" s="16">
        <f si="36" t="shared"/>
        <v>0</v>
      </c>
      <c r="P38" s="16">
        <f si="36" t="shared"/>
        <v>0</v>
      </c>
      <c r="Q38" s="16">
        <f si="36" t="shared"/>
        <v>0</v>
      </c>
      <c r="R38" s="16">
        <f si="36" t="shared"/>
        <v>0</v>
      </c>
      <c r="S38" s="16">
        <f ref="S38:S39" si="47" t="shared">S25/$U$28</f>
        <v>0</v>
      </c>
      <c r="T38" s="16"/>
      <c r="U38" s="16">
        <f si="32" t="shared"/>
        <v>0</v>
      </c>
      <c r="W38" t="str">
        <f>$A$12</f>
        <v>Seattle Downtown</v>
      </c>
      <c r="X38" s="16" t="e">
        <f si="38" t="shared"/>
        <v>#DIV/0!</v>
      </c>
      <c r="Y38" s="16" t="e">
        <f si="39" t="shared"/>
        <v>#DIV/0!</v>
      </c>
      <c r="Z38" s="16" t="e">
        <f si="39" t="shared"/>
        <v>#DIV/0!</v>
      </c>
      <c r="AA38" s="16" t="e">
        <f si="39" t="shared"/>
        <v>#DIV/0!</v>
      </c>
      <c r="AB38" s="16" t="e">
        <f si="39" t="shared"/>
        <v>#DIV/0!</v>
      </c>
      <c r="AC38" s="16" t="e">
        <f si="39" t="shared"/>
        <v>#DIV/0!</v>
      </c>
      <c r="AD38" s="16" t="e">
        <f si="39" t="shared"/>
        <v>#DIV/0!</v>
      </c>
      <c r="AE38" s="16"/>
      <c r="AF38" s="16" t="e">
        <f si="34" t="shared"/>
        <v>#DIV/0!</v>
      </c>
    </row>
    <row r="39" spans="1:32" x14ac:dyDescent="0.25">
      <c r="A39" t="str">
        <f>$A$13</f>
        <v>Rest</v>
      </c>
      <c r="B39" s="16" t="e">
        <f si="27" t="shared"/>
        <v>#DIV/0!</v>
      </c>
      <c r="C39" s="16" t="e">
        <f si="27" t="shared"/>
        <v>#DIV/0!</v>
      </c>
      <c r="D39" s="16" t="e">
        <f si="27" t="shared"/>
        <v>#DIV/0!</v>
      </c>
      <c r="E39" s="16" t="e">
        <f si="27" t="shared"/>
        <v>#DIV/0!</v>
      </c>
      <c r="F39" s="16" t="e">
        <f si="27" t="shared"/>
        <v>#DIV/0!</v>
      </c>
      <c r="G39" s="16" t="e">
        <f si="27" t="shared"/>
        <v>#DIV/0!</v>
      </c>
      <c r="H39" s="16" t="e">
        <f si="46" t="shared"/>
        <v>#DIV/0!</v>
      </c>
      <c r="I39" s="16"/>
      <c r="J39" s="16" t="e">
        <f si="27" t="shared"/>
        <v>#DIV/0!</v>
      </c>
      <c r="K39" s="13"/>
      <c r="L39" t="str">
        <f>$A$13</f>
        <v>Rest</v>
      </c>
      <c r="M39" s="16">
        <f si="36" t="shared"/>
        <v>0</v>
      </c>
      <c r="N39" s="16">
        <f si="36" t="shared"/>
        <v>0</v>
      </c>
      <c r="O39" s="16">
        <f si="36" t="shared"/>
        <v>0</v>
      </c>
      <c r="P39" s="16">
        <f si="36" t="shared"/>
        <v>0</v>
      </c>
      <c r="Q39" s="16">
        <f si="36" t="shared"/>
        <v>0</v>
      </c>
      <c r="R39" s="16">
        <f si="36" t="shared"/>
        <v>0</v>
      </c>
      <c r="S39" s="16">
        <f si="47" t="shared"/>
        <v>0</v>
      </c>
      <c r="T39" s="16"/>
      <c r="U39" s="16">
        <f si="32" t="shared"/>
        <v>0</v>
      </c>
      <c r="W39" t="str">
        <f>$A$13</f>
        <v>Rest</v>
      </c>
      <c r="X39" s="16" t="e">
        <f ref="X39" si="48" t="shared">M39-B39</f>
        <v>#DIV/0!</v>
      </c>
      <c r="Y39" s="16" t="e">
        <f ref="Y39" si="49" t="shared">N39-C39</f>
        <v>#DIV/0!</v>
      </c>
      <c r="Z39" s="16" t="e">
        <f ref="Z39" si="50" t="shared">O39-D39</f>
        <v>#DIV/0!</v>
      </c>
      <c r="AA39" s="16" t="e">
        <f ref="AA39" si="51" t="shared">P39-E39</f>
        <v>#DIV/0!</v>
      </c>
      <c r="AB39" s="16" t="e">
        <f ref="AB39" si="52" t="shared">Q39-F39</f>
        <v>#DIV/0!</v>
      </c>
      <c r="AC39" s="16" t="e">
        <f ref="AC39" si="53" t="shared">R39-G39</f>
        <v>#DIV/0!</v>
      </c>
      <c r="AD39" s="16" t="e">
        <f ref="AD39" si="54" t="shared">S39-H39</f>
        <v>#DIV/0!</v>
      </c>
      <c r="AE39" s="16"/>
      <c r="AF39" s="16" t="e">
        <f si="34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5" t="shared">B28/$J$28</f>
        <v>#DIV/0!</v>
      </c>
      <c r="C41" s="18" t="e">
        <f si="55" t="shared"/>
        <v>#DIV/0!</v>
      </c>
      <c r="D41" s="18" t="e">
        <f si="55" t="shared"/>
        <v>#DIV/0!</v>
      </c>
      <c r="E41" s="18" t="e">
        <f si="55" t="shared"/>
        <v>#DIV/0!</v>
      </c>
      <c r="F41" s="18" t="e">
        <f si="55" t="shared"/>
        <v>#DIV/0!</v>
      </c>
      <c r="G41" s="18" t="e">
        <f si="55" t="shared"/>
        <v>#DIV/0!</v>
      </c>
      <c r="H41" s="18" t="e">
        <f si="55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1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56" t="shared">Q28/$U$28</f>
        <v>0</v>
      </c>
      <c r="R41" s="18">
        <f si="56" t="shared"/>
        <v>0</v>
      </c>
      <c r="S41" s="18">
        <f si="56" t="shared"/>
        <v>0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7" t="shared">M41-B41</f>
        <v>#DIV/0!</v>
      </c>
      <c r="Y41" s="18" t="e">
        <f si="57" t="shared"/>
        <v>#DIV/0!</v>
      </c>
      <c r="Z41" s="18" t="e">
        <f si="57" t="shared"/>
        <v>#DIV/0!</v>
      </c>
      <c r="AA41" s="18" t="e">
        <f si="57" t="shared"/>
        <v>#DIV/0!</v>
      </c>
      <c r="AB41" s="18" t="e">
        <f si="57" t="shared"/>
        <v>#DIV/0!</v>
      </c>
      <c r="AC41" s="18" t="e">
        <f si="57" t="shared"/>
        <v>#DIV/0!</v>
      </c>
      <c r="AD41" s="18" t="e">
        <f si="57" t="shared"/>
        <v>#DIV/0!</v>
      </c>
      <c r="AE41" s="18" t="e">
        <f si="57" t="shared"/>
        <v>#DIV/0!</v>
      </c>
      <c r="AF41" s="18" t="e">
        <f si="57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10" workbookViewId="0">
      <selection activeCell="D28" sqref="D28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41</v>
      </c>
    </row>
    <row r="2" spans="1:4" x14ac:dyDescent="0.25">
      <c r="A2" t="s">
        <v>256</v>
      </c>
      <c r="B2" t="s">
        <v>257</v>
      </c>
      <c r="C2" t="s">
        <v>90</v>
      </c>
      <c r="D2" t="s">
        <v>258</v>
      </c>
    </row>
    <row r="3" spans="1:4" x14ac:dyDescent="0.25">
      <c r="A3">
        <v>1</v>
      </c>
      <c r="B3" t="s">
        <v>44</v>
      </c>
      <c r="C3" t="s">
        <v>275</v>
      </c>
      <c r="D3" t="s">
        <v>45</v>
      </c>
    </row>
    <row r="4" spans="1:4" x14ac:dyDescent="0.25">
      <c r="A4">
        <v>2</v>
      </c>
      <c r="B4" t="s">
        <v>47</v>
      </c>
      <c r="C4" t="s">
        <v>275</v>
      </c>
      <c r="D4" t="s">
        <v>48</v>
      </c>
    </row>
    <row r="5" spans="1:4" x14ac:dyDescent="0.25">
      <c r="A5">
        <v>3</v>
      </c>
      <c r="B5" t="s">
        <v>50</v>
      </c>
      <c r="C5" t="s">
        <v>275</v>
      </c>
      <c r="D5" t="s">
        <v>51</v>
      </c>
    </row>
    <row r="6" spans="1:4" x14ac:dyDescent="0.25">
      <c r="A6">
        <v>4</v>
      </c>
      <c r="B6" t="s">
        <v>53</v>
      </c>
      <c r="C6" t="s">
        <v>275</v>
      </c>
      <c r="D6" t="s">
        <v>54</v>
      </c>
    </row>
    <row r="7" spans="1:4" x14ac:dyDescent="0.25">
      <c r="A7">
        <v>5</v>
      </c>
      <c r="B7" t="s">
        <v>56</v>
      </c>
      <c r="C7" t="s">
        <v>275</v>
      </c>
      <c r="D7" t="s">
        <v>57</v>
      </c>
    </row>
    <row r="8" spans="1:4" x14ac:dyDescent="0.25">
      <c r="A8">
        <v>6</v>
      </c>
      <c r="B8" t="s">
        <v>58</v>
      </c>
      <c r="C8" t="s">
        <v>275</v>
      </c>
      <c r="D8" t="s">
        <v>59</v>
      </c>
    </row>
    <row r="9" spans="1:4" x14ac:dyDescent="0.25">
      <c r="A9">
        <v>7</v>
      </c>
      <c r="B9" t="s">
        <v>60</v>
      </c>
      <c r="C9" t="s">
        <v>275</v>
      </c>
      <c r="D9" t="s">
        <v>61</v>
      </c>
    </row>
    <row r="10" spans="1:4" x14ac:dyDescent="0.25">
      <c r="A10">
        <v>8</v>
      </c>
      <c r="B10" t="s">
        <v>63</v>
      </c>
      <c r="C10" t="s">
        <v>275</v>
      </c>
      <c r="D10" t="s">
        <v>64</v>
      </c>
    </row>
    <row r="11" spans="1:4" x14ac:dyDescent="0.25">
      <c r="A11">
        <v>9</v>
      </c>
      <c r="B11" t="s">
        <v>65</v>
      </c>
      <c r="C11" t="s">
        <v>275</v>
      </c>
      <c r="D11" t="s">
        <v>66</v>
      </c>
    </row>
    <row r="12" spans="1:4" x14ac:dyDescent="0.25">
      <c r="A12">
        <v>10</v>
      </c>
      <c r="B12" t="s">
        <v>67</v>
      </c>
      <c r="C12" t="s">
        <v>275</v>
      </c>
      <c r="D12" t="s">
        <v>68</v>
      </c>
    </row>
    <row r="13" spans="1:4" x14ac:dyDescent="0.25">
      <c r="A13">
        <v>11</v>
      </c>
      <c r="B13" t="s">
        <v>69</v>
      </c>
      <c r="C13" t="s">
        <v>275</v>
      </c>
      <c r="D13" t="s">
        <v>70</v>
      </c>
    </row>
    <row r="14" spans="1:4" x14ac:dyDescent="0.25">
      <c r="A14">
        <v>12</v>
      </c>
      <c r="B14" t="s">
        <v>71</v>
      </c>
      <c r="C14" t="s">
        <v>275</v>
      </c>
      <c r="D14" t="s">
        <v>72</v>
      </c>
    </row>
    <row r="15" spans="1:4" x14ac:dyDescent="0.25">
      <c r="A15">
        <v>13</v>
      </c>
      <c r="B15" t="s">
        <v>73</v>
      </c>
      <c r="C15" t="s">
        <v>275</v>
      </c>
      <c r="D15" t="s">
        <v>74</v>
      </c>
    </row>
    <row r="16" spans="1:4" x14ac:dyDescent="0.25">
      <c r="A16">
        <v>14</v>
      </c>
      <c r="B16" t="s">
        <v>75</v>
      </c>
      <c r="C16" t="s">
        <v>275</v>
      </c>
      <c r="D16" t="s">
        <v>76</v>
      </c>
    </row>
    <row r="17" spans="1:4" x14ac:dyDescent="0.25">
      <c r="A17">
        <v>15</v>
      </c>
      <c r="B17" t="s">
        <v>77</v>
      </c>
      <c r="C17" t="s">
        <v>275</v>
      </c>
      <c r="D17" t="s">
        <v>78</v>
      </c>
    </row>
    <row r="18" spans="1:4" x14ac:dyDescent="0.25">
      <c r="A18">
        <v>16</v>
      </c>
      <c r="B18" t="s">
        <v>79</v>
      </c>
      <c r="C18" t="s">
        <v>275</v>
      </c>
      <c r="D18" t="s">
        <v>80</v>
      </c>
    </row>
    <row r="19" spans="1:4" x14ac:dyDescent="0.25">
      <c r="A19">
        <v>17</v>
      </c>
      <c r="B19" t="s">
        <v>82</v>
      </c>
      <c r="C19" t="s">
        <v>275</v>
      </c>
      <c r="D19" t="s">
        <v>83</v>
      </c>
    </row>
    <row r="20" spans="1:4" x14ac:dyDescent="0.25">
      <c r="A20">
        <v>18</v>
      </c>
      <c r="B20" t="s">
        <v>85</v>
      </c>
      <c r="C20" t="s">
        <v>275</v>
      </c>
      <c r="D20" t="s">
        <v>86</v>
      </c>
    </row>
    <row r="21" spans="1:4" x14ac:dyDescent="0.25">
      <c r="A21">
        <v>19</v>
      </c>
      <c r="B21" t="s">
        <v>88</v>
      </c>
      <c r="C21" t="s">
        <v>275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19"/>
    </sheetView>
  </sheetViews>
  <sheetFormatPr defaultRowHeight="15" x14ac:dyDescent="0.25"/>
  <sheetData>
    <row r="1" spans="1:11" x14ac:dyDescent="0.25">
      <c r="A1" s="340" t="s">
        <v>237</v>
      </c>
      <c r="B1" s="341"/>
      <c r="C1" s="341"/>
      <c r="D1" s="341"/>
      <c r="E1" s="341"/>
      <c r="F1" s="341"/>
      <c r="G1" s="341"/>
      <c r="H1" s="341" t="s">
        <v>238</v>
      </c>
      <c r="I1" s="341"/>
      <c r="J1" s="341"/>
      <c r="K1" s="342"/>
    </row>
    <row r="2" spans="1:11" x14ac:dyDescent="0.25">
      <c r="A2" s="343">
        <v>1</v>
      </c>
      <c r="B2" s="344" t="s">
        <v>254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25">
      <c r="A3" s="343">
        <v>2</v>
      </c>
      <c r="B3" s="344" t="s">
        <v>239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25">
      <c r="A4" s="343">
        <v>3</v>
      </c>
      <c r="B4" s="344" t="s">
        <v>240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25">
      <c r="A5" s="346">
        <v>4</v>
      </c>
      <c r="B5" s="347" t="s">
        <v>241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25">
      <c r="A8" t="s">
        <v>227</v>
      </c>
      <c r="B8" t="s">
        <v>228</v>
      </c>
      <c r="C8" t="s">
        <v>229</v>
      </c>
      <c r="D8" t="s">
        <v>282</v>
      </c>
      <c r="E8" t="s">
        <v>283</v>
      </c>
      <c r="F8" t="s">
        <v>284</v>
      </c>
      <c r="G8" t="s">
        <v>285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2">
        <v>0.91831018518518526</v>
      </c>
      <c r="G9" t="s">
        <v>234</v>
      </c>
      <c r="H9">
        <v>30</v>
      </c>
      <c r="I9" t="s">
        <v>287</v>
      </c>
      <c r="J9">
        <v>20</v>
      </c>
    </row>
    <row r="10" spans="1:11" x14ac:dyDescent="0.25">
      <c r="A10" t="s">
        <v>226</v>
      </c>
    </row>
    <row r="11" spans="1:11" x14ac:dyDescent="0.25">
      <c r="B11">
        <v>1</v>
      </c>
      <c r="C11" t="s">
        <v>288</v>
      </c>
      <c r="D11" t="s">
        <v>235</v>
      </c>
      <c r="E11">
        <v>1</v>
      </c>
      <c r="F11">
        <v>1</v>
      </c>
    </row>
    <row r="12" spans="1:11" x14ac:dyDescent="0.25">
      <c r="B12">
        <v>2</v>
      </c>
      <c r="C12" t="s">
        <v>289</v>
      </c>
      <c r="D12" t="s">
        <v>236</v>
      </c>
      <c r="E12">
        <v>14.842474747500001</v>
      </c>
      <c r="F12">
        <v>1.83835803238</v>
      </c>
    </row>
    <row r="13" spans="1:11" x14ac:dyDescent="0.25">
      <c r="B13">
        <v>3</v>
      </c>
      <c r="C13" t="s">
        <v>290</v>
      </c>
      <c r="D13" t="s">
        <v>236</v>
      </c>
      <c r="E13" s="333">
        <v>5.2231850982500001E-2</v>
      </c>
      <c r="F13">
        <v>0.20210412377100001</v>
      </c>
    </row>
    <row r="14" spans="1:11" x14ac:dyDescent="0.25">
      <c r="B14">
        <v>4</v>
      </c>
      <c r="C14" t="s">
        <v>291</v>
      </c>
      <c r="D14" t="s">
        <v>236</v>
      </c>
      <c r="E14" s="333">
        <v>-0.28042629390099999</v>
      </c>
      <c r="F14">
        <v>0.214012249288</v>
      </c>
    </row>
    <row r="15" spans="1:11" x14ac:dyDescent="0.25">
      <c r="B15">
        <v>5</v>
      </c>
      <c r="C15" t="s">
        <v>292</v>
      </c>
      <c r="D15" t="s">
        <v>236</v>
      </c>
      <c r="E15" s="333">
        <v>3.8864252169499999E-2</v>
      </c>
      <c r="F15">
        <v>0.22261163226899999</v>
      </c>
    </row>
    <row r="16" spans="1:11" x14ac:dyDescent="0.25">
      <c r="B16">
        <v>6</v>
      </c>
      <c r="C16" t="s">
        <v>293</v>
      </c>
      <c r="D16" t="s">
        <v>236</v>
      </c>
      <c r="E16" s="333">
        <v>-5.4105027761100002E-2</v>
      </c>
      <c r="F16" s="333">
        <v>9.1881732487999995E-2</v>
      </c>
    </row>
    <row r="17" spans="2:6" x14ac:dyDescent="0.25">
      <c r="B17">
        <v>7</v>
      </c>
      <c r="C17" t="s">
        <v>294</v>
      </c>
      <c r="D17" t="s">
        <v>236</v>
      </c>
      <c r="E17">
        <v>-1.2443107654000001</v>
      </c>
      <c r="F17">
        <v>0.19943151784099999</v>
      </c>
    </row>
    <row r="18" spans="2:6" x14ac:dyDescent="0.25">
      <c r="B18">
        <v>8</v>
      </c>
      <c r="C18" t="s">
        <v>295</v>
      </c>
      <c r="D18" t="s">
        <v>236</v>
      </c>
      <c r="E18" s="333">
        <v>0.41298170440800003</v>
      </c>
      <c r="F18">
        <v>0.14496922102199999</v>
      </c>
    </row>
    <row r="19" spans="2:6" x14ac:dyDescent="0.25">
      <c r="B19">
        <v>9</v>
      </c>
      <c r="C19" t="s">
        <v>296</v>
      </c>
      <c r="D19" t="s">
        <v>236</v>
      </c>
      <c r="E19" s="333">
        <v>-0.26420630814700002</v>
      </c>
      <c r="F19">
        <v>0.19387529082999999</v>
      </c>
    </row>
    <row r="20" spans="2:6" x14ac:dyDescent="0.25">
      <c r="B20">
        <v>10</v>
      </c>
      <c r="C20" t="s">
        <v>297</v>
      </c>
      <c r="D20" t="s">
        <v>236</v>
      </c>
      <c r="E20">
        <v>-0.35872692861799998</v>
      </c>
      <c r="F20">
        <v>0.100051515259</v>
      </c>
    </row>
    <row r="21" spans="2:6" x14ac:dyDescent="0.25">
      <c r="B21">
        <v>11</v>
      </c>
      <c r="C21" t="s">
        <v>298</v>
      </c>
      <c r="D21" t="s">
        <v>236</v>
      </c>
      <c r="E21">
        <v>0.20317681554899999</v>
      </c>
      <c r="F21">
        <v>0.247232349657</v>
      </c>
    </row>
    <row r="22" spans="2:6" x14ac:dyDescent="0.25">
      <c r="B22">
        <v>12</v>
      </c>
      <c r="C22" t="s">
        <v>299</v>
      </c>
      <c r="D22" t="s">
        <v>236</v>
      </c>
      <c r="E22">
        <v>-0.25772334575</v>
      </c>
      <c r="F22">
        <v>0.170336028034</v>
      </c>
    </row>
    <row r="23" spans="2:6" x14ac:dyDescent="0.25">
      <c r="B23">
        <v>13</v>
      </c>
      <c r="C23" t="s">
        <v>300</v>
      </c>
      <c r="D23" t="s">
        <v>236</v>
      </c>
      <c r="E23">
        <v>-1.51291507531</v>
      </c>
      <c r="F23">
        <v>0.20916747597900001</v>
      </c>
    </row>
    <row r="24" spans="2:6" x14ac:dyDescent="0.25">
      <c r="B24">
        <v>14</v>
      </c>
      <c r="C24" t="s">
        <v>301</v>
      </c>
      <c r="D24" t="s">
        <v>236</v>
      </c>
      <c r="E24">
        <v>-0.21776561918199999</v>
      </c>
      <c r="F24" s="333">
        <v>7.7382027445400001E-2</v>
      </c>
    </row>
    <row r="25" spans="2:6" x14ac:dyDescent="0.25">
      <c r="B25">
        <v>15</v>
      </c>
      <c r="C25" t="s">
        <v>302</v>
      </c>
      <c r="D25" t="s">
        <v>236</v>
      </c>
      <c r="E25">
        <v>-1.27163179208</v>
      </c>
      <c r="F25">
        <v>0.50605159824699997</v>
      </c>
    </row>
    <row r="26" spans="2:6" x14ac:dyDescent="0.25">
      <c r="B26">
        <v>16</v>
      </c>
      <c r="C26" t="s">
        <v>303</v>
      </c>
      <c r="D26" t="s">
        <v>236</v>
      </c>
      <c r="E26">
        <v>-0.54089688480800002</v>
      </c>
      <c r="F26">
        <v>0.15561651788600001</v>
      </c>
    </row>
    <row r="27" spans="2:6" x14ac:dyDescent="0.25">
      <c r="B27">
        <v>17</v>
      </c>
      <c r="C27" t="s">
        <v>304</v>
      </c>
      <c r="D27" t="s">
        <v>235</v>
      </c>
      <c r="E27">
        <v>0</v>
      </c>
      <c r="F27">
        <v>1</v>
      </c>
    </row>
    <row r="28" spans="2:6" x14ac:dyDescent="0.25">
      <c r="B28">
        <v>18</v>
      </c>
      <c r="C28" t="s">
        <v>305</v>
      </c>
      <c r="D28" t="s">
        <v>235</v>
      </c>
      <c r="E28">
        <v>0</v>
      </c>
      <c r="F28">
        <v>1</v>
      </c>
    </row>
    <row r="29" spans="2:6" x14ac:dyDescent="0.25">
      <c r="B29">
        <v>19</v>
      </c>
      <c r="C29" t="s">
        <v>306</v>
      </c>
      <c r="D29" t="s">
        <v>235</v>
      </c>
      <c r="E29">
        <v>0</v>
      </c>
      <c r="F29">
        <v>1</v>
      </c>
    </row>
    <row r="30" spans="2:6" x14ac:dyDescent="0.25">
      <c r="B30">
        <v>20</v>
      </c>
      <c r="C30" t="s">
        <v>307</v>
      </c>
      <c r="D30" t="s">
        <v>236</v>
      </c>
      <c r="E30">
        <v>0.43763139961699998</v>
      </c>
      <c r="F30" s="333">
        <v>4.8429506021399997E-2</v>
      </c>
    </row>
    <row r="31" spans="2:6" x14ac:dyDescent="0.25">
      <c r="B31">
        <v>21</v>
      </c>
      <c r="C31" t="s">
        <v>308</v>
      </c>
      <c r="D31" t="s">
        <v>236</v>
      </c>
      <c r="E31">
        <v>-5.1729505125899999</v>
      </c>
      <c r="F31">
        <v>1.47237352721</v>
      </c>
    </row>
    <row r="32" spans="2:6" x14ac:dyDescent="0.25">
      <c r="B32">
        <v>22</v>
      </c>
      <c r="C32" t="s">
        <v>309</v>
      </c>
      <c r="D32" t="s">
        <v>236</v>
      </c>
      <c r="E32">
        <v>-5.9112646193599998</v>
      </c>
      <c r="F32">
        <v>0.31220814773599997</v>
      </c>
    </row>
    <row r="33" spans="2:6" x14ac:dyDescent="0.25">
      <c r="B33">
        <v>23</v>
      </c>
      <c r="C33" t="s">
        <v>310</v>
      </c>
      <c r="D33" t="s">
        <v>236</v>
      </c>
      <c r="E33">
        <v>-4.3510480079200002</v>
      </c>
      <c r="F33">
        <v>0.18576143123800001</v>
      </c>
    </row>
    <row r="34" spans="2:6" x14ac:dyDescent="0.25">
      <c r="B34">
        <v>24</v>
      </c>
      <c r="C34" t="s">
        <v>311</v>
      </c>
      <c r="D34" t="s">
        <v>236</v>
      </c>
      <c r="E34">
        <v>0.219929989326</v>
      </c>
      <c r="F34" s="333">
        <v>1.3645721239299999E-2</v>
      </c>
    </row>
    <row r="35" spans="2:6" x14ac:dyDescent="0.25">
      <c r="B35">
        <v>25</v>
      </c>
      <c r="C35" t="s">
        <v>312</v>
      </c>
      <c r="D35" t="s">
        <v>236</v>
      </c>
      <c r="E35">
        <v>-0.19965371290799999</v>
      </c>
      <c r="F35" s="333">
        <v>1.5268311706199999E-2</v>
      </c>
    </row>
    <row r="36" spans="2:6" x14ac:dyDescent="0.25">
      <c r="B36">
        <v>26</v>
      </c>
      <c r="C36" t="s">
        <v>313</v>
      </c>
      <c r="D36" t="s">
        <v>236</v>
      </c>
      <c r="E36">
        <v>0.456947594269</v>
      </c>
      <c r="F36" s="333">
        <v>8.45315868922E-2</v>
      </c>
    </row>
    <row r="37" spans="2:6" x14ac:dyDescent="0.25">
      <c r="B37">
        <v>27</v>
      </c>
      <c r="C37" t="s">
        <v>314</v>
      </c>
      <c r="D37" t="s">
        <v>236</v>
      </c>
      <c r="E37">
        <v>-16.041405463699999</v>
      </c>
      <c r="F37">
        <v>1.44425336446</v>
      </c>
    </row>
    <row r="38" spans="2:6" x14ac:dyDescent="0.25">
      <c r="B38">
        <v>28</v>
      </c>
      <c r="C38" t="s">
        <v>315</v>
      </c>
      <c r="D38" t="s">
        <v>236</v>
      </c>
      <c r="E38">
        <v>-4.0058838759500004</v>
      </c>
      <c r="F38">
        <v>0.35273062120999998</v>
      </c>
    </row>
    <row r="39" spans="2:6" x14ac:dyDescent="0.25">
      <c r="B39">
        <v>29</v>
      </c>
      <c r="C39" t="s">
        <v>316</v>
      </c>
      <c r="D39" t="s">
        <v>236</v>
      </c>
      <c r="E39">
        <v>-2.2602358254700001</v>
      </c>
      <c r="F39">
        <v>0.146992342355</v>
      </c>
    </row>
    <row r="40" spans="2:6" x14ac:dyDescent="0.25">
      <c r="B40">
        <v>30</v>
      </c>
      <c r="C40" t="s">
        <v>317</v>
      </c>
      <c r="D40" t="s">
        <v>236</v>
      </c>
      <c r="E40">
        <v>-0.57131171698200001</v>
      </c>
      <c r="F40" s="333">
        <v>8.1640985937999996E-2</v>
      </c>
    </row>
    <row r="41" spans="2:6" x14ac:dyDescent="0.25">
      <c r="B41">
        <v>31</v>
      </c>
      <c r="C41" t="s">
        <v>318</v>
      </c>
      <c r="D41" t="s">
        <v>236</v>
      </c>
      <c r="E41" s="333">
        <v>-9.1432405138999993E-3</v>
      </c>
      <c r="F41" s="333">
        <v>1.8681010178100001E-2</v>
      </c>
    </row>
    <row r="42" spans="2:6" x14ac:dyDescent="0.25">
      <c r="B42">
        <v>32</v>
      </c>
      <c r="C42" t="s">
        <v>319</v>
      </c>
      <c r="D42" t="s">
        <v>236</v>
      </c>
      <c r="E42">
        <v>-0.11638214876</v>
      </c>
      <c r="F42" s="333">
        <v>2.0027350623800001E-2</v>
      </c>
    </row>
    <row r="43" spans="2:6" x14ac:dyDescent="0.25">
      <c r="B43">
        <v>33</v>
      </c>
      <c r="C43" t="s">
        <v>320</v>
      </c>
      <c r="D43" t="s">
        <v>236</v>
      </c>
      <c r="E43" s="333">
        <v>5.6920874310099998E-2</v>
      </c>
      <c r="F43" s="333">
        <v>1.00062712342E-2</v>
      </c>
    </row>
    <row r="44" spans="2:6" x14ac:dyDescent="0.25">
      <c r="B44">
        <v>34</v>
      </c>
      <c r="C44" t="s">
        <v>321</v>
      </c>
      <c r="D44" t="s">
        <v>236</v>
      </c>
      <c r="E44" s="333">
        <v>-1.9362324458399999E-2</v>
      </c>
      <c r="F44" s="333">
        <v>1.63018501781E-2</v>
      </c>
    </row>
    <row r="45" spans="2:6" x14ac:dyDescent="0.25">
      <c r="B45">
        <v>35</v>
      </c>
      <c r="C45" t="s">
        <v>322</v>
      </c>
      <c r="D45" t="s">
        <v>236</v>
      </c>
      <c r="E45" s="333">
        <v>1.8323476485999999E-2</v>
      </c>
      <c r="F45" s="333">
        <v>1.2148526885499999E-2</v>
      </c>
    </row>
    <row r="46" spans="2:6" x14ac:dyDescent="0.25">
      <c r="B46">
        <v>36</v>
      </c>
      <c r="C46" t="s">
        <v>323</v>
      </c>
      <c r="D46" t="s">
        <v>236</v>
      </c>
      <c r="E46" s="333">
        <v>2.3040582229000002</v>
      </c>
      <c r="F46" s="333">
        <v>0.22055425229699999</v>
      </c>
    </row>
    <row r="47" spans="2:6" x14ac:dyDescent="0.25">
      <c r="B47">
        <v>37</v>
      </c>
      <c r="C47" t="s">
        <v>324</v>
      </c>
      <c r="D47" t="s">
        <v>236</v>
      </c>
      <c r="E47">
        <v>-7.2225250615199998</v>
      </c>
      <c r="F47">
        <v>1.6810961957599999</v>
      </c>
    </row>
    <row r="48" spans="2:6" x14ac:dyDescent="0.25">
      <c r="B48">
        <v>38</v>
      </c>
      <c r="C48" t="s">
        <v>325</v>
      </c>
      <c r="D48" t="s">
        <v>236</v>
      </c>
      <c r="E48">
        <v>-5.4693439766900003</v>
      </c>
      <c r="F48">
        <v>0.390672154306</v>
      </c>
    </row>
    <row r="49" spans="2:6" x14ac:dyDescent="0.25">
      <c r="B49">
        <v>39</v>
      </c>
      <c r="C49" t="s">
        <v>326</v>
      </c>
      <c r="D49" t="s">
        <v>236</v>
      </c>
      <c r="E49">
        <v>-2.4179033783600001</v>
      </c>
      <c r="F49">
        <v>0.223286996333</v>
      </c>
    </row>
    <row r="50" spans="2:6" x14ac:dyDescent="0.25">
      <c r="B50">
        <v>40</v>
      </c>
      <c r="C50" t="s">
        <v>327</v>
      </c>
      <c r="D50" t="s">
        <v>236</v>
      </c>
      <c r="E50">
        <v>-0.24529497763800001</v>
      </c>
      <c r="F50">
        <v>0.173792333986</v>
      </c>
    </row>
    <row r="51" spans="2:6" x14ac:dyDescent="0.25">
      <c r="B51">
        <v>41</v>
      </c>
      <c r="C51" t="s">
        <v>328</v>
      </c>
      <c r="D51" t="s">
        <v>236</v>
      </c>
      <c r="E51">
        <v>-0.100545011408</v>
      </c>
      <c r="F51" s="333">
        <v>1.7103318696699999E-2</v>
      </c>
    </row>
    <row r="52" spans="2:6" x14ac:dyDescent="0.25">
      <c r="B52">
        <v>42</v>
      </c>
      <c r="C52" t="s">
        <v>329</v>
      </c>
      <c r="D52" t="s">
        <v>236</v>
      </c>
      <c r="E52">
        <v>0.10049185695100001</v>
      </c>
      <c r="F52" s="333">
        <v>2.1833904078799999E-2</v>
      </c>
    </row>
    <row r="53" spans="2:6" x14ac:dyDescent="0.25">
      <c r="B53">
        <v>43</v>
      </c>
      <c r="C53" t="s">
        <v>330</v>
      </c>
      <c r="D53" t="s">
        <v>236</v>
      </c>
      <c r="E53">
        <v>1.7655971612000001</v>
      </c>
      <c r="F53" s="333">
        <v>0.154891246998</v>
      </c>
    </row>
    <row r="54" spans="2:6" x14ac:dyDescent="0.25">
      <c r="B54">
        <v>44</v>
      </c>
      <c r="C54" t="s">
        <v>331</v>
      </c>
      <c r="D54" t="s">
        <v>236</v>
      </c>
      <c r="E54">
        <v>-13.482142205440001</v>
      </c>
      <c r="F54">
        <v>1.7238420080500001</v>
      </c>
    </row>
    <row r="55" spans="2:6" x14ac:dyDescent="0.25">
      <c r="B55">
        <v>45</v>
      </c>
      <c r="C55" t="s">
        <v>332</v>
      </c>
      <c r="D55" t="s">
        <v>236</v>
      </c>
      <c r="E55">
        <v>-5.7740636752999999</v>
      </c>
      <c r="F55">
        <v>0.44296383007700002</v>
      </c>
    </row>
    <row r="56" spans="2:6" x14ac:dyDescent="0.25">
      <c r="B56">
        <v>46</v>
      </c>
      <c r="C56" t="s">
        <v>333</v>
      </c>
      <c r="D56" t="s">
        <v>236</v>
      </c>
      <c r="E56">
        <v>-3.2513620839500001</v>
      </c>
      <c r="F56">
        <v>0.22459177151199999</v>
      </c>
    </row>
    <row r="57" spans="2:6" x14ac:dyDescent="0.25">
      <c r="B57">
        <v>47</v>
      </c>
      <c r="C57" t="s">
        <v>334</v>
      </c>
      <c r="D57" t="s">
        <v>236</v>
      </c>
      <c r="E57">
        <v>-0.81757689945000001</v>
      </c>
      <c r="F57">
        <v>0.14989642806799999</v>
      </c>
    </row>
    <row r="58" spans="2:6" x14ac:dyDescent="0.25">
      <c r="B58">
        <v>48</v>
      </c>
      <c r="C58" t="s">
        <v>335</v>
      </c>
      <c r="D58" t="s">
        <v>236</v>
      </c>
      <c r="E58">
        <v>0.63335958983999996</v>
      </c>
      <c r="F58" s="333">
        <v>2.38840174789E-2</v>
      </c>
    </row>
    <row r="59" spans="2:6" x14ac:dyDescent="0.25">
      <c r="B59">
        <v>49</v>
      </c>
      <c r="C59" t="s">
        <v>336</v>
      </c>
      <c r="D59" t="s">
        <v>236</v>
      </c>
      <c r="E59">
        <v>0.54194850979700004</v>
      </c>
      <c r="F59" s="333">
        <v>0.13589969408700001</v>
      </c>
    </row>
    <row r="60" spans="2:6" x14ac:dyDescent="0.25">
      <c r="B60">
        <v>50</v>
      </c>
      <c r="C60" t="s">
        <v>337</v>
      </c>
      <c r="D60" t="s">
        <v>236</v>
      </c>
      <c r="E60">
        <v>-26.641935956609998</v>
      </c>
      <c r="F60">
        <v>1.5214646814199999</v>
      </c>
    </row>
    <row r="61" spans="2:6" x14ac:dyDescent="0.25">
      <c r="B61">
        <v>51</v>
      </c>
      <c r="C61" t="s">
        <v>338</v>
      </c>
      <c r="D61" t="s">
        <v>236</v>
      </c>
      <c r="E61">
        <v>-5.8569921168899999</v>
      </c>
      <c r="F61">
        <v>0.46611202703900001</v>
      </c>
    </row>
    <row r="62" spans="2:6" x14ac:dyDescent="0.25">
      <c r="B62">
        <v>52</v>
      </c>
      <c r="C62" t="s">
        <v>339</v>
      </c>
      <c r="D62" t="s">
        <v>236</v>
      </c>
      <c r="E62">
        <v>-3.0622160410500001</v>
      </c>
      <c r="F62">
        <v>0.205947789785</v>
      </c>
    </row>
    <row r="63" spans="2:6" x14ac:dyDescent="0.25">
      <c r="B63">
        <v>53</v>
      </c>
      <c r="C63" t="s">
        <v>340</v>
      </c>
      <c r="D63" t="s">
        <v>236</v>
      </c>
      <c r="E63">
        <v>-1.4592147580599999</v>
      </c>
      <c r="F63">
        <v>0.12706460553599999</v>
      </c>
    </row>
    <row r="64" spans="2:6" x14ac:dyDescent="0.25">
      <c r="B64">
        <v>54</v>
      </c>
      <c r="C64" t="s">
        <v>341</v>
      </c>
      <c r="D64" t="s">
        <v>236</v>
      </c>
      <c r="E64">
        <v>-0.160744421114</v>
      </c>
      <c r="F64" s="333">
        <v>3.1643512928099998E-2</v>
      </c>
    </row>
    <row r="65" spans="2:6" x14ac:dyDescent="0.25">
      <c r="B65">
        <v>55</v>
      </c>
      <c r="C65" t="s">
        <v>342</v>
      </c>
      <c r="D65" t="s">
        <v>236</v>
      </c>
      <c r="E65">
        <v>0.101769944302</v>
      </c>
      <c r="F65" s="333">
        <v>4.0472600922499997E-2</v>
      </c>
    </row>
    <row r="66" spans="2:6" x14ac:dyDescent="0.25">
      <c r="B66">
        <v>56</v>
      </c>
      <c r="C66" t="s">
        <v>343</v>
      </c>
      <c r="D66" t="s">
        <v>236</v>
      </c>
      <c r="E66" s="333">
        <v>-7.3004796389399995E-2</v>
      </c>
      <c r="F66" s="333">
        <v>2.7878888340600001E-2</v>
      </c>
    </row>
    <row r="67" spans="2:6" x14ac:dyDescent="0.25">
      <c r="B67">
        <v>57</v>
      </c>
      <c r="C67" t="s">
        <v>344</v>
      </c>
      <c r="D67" t="s">
        <v>236</v>
      </c>
      <c r="E67" s="333">
        <v>4.7664283443500002E-2</v>
      </c>
      <c r="F67" s="333">
        <v>1.5452195556500001E-2</v>
      </c>
    </row>
    <row r="68" spans="2:6" x14ac:dyDescent="0.25">
      <c r="B68">
        <v>70</v>
      </c>
      <c r="C68" t="s">
        <v>154</v>
      </c>
      <c r="D68" t="s">
        <v>236</v>
      </c>
      <c r="E68" s="333">
        <v>0.70165957865100004</v>
      </c>
      <c r="F68" s="333">
        <v>8.1041561582700008E-3</v>
      </c>
    </row>
    <row r="69" spans="2:6" x14ac:dyDescent="0.25">
      <c r="B69">
        <v>71</v>
      </c>
      <c r="C69" t="s">
        <v>155</v>
      </c>
      <c r="D69" t="s">
        <v>235</v>
      </c>
      <c r="E69">
        <v>0</v>
      </c>
      <c r="F69" s="333">
        <v>1</v>
      </c>
    </row>
    <row r="70" spans="2:6" x14ac:dyDescent="0.25">
      <c r="B70">
        <v>72</v>
      </c>
      <c r="C70" t="s">
        <v>157</v>
      </c>
      <c r="D70" t="s">
        <v>235</v>
      </c>
      <c r="E70">
        <v>0</v>
      </c>
      <c r="F70">
        <v>1</v>
      </c>
    </row>
    <row r="71" spans="2:6" x14ac:dyDescent="0.25">
      <c r="B71">
        <v>73</v>
      </c>
      <c r="C71" t="s">
        <v>159</v>
      </c>
      <c r="D71" t="s">
        <v>236</v>
      </c>
      <c r="E71">
        <v>-1.0451393946200001</v>
      </c>
      <c r="F71">
        <v>0.334189851298</v>
      </c>
    </row>
    <row r="72" spans="2:6" x14ac:dyDescent="0.25">
      <c r="B72">
        <v>74</v>
      </c>
      <c r="C72" t="s">
        <v>161</v>
      </c>
      <c r="D72" t="s">
        <v>235</v>
      </c>
      <c r="E72">
        <v>0</v>
      </c>
      <c r="F72">
        <v>1</v>
      </c>
    </row>
    <row r="73" spans="2:6" x14ac:dyDescent="0.25">
      <c r="B73">
        <v>75</v>
      </c>
      <c r="C73" t="s">
        <v>163</v>
      </c>
      <c r="D73" t="s">
        <v>236</v>
      </c>
      <c r="E73">
        <v>-0.200987204384</v>
      </c>
      <c r="F73">
        <v>0.32860050755699999</v>
      </c>
    </row>
    <row r="74" spans="2:6" x14ac:dyDescent="0.25">
      <c r="B74">
        <v>76</v>
      </c>
      <c r="C74" t="s">
        <v>165</v>
      </c>
      <c r="D74" t="s">
        <v>236</v>
      </c>
      <c r="E74">
        <v>-0.24680877359100001</v>
      </c>
      <c r="F74">
        <v>0.218776351024</v>
      </c>
    </row>
    <row r="75" spans="2:6" x14ac:dyDescent="0.25">
      <c r="B75">
        <v>77</v>
      </c>
      <c r="C75" t="s">
        <v>167</v>
      </c>
      <c r="D75" t="s">
        <v>236</v>
      </c>
      <c r="E75">
        <v>0.105207287565</v>
      </c>
      <c r="F75">
        <v>0.33160558063000001</v>
      </c>
    </row>
    <row r="76" spans="2:6" x14ac:dyDescent="0.25">
      <c r="B76">
        <v>78</v>
      </c>
      <c r="C76" t="s">
        <v>169</v>
      </c>
      <c r="D76" t="s">
        <v>236</v>
      </c>
      <c r="E76">
        <v>-3.0261765923500001</v>
      </c>
      <c r="F76">
        <v>0.63791961209799997</v>
      </c>
    </row>
    <row r="77" spans="2:6" x14ac:dyDescent="0.25">
      <c r="B77">
        <v>79</v>
      </c>
      <c r="C77" t="s">
        <v>171</v>
      </c>
      <c r="D77" t="s">
        <v>236</v>
      </c>
      <c r="E77">
        <v>-3.16760127533</v>
      </c>
      <c r="F77">
        <v>0.17589358259900001</v>
      </c>
    </row>
    <row r="78" spans="2:6" x14ac:dyDescent="0.25">
      <c r="B78">
        <v>80</v>
      </c>
      <c r="C78" t="s">
        <v>173</v>
      </c>
      <c r="D78" t="s">
        <v>236</v>
      </c>
      <c r="E78">
        <v>3.88384299801</v>
      </c>
      <c r="F78">
        <v>0.36343710851900002</v>
      </c>
    </row>
    <row r="79" spans="2:6" x14ac:dyDescent="0.25">
      <c r="B79">
        <v>81</v>
      </c>
      <c r="C79" t="s">
        <v>175</v>
      </c>
      <c r="D79" t="s">
        <v>236</v>
      </c>
      <c r="E79">
        <v>1.2853400619999999</v>
      </c>
      <c r="F79">
        <v>0.33194844094699999</v>
      </c>
    </row>
    <row r="80" spans="2:6" x14ac:dyDescent="0.25">
      <c r="B80">
        <v>82</v>
      </c>
      <c r="C80" t="s">
        <v>177</v>
      </c>
      <c r="D80" t="s">
        <v>235</v>
      </c>
      <c r="E80">
        <v>0</v>
      </c>
      <c r="F80">
        <v>1</v>
      </c>
    </row>
    <row r="81" spans="2:6" x14ac:dyDescent="0.25">
      <c r="B81">
        <v>83</v>
      </c>
      <c r="C81" t="s">
        <v>178</v>
      </c>
      <c r="D81" t="s">
        <v>236</v>
      </c>
      <c r="E81">
        <v>1.5962822273599999</v>
      </c>
      <c r="F81">
        <v>0.31630410811600002</v>
      </c>
    </row>
    <row r="82" spans="2:6" x14ac:dyDescent="0.25">
      <c r="B82">
        <v>84</v>
      </c>
      <c r="C82" t="s">
        <v>180</v>
      </c>
      <c r="D82" t="s">
        <v>236</v>
      </c>
      <c r="E82">
        <v>1.8203743806399999</v>
      </c>
      <c r="F82">
        <v>0.32723912579699999</v>
      </c>
    </row>
    <row r="83" spans="2:6" x14ac:dyDescent="0.25">
      <c r="B83">
        <v>85</v>
      </c>
      <c r="C83" t="s">
        <v>182</v>
      </c>
      <c r="D83" t="s">
        <v>236</v>
      </c>
      <c r="E83">
        <v>0.36845448573400003</v>
      </c>
      <c r="F83">
        <v>0.41451090741399998</v>
      </c>
    </row>
    <row r="84" spans="2:6" x14ac:dyDescent="0.25">
      <c r="B84">
        <v>86</v>
      </c>
      <c r="C84" t="s">
        <v>184</v>
      </c>
      <c r="D84" t="s">
        <v>236</v>
      </c>
      <c r="E84">
        <v>-0.89988004259099996</v>
      </c>
      <c r="F84">
        <v>0.58455068333600002</v>
      </c>
    </row>
    <row r="85" spans="2:6" x14ac:dyDescent="0.25">
      <c r="B85">
        <v>87</v>
      </c>
      <c r="C85" t="s">
        <v>186</v>
      </c>
      <c r="D85" t="s">
        <v>236</v>
      </c>
      <c r="E85">
        <v>-1.54651800243</v>
      </c>
      <c r="F85">
        <v>0.28922210484799998</v>
      </c>
    </row>
    <row r="86" spans="2:6" x14ac:dyDescent="0.25">
      <c r="B86">
        <v>88</v>
      </c>
      <c r="C86" t="s">
        <v>188</v>
      </c>
      <c r="D86" t="s">
        <v>235</v>
      </c>
      <c r="E86">
        <v>0</v>
      </c>
      <c r="F86">
        <v>1</v>
      </c>
    </row>
    <row r="87" spans="2:6" x14ac:dyDescent="0.25">
      <c r="B87">
        <v>89</v>
      </c>
      <c r="C87" t="s">
        <v>190</v>
      </c>
      <c r="D87" t="s">
        <v>236</v>
      </c>
      <c r="E87">
        <v>-1.3661763944</v>
      </c>
      <c r="F87">
        <v>0.21083771707000001</v>
      </c>
    </row>
    <row r="88" spans="2:6" x14ac:dyDescent="0.25">
      <c r="B88">
        <v>90</v>
      </c>
      <c r="C88" t="s">
        <v>192</v>
      </c>
      <c r="D88" t="s">
        <v>235</v>
      </c>
      <c r="E88">
        <v>0</v>
      </c>
      <c r="F88">
        <v>1</v>
      </c>
    </row>
    <row r="89" spans="2:6" x14ac:dyDescent="0.25">
      <c r="B89">
        <v>91</v>
      </c>
      <c r="C89" t="s">
        <v>194</v>
      </c>
      <c r="D89" t="s">
        <v>236</v>
      </c>
      <c r="E89">
        <v>-0.69659049737500001</v>
      </c>
      <c r="F89">
        <v>0.118317298537</v>
      </c>
    </row>
    <row r="90" spans="2:6" x14ac:dyDescent="0.25">
      <c r="B90">
        <v>92</v>
      </c>
      <c r="C90" t="s">
        <v>196</v>
      </c>
      <c r="D90" t="s">
        <v>236</v>
      </c>
      <c r="E90">
        <v>-1.8309142732699999</v>
      </c>
      <c r="F90">
        <v>0.55098538730699997</v>
      </c>
    </row>
    <row r="91" spans="2:6" x14ac:dyDescent="0.25">
      <c r="B91">
        <v>93</v>
      </c>
      <c r="C91" t="s">
        <v>198</v>
      </c>
      <c r="D91" t="s">
        <v>236</v>
      </c>
      <c r="E91">
        <v>-1.59616837557</v>
      </c>
      <c r="F91">
        <v>0.19643171679400001</v>
      </c>
    </row>
    <row r="92" spans="2:6" x14ac:dyDescent="0.25">
      <c r="B92">
        <v>94</v>
      </c>
      <c r="C92" t="s">
        <v>200</v>
      </c>
      <c r="D92" t="s">
        <v>235</v>
      </c>
      <c r="E92">
        <v>0</v>
      </c>
      <c r="F92">
        <v>1</v>
      </c>
    </row>
    <row r="93" spans="2:6" x14ac:dyDescent="0.25">
      <c r="B93">
        <v>95</v>
      </c>
      <c r="C93" t="s">
        <v>202</v>
      </c>
      <c r="D93" t="s">
        <v>236</v>
      </c>
      <c r="E93">
        <v>-3.7524312125899999</v>
      </c>
      <c r="F93">
        <v>0.30709606176900001</v>
      </c>
    </row>
    <row r="94" spans="2:6" x14ac:dyDescent="0.25">
      <c r="B94">
        <v>96</v>
      </c>
      <c r="C94" t="s">
        <v>204</v>
      </c>
      <c r="D94" t="s">
        <v>236</v>
      </c>
      <c r="E94">
        <v>-5.15903380474</v>
      </c>
      <c r="F94">
        <v>0.17390909328599999</v>
      </c>
    </row>
    <row r="95" spans="2:6" x14ac:dyDescent="0.25">
      <c r="B95">
        <v>97</v>
      </c>
      <c r="C95" t="s">
        <v>206</v>
      </c>
      <c r="D95" t="s">
        <v>236</v>
      </c>
      <c r="E95">
        <v>-4.5752497230499998</v>
      </c>
      <c r="F95">
        <v>0.48893954592400002</v>
      </c>
    </row>
    <row r="96" spans="2:6" x14ac:dyDescent="0.25">
      <c r="B96">
        <v>98</v>
      </c>
      <c r="C96" t="s">
        <v>208</v>
      </c>
      <c r="D96" t="s">
        <v>236</v>
      </c>
      <c r="E96">
        <v>-1.55830930615</v>
      </c>
      <c r="F96">
        <v>0.29568339221599999</v>
      </c>
    </row>
    <row r="97" spans="2:6" x14ac:dyDescent="0.25">
      <c r="B97">
        <v>99</v>
      </c>
      <c r="C97" t="s">
        <v>209</v>
      </c>
      <c r="D97" t="s">
        <v>236</v>
      </c>
      <c r="E97">
        <v>-6.7687936642300004</v>
      </c>
      <c r="F97">
        <v>0.63961427466800003</v>
      </c>
    </row>
    <row r="98" spans="2:6" x14ac:dyDescent="0.25">
      <c r="B98">
        <v>100</v>
      </c>
      <c r="C98" t="s">
        <v>210</v>
      </c>
      <c r="D98" t="s">
        <v>235</v>
      </c>
      <c r="E98">
        <v>0</v>
      </c>
      <c r="F98">
        <v>1</v>
      </c>
    </row>
    <row r="99" spans="2:6" x14ac:dyDescent="0.25">
      <c r="B99">
        <v>101</v>
      </c>
      <c r="C99" t="s">
        <v>211</v>
      </c>
      <c r="D99" t="s">
        <v>236</v>
      </c>
      <c r="E99">
        <v>-4.6092008435</v>
      </c>
      <c r="F99">
        <v>0.35687158855500001</v>
      </c>
    </row>
    <row r="100" spans="2:6" x14ac:dyDescent="0.25">
      <c r="B100">
        <v>102</v>
      </c>
      <c r="C100" t="s">
        <v>212</v>
      </c>
      <c r="D100" t="s">
        <v>235</v>
      </c>
      <c r="E100">
        <v>0</v>
      </c>
      <c r="F100">
        <v>1</v>
      </c>
    </row>
    <row r="101" spans="2:6" x14ac:dyDescent="0.25">
      <c r="B101">
        <v>103</v>
      </c>
      <c r="C101" t="s">
        <v>213</v>
      </c>
      <c r="D101" t="s">
        <v>235</v>
      </c>
      <c r="E101">
        <v>0</v>
      </c>
      <c r="F101">
        <v>1</v>
      </c>
    </row>
    <row r="102" spans="2:6" x14ac:dyDescent="0.25">
      <c r="B102">
        <v>104</v>
      </c>
      <c r="C102" t="s">
        <v>214</v>
      </c>
      <c r="D102" t="s">
        <v>235</v>
      </c>
      <c r="E102">
        <v>5</v>
      </c>
      <c r="F102">
        <v>1</v>
      </c>
    </row>
    <row r="103" spans="2:6" x14ac:dyDescent="0.25">
      <c r="B103">
        <v>105</v>
      </c>
      <c r="C103" t="s">
        <v>215</v>
      </c>
      <c r="D103" t="s">
        <v>235</v>
      </c>
      <c r="E103">
        <v>5</v>
      </c>
      <c r="F103">
        <v>1</v>
      </c>
    </row>
    <row r="104" spans="2:6" x14ac:dyDescent="0.25">
      <c r="B104">
        <v>106</v>
      </c>
      <c r="C104" t="s">
        <v>216</v>
      </c>
      <c r="D104" t="s">
        <v>235</v>
      </c>
      <c r="E104">
        <v>0</v>
      </c>
      <c r="F104">
        <v>1</v>
      </c>
    </row>
    <row r="105" spans="2:6" x14ac:dyDescent="0.25">
      <c r="B105">
        <v>107</v>
      </c>
      <c r="C105" t="s">
        <v>217</v>
      </c>
      <c r="D105" t="s">
        <v>236</v>
      </c>
      <c r="E105">
        <v>3.2721559987400002</v>
      </c>
      <c r="F105">
        <v>0.189098453</v>
      </c>
    </row>
    <row r="106" spans="2:6" x14ac:dyDescent="0.25">
      <c r="B106">
        <v>108</v>
      </c>
      <c r="C106" t="s">
        <v>219</v>
      </c>
      <c r="D106" t="s">
        <v>235</v>
      </c>
      <c r="E106">
        <v>0</v>
      </c>
      <c r="F106">
        <v>1</v>
      </c>
    </row>
    <row r="107" spans="2:6" x14ac:dyDescent="0.25">
      <c r="B107">
        <v>109</v>
      </c>
      <c r="C107" t="s">
        <v>220</v>
      </c>
      <c r="D107" t="s">
        <v>236</v>
      </c>
      <c r="E107">
        <v>3.7780647491999999</v>
      </c>
      <c r="F107">
        <v>0.16415128970699999</v>
      </c>
    </row>
    <row r="108" spans="2:6" x14ac:dyDescent="0.25">
      <c r="B108">
        <v>110</v>
      </c>
      <c r="C108" t="s">
        <v>221</v>
      </c>
      <c r="D108" t="s">
        <v>236</v>
      </c>
      <c r="E108">
        <v>3.6698694381700001</v>
      </c>
      <c r="F108">
        <v>0.17265670632899999</v>
      </c>
    </row>
    <row r="109" spans="2:6" x14ac:dyDescent="0.25">
      <c r="B109">
        <v>111</v>
      </c>
      <c r="C109" t="s">
        <v>222</v>
      </c>
      <c r="D109" t="s">
        <v>235</v>
      </c>
      <c r="E109">
        <v>0</v>
      </c>
      <c r="F109">
        <v>1</v>
      </c>
    </row>
    <row r="110" spans="2:6" x14ac:dyDescent="0.25">
      <c r="B110">
        <v>112</v>
      </c>
      <c r="C110" t="s">
        <v>223</v>
      </c>
      <c r="D110" t="s">
        <v>235</v>
      </c>
      <c r="E110">
        <v>0</v>
      </c>
      <c r="F110">
        <v>1</v>
      </c>
    </row>
    <row r="111" spans="2:6" x14ac:dyDescent="0.25">
      <c r="B111">
        <v>113</v>
      </c>
      <c r="C111" t="s">
        <v>225</v>
      </c>
      <c r="D111" t="s">
        <v>236</v>
      </c>
      <c r="E111">
        <v>1.3908719595400001</v>
      </c>
      <c r="F111">
        <v>0.25447036975100001</v>
      </c>
    </row>
    <row r="112" spans="2:6" x14ac:dyDescent="0.25">
      <c r="B112">
        <v>-1</v>
      </c>
    </row>
    <row r="113" spans="2:11" x14ac:dyDescent="0.25">
      <c r="B113">
        <v>13796</v>
      </c>
      <c r="C113" s="333">
        <v>-14054.777031400001</v>
      </c>
      <c r="D113" s="333">
        <v>-53772.333307300003</v>
      </c>
      <c r="E113" s="333">
        <v>-38222.555653299998</v>
      </c>
    </row>
    <row r="114" spans="2:11" x14ac:dyDescent="0.25">
      <c r="B114">
        <v>6</v>
      </c>
      <c r="C114" s="333" t="s">
        <v>345</v>
      </c>
      <c r="D114" s="333" t="s">
        <v>234</v>
      </c>
      <c r="E114" s="333">
        <v>30</v>
      </c>
      <c r="F114" t="s">
        <v>287</v>
      </c>
      <c r="G114">
        <v>20</v>
      </c>
    </row>
    <row r="115" spans="2:11" x14ac:dyDescent="0.2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2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2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2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2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2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2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2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2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2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2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2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2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2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2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2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2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2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2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2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2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2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2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2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2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2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2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2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2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2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2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2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2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2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2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2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2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2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2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2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2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2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2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2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2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2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2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2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2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2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2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2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2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2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2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2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2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2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2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2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2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2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2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2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2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2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2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2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2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2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2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2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2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2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2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2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2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2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2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2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2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2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2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2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2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2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2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2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2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2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2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2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2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2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2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2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2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2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2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2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2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2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2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2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2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2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2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2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2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2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2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2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2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2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2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2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2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2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2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2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2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2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2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2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2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2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2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2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2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2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2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2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2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2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2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2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2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2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2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2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2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2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2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2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2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2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2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2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2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2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2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2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2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2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2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2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2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2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2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2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2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2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2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2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2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2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2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2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2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2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2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2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2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2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2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2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2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2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2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2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2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2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2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2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2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2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2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2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2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2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2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2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2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2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2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2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2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2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2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2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2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2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2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2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2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2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2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2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2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2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2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2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2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2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2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2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2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2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2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2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2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2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2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2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2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2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2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2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2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2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2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2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2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2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2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2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2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2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2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2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2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2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2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2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2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2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2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2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2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2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2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2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2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2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2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2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2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2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2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2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2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2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2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2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2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2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2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2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2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2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2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2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2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2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2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2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2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2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2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2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2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2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2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2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2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2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2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2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2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2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2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2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2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2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2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2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2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2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2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2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2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2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2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2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2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2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2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2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2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2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2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2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2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2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2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2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2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2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2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2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2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2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2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2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2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2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2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2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2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2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2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2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2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2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2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2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2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2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2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2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2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2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2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2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2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2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2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2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2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2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2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2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2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2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2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2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2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2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2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2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2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2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2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2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2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2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2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2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2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2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2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2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2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2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2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2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2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2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2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2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2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2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2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2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2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2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2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2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2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2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workbookViewId="0" zoomScaleNormal="100">
      <selection activeCell="Q23" sqref="Q23:Q25"/>
    </sheetView>
  </sheetViews>
  <sheetFormatPr defaultRowHeight="15" x14ac:dyDescent="0.25"/>
  <cols>
    <col min="1" max="2" style="295" width="9.140625" collapsed="true"/>
    <col min="3" max="3" bestFit="true" customWidth="true" style="295" width="12.7109375" collapsed="true"/>
    <col min="4" max="4" customWidth="true" style="294" width="18.85546875" collapsed="true"/>
    <col min="5" max="5" customWidth="true" style="295" width="6.710937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4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260</v>
      </c>
      <c r="S1" s="296"/>
      <c r="T1" s="296" t="s">
        <v>260</v>
      </c>
      <c r="U1" s="319"/>
      <c r="V1" s="319"/>
      <c r="W1" s="319"/>
    </row>
    <row ht="15.75" r="2" spans="3:23" thickBot="1" x14ac:dyDescent="0.3">
      <c r="C2" s="296" t="s">
        <v>42</v>
      </c>
      <c r="M2" s="10" t="s">
        <v>90</v>
      </c>
      <c r="N2" s="10" t="s">
        <v>256</v>
      </c>
      <c r="O2" s="10" t="s">
        <v>257</v>
      </c>
      <c r="P2" s="358" t="s">
        <v>261</v>
      </c>
      <c r="Q2" s="355" t="s">
        <v>259</v>
      </c>
      <c r="R2" s="379" t="s">
        <v>346</v>
      </c>
      <c r="T2" s="319"/>
      <c r="U2" s="296" t="s">
        <v>262</v>
      </c>
      <c r="V2"/>
      <c r="W2" s="319"/>
    </row>
    <row r="3" spans="3:23" x14ac:dyDescent="0.25">
      <c r="C3" s="298" t="s">
        <v>3</v>
      </c>
      <c r="D3" s="299" t="s">
        <v>43</v>
      </c>
      <c r="F3" s="298" t="s">
        <v>3</v>
      </c>
      <c r="G3" s="299" t="s">
        <v>43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Beta000001</v>
      </c>
      <c r="P3" s="295">
        <f>OtherTourDestination!E11</f>
        <v>1</v>
      </c>
      <c r="Q3" s="356">
        <f>_xlfn.IFNA(VLOOKUP(N3,$B$43:$D$46,3,FALSE),P3)</f>
        <v>1</v>
      </c>
      <c r="R3" s="295">
        <f>IF(P3=Q3,0,1)</f>
        <v>0</v>
      </c>
      <c r="T3">
        <v>1</v>
      </c>
      <c r="U3" s="293" t="s">
        <v>280</v>
      </c>
      <c r="V3"/>
      <c r="W3" s="319"/>
    </row>
    <row r="4" spans="3:23" x14ac:dyDescent="0.25">
      <c r="C4" s="301" t="s">
        <v>46</v>
      </c>
      <c r="D4" s="302">
        <f>TLFD!B11</f>
        <v>92886.700515011209</v>
      </c>
      <c r="F4" s="301" t="s">
        <v>46</v>
      </c>
      <c r="G4" s="302">
        <f>TLFD!F11</f>
        <v>64339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Beta000002</v>
      </c>
      <c r="P4" s="295">
        <f>OtherTourDestination!E12</f>
        <v>14.842474747500001</v>
      </c>
      <c r="Q4" s="356">
        <f>_xlfn.IFNA(VLOOKUP(N4,$B$43:$D$46,3,FALSE),P4)</f>
        <v>14.842474747500001</v>
      </c>
      <c r="R4" s="295">
        <f ref="R4:R67" si="0" t="shared">IF(P4=Q4,0,1)</f>
        <v>0</v>
      </c>
      <c r="T4">
        <v>2</v>
      </c>
      <c r="U4" s="293" t="s">
        <v>264</v>
      </c>
      <c r="V4"/>
      <c r="W4" s="319"/>
    </row>
    <row r="5" spans="3:23" x14ac:dyDescent="0.25">
      <c r="C5" s="304" t="s">
        <v>49</v>
      </c>
      <c r="D5" s="305">
        <f>TLFD!B12+TLFD!B13+(TLFD!B14/2)</f>
        <v>185828.73644931227</v>
      </c>
      <c r="F5" s="304" t="s">
        <v>49</v>
      </c>
      <c r="G5" s="305">
        <f>TLFD!F12+TLFD!F13+(TLFD!F14/2)</f>
        <v>234772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Beta000003</v>
      </c>
      <c r="P5" s="295">
        <f>OtherTourDestination!E13</f>
        <v>5.2231850982500001E-2</v>
      </c>
      <c r="Q5" s="356">
        <f ref="Q5:Q68" si="1" t="shared">_xlfn.IFNA(VLOOKUP(N5,$B$43:$D$46,3,FALSE),P5)</f>
        <v>5.2231850982500001E-2</v>
      </c>
      <c r="R5" s="295">
        <f si="0" t="shared"/>
        <v>0</v>
      </c>
      <c r="T5">
        <v>3</v>
      </c>
      <c r="U5" s="319" t="s">
        <v>265</v>
      </c>
      <c r="V5" s="319"/>
      <c r="W5" s="319"/>
    </row>
    <row r="6" spans="3:23" x14ac:dyDescent="0.25">
      <c r="C6" s="304" t="s">
        <v>52</v>
      </c>
      <c r="D6" s="305">
        <f>(TLFD!B14/2)+SUM(TLFD!B15:B20)</f>
        <v>151032.74407816099</v>
      </c>
      <c r="F6" s="304" t="s">
        <v>52</v>
      </c>
      <c r="G6" s="305">
        <f>(TLFD!F14/2)+SUM(TLFD!F15:F20)</f>
        <v>134855</v>
      </c>
      <c r="H6" s="305"/>
      <c r="I6" s="378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Beta000004</v>
      </c>
      <c r="P6" s="295">
        <f>OtherTourDestination!E14</f>
        <v>-0.28042629390099999</v>
      </c>
      <c r="Q6" s="356">
        <f si="1" t="shared"/>
        <v>-0.28042629390099999</v>
      </c>
      <c r="R6" s="295">
        <f si="0" t="shared"/>
        <v>0</v>
      </c>
      <c r="T6">
        <v>4</v>
      </c>
      <c r="U6" s="319" t="s">
        <v>266</v>
      </c>
      <c r="V6" s="319"/>
      <c r="W6" s="319"/>
    </row>
    <row r="7" spans="3:23" x14ac:dyDescent="0.25">
      <c r="C7" s="307" t="s">
        <v>55</v>
      </c>
      <c r="D7" s="308">
        <f>SUM(TLFD!B21:B101)</f>
        <v>48745.486511651587</v>
      </c>
      <c r="F7" s="307" t="s">
        <v>55</v>
      </c>
      <c r="G7" s="308">
        <f>SUM(TLFD!F21:F101)</f>
        <v>51855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Beta000005</v>
      </c>
      <c r="P7" s="295">
        <f>OtherTourDestination!E15</f>
        <v>3.8864252169499999E-2</v>
      </c>
      <c r="Q7" s="356">
        <f si="1" t="shared"/>
        <v>3.8864252169499999E-2</v>
      </c>
      <c r="R7" s="295">
        <f si="0" t="shared"/>
        <v>0</v>
      </c>
      <c r="T7" s="319">
        <v>5</v>
      </c>
      <c r="U7" s="319" t="s">
        <v>267</v>
      </c>
      <c r="V7" s="319"/>
      <c r="W7" s="319"/>
    </row>
    <row ht="15.75" r="8" spans="3:23" thickBot="1" x14ac:dyDescent="0.3">
      <c r="C8" s="310" t="s">
        <v>4</v>
      </c>
      <c r="D8" s="311">
        <f>SUM(D4:D7)</f>
        <v>478493.66755413607</v>
      </c>
      <c r="E8" s="312"/>
      <c r="F8" s="310" t="s">
        <v>4</v>
      </c>
      <c r="G8" s="311">
        <f>SUM(G4:G7)</f>
        <v>485821</v>
      </c>
      <c r="H8" s="368"/>
      <c r="I8" s="368"/>
      <c r="J8" s="368" t="s">
        <v>286</v>
      </c>
      <c r="K8" s="380">
        <v>1</v>
      </c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Beta000006</v>
      </c>
      <c r="P8" s="295">
        <f>OtherTourDestination!E16</f>
        <v>-5.4105027761100002E-2</v>
      </c>
      <c r="Q8" s="356">
        <f si="1" t="shared"/>
        <v>-5.4105027761100002E-2</v>
      </c>
      <c r="R8" s="295">
        <f si="0" t="shared"/>
        <v>0</v>
      </c>
      <c r="T8" s="319"/>
      <c r="U8" s="319"/>
      <c r="V8" s="319"/>
      <c r="W8" s="319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Beta000007</v>
      </c>
      <c r="P9" s="295">
        <f>OtherTourDestination!E17</f>
        <v>-1.2443107654000001</v>
      </c>
      <c r="Q9" s="356">
        <f si="1" t="shared"/>
        <v>-1.2443107654000001</v>
      </c>
      <c r="R9" s="295">
        <f si="0" t="shared"/>
        <v>0</v>
      </c>
      <c r="T9" s="319"/>
      <c r="U9" s="357" t="s">
        <v>268</v>
      </c>
      <c r="V9" s="319"/>
      <c r="W9" s="319"/>
    </row>
    <row ht="15.75" r="10" spans="3:23" thickBot="1" x14ac:dyDescent="0.3">
      <c r="C10" s="313" t="s">
        <v>62</v>
      </c>
      <c r="I10" s="377" t="s">
        <v>281</v>
      </c>
      <c r="J10" s="373"/>
      <c r="K10" s="373"/>
      <c r="L10" s="300" t="s">
        <v>286</v>
      </c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Beta000008</v>
      </c>
      <c r="P10" s="295">
        <f>OtherTourDestination!E18</f>
        <v>0.41298170440800003</v>
      </c>
      <c r="Q10" s="356">
        <f si="1" t="shared"/>
        <v>0.41298170440800003</v>
      </c>
      <c r="R10" s="295">
        <f si="0" t="shared"/>
        <v>0</v>
      </c>
      <c r="T10" s="319">
        <v>1</v>
      </c>
      <c r="U10" s="293" t="s">
        <v>263</v>
      </c>
      <c r="V10" s="319"/>
      <c r="W10" s="319"/>
    </row>
    <row r="11" spans="3:23" x14ac:dyDescent="0.25">
      <c r="C11" s="298" t="s">
        <v>3</v>
      </c>
      <c r="D11" s="299" t="s">
        <v>43</v>
      </c>
      <c r="F11" s="298" t="s">
        <v>3</v>
      </c>
      <c r="G11" s="299" t="s">
        <v>43</v>
      </c>
      <c r="H11" s="366"/>
      <c r="I11" s="299" t="s">
        <v>277</v>
      </c>
      <c r="J11" s="299" t="s">
        <v>278</v>
      </c>
      <c r="K11" s="299" t="s">
        <v>279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Beta000009</v>
      </c>
      <c r="P11" s="295">
        <f>OtherTourDestination!E19</f>
        <v>-0.26420630814700002</v>
      </c>
      <c r="Q11" s="356">
        <f si="1" t="shared"/>
        <v>-0.26420630814700002</v>
      </c>
      <c r="R11" s="295">
        <f si="0" t="shared"/>
        <v>0</v>
      </c>
      <c r="T11" s="319">
        <v>2</v>
      </c>
      <c r="U11" s="319" t="s">
        <v>269</v>
      </c>
      <c r="V11" s="319"/>
      <c r="W11" s="319"/>
    </row>
    <row r="12" spans="3:23" x14ac:dyDescent="0.25">
      <c r="C12" s="301" t="s">
        <v>46</v>
      </c>
      <c r="D12" s="315">
        <f>D4/D$8</f>
        <v>0.19412315525471849</v>
      </c>
      <c r="F12" s="301" t="s">
        <v>46</v>
      </c>
      <c r="G12" s="315">
        <f>G4/G$8</f>
        <v>0.13243355062872952</v>
      </c>
      <c r="H12" s="315"/>
      <c r="I12" s="371">
        <f>D12/G12</f>
        <v>1.4658155303781935</v>
      </c>
      <c r="J12" s="370">
        <f>LN(I12)</f>
        <v>0.38241176360848067</v>
      </c>
      <c r="K12" s="370">
        <f>K8*J12</f>
        <v>0.38241176360848067</v>
      </c>
      <c r="L12" s="371">
        <v>1</v>
      </c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Beta000010</v>
      </c>
      <c r="P12" s="295">
        <f>OtherTourDestination!E20</f>
        <v>-0.35872692861799998</v>
      </c>
      <c r="Q12" s="356">
        <f si="1" t="shared"/>
        <v>-0.35872692861799998</v>
      </c>
      <c r="R12" s="295">
        <f si="0" t="shared"/>
        <v>0</v>
      </c>
      <c r="T12" s="319">
        <v>3</v>
      </c>
      <c r="U12" s="319" t="s">
        <v>270</v>
      </c>
      <c r="V12" s="319"/>
      <c r="W12" s="319"/>
    </row>
    <row r="13" spans="3:23" x14ac:dyDescent="0.25">
      <c r="C13" s="304" t="s">
        <v>49</v>
      </c>
      <c r="D13" s="316">
        <f ref="D13:D16" si="2" t="shared">D5/D$8</f>
        <v>0.38836195554936553</v>
      </c>
      <c r="F13" s="304" t="s">
        <v>49</v>
      </c>
      <c r="G13" s="316">
        <f ref="G13:G16" si="3" t="shared">G5/G$8</f>
        <v>0.48324794523085662</v>
      </c>
      <c r="H13" s="316"/>
      <c r="I13" s="371">
        <f ref="I13" si="4" t="shared">D13/G13</f>
        <v>0.80364947100569195</v>
      </c>
      <c r="J13" s="370">
        <f>LN(I13)</f>
        <v>-0.21859208620687026</v>
      </c>
      <c r="K13" s="370">
        <f>K8*(J13-J12)</f>
        <v>-0.60100384981535093</v>
      </c>
      <c r="L13" s="371">
        <v>1</v>
      </c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Beta000011</v>
      </c>
      <c r="P13" s="295">
        <f>OtherTourDestination!E21</f>
        <v>0.20317681554899999</v>
      </c>
      <c r="Q13" s="356">
        <f si="1" t="shared"/>
        <v>0.20317681554899999</v>
      </c>
      <c r="R13" s="295">
        <f si="0" t="shared"/>
        <v>0</v>
      </c>
      <c r="T13" s="319">
        <v>4</v>
      </c>
      <c r="U13" s="319" t="s">
        <v>271</v>
      </c>
      <c r="V13" s="319"/>
      <c r="W13" s="319"/>
    </row>
    <row r="14" spans="3:23" x14ac:dyDescent="0.25">
      <c r="C14" s="304" t="s">
        <v>52</v>
      </c>
      <c r="D14" s="316">
        <f si="2" t="shared"/>
        <v>0.31564209585087843</v>
      </c>
      <c r="F14" s="304" t="s">
        <v>52</v>
      </c>
      <c r="G14" s="316">
        <f si="3" t="shared"/>
        <v>0.27758166073512675</v>
      </c>
      <c r="H14" s="316"/>
      <c r="I14" s="371">
        <f>(D14+D15)/(G14+G15)</f>
        <v>1.0863772748328908</v>
      </c>
      <c r="J14" s="370">
        <f>LN(I14)</f>
        <v>8.2848559739826411E-2</v>
      </c>
      <c r="K14" s="370">
        <f>K8*(J14-J13-J12)</f>
        <v>-8.0971117661783998E-2</v>
      </c>
      <c r="L14" s="371">
        <v>1</v>
      </c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Beta000012</v>
      </c>
      <c r="P14" s="295">
        <f>OtherTourDestination!E22</f>
        <v>-0.25772334575</v>
      </c>
      <c r="Q14" s="356">
        <f si="1" t="shared"/>
        <v>-0.25772334575</v>
      </c>
      <c r="R14" s="295">
        <f si="0" t="shared"/>
        <v>0</v>
      </c>
      <c r="T14" s="319">
        <v>5</v>
      </c>
      <c r="U14" s="293" t="s">
        <v>272</v>
      </c>
      <c r="V14" s="319"/>
      <c r="W14" s="319"/>
    </row>
    <row ht="15.75" r="15" spans="3:23" thickBot="1" x14ac:dyDescent="0.3">
      <c r="C15" s="307" t="s">
        <v>55</v>
      </c>
      <c r="D15" s="316">
        <f si="2" t="shared"/>
        <v>0.10187279334503752</v>
      </c>
      <c r="F15" s="307" t="s">
        <v>55</v>
      </c>
      <c r="G15" s="316">
        <f si="3" t="shared"/>
        <v>0.10673684340528714</v>
      </c>
      <c r="H15" s="316"/>
      <c r="I15" s="372"/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Beta000013</v>
      </c>
      <c r="P15" s="295">
        <f>OtherTourDestination!E23</f>
        <v>-1.51291507531</v>
      </c>
      <c r="Q15" s="356">
        <f si="1" t="shared"/>
        <v>-1.51291507531</v>
      </c>
      <c r="R15" s="295">
        <f si="0" t="shared"/>
        <v>0</v>
      </c>
      <c r="T15" s="319">
        <v>6</v>
      </c>
      <c r="U15" s="319" t="s">
        <v>273</v>
      </c>
      <c r="V15" s="319"/>
      <c r="W15" s="319"/>
    </row>
    <row ht="15.75" r="16" spans="3:23" thickBot="1" x14ac:dyDescent="0.3">
      <c r="C16" s="310" t="s">
        <v>4</v>
      </c>
      <c r="D16" s="317">
        <f si="2" t="shared"/>
        <v>1</v>
      </c>
      <c r="E16" s="312"/>
      <c r="F16" s="310" t="s">
        <v>4</v>
      </c>
      <c r="G16" s="317">
        <f si="3" t="shared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Beta000014</v>
      </c>
      <c r="P16" s="295">
        <f>OtherTourDestination!E24</f>
        <v>-0.21776561918199999</v>
      </c>
      <c r="Q16" s="356">
        <f si="1" t="shared"/>
        <v>-0.21776561918199999</v>
      </c>
      <c r="R16" s="295">
        <f si="0" t="shared"/>
        <v>0</v>
      </c>
      <c r="T16" s="319">
        <v>7</v>
      </c>
      <c r="U16" s="319" t="s">
        <v>266</v>
      </c>
      <c r="V16" s="319"/>
      <c r="W16" s="319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Beta000015</v>
      </c>
      <c r="P17" s="295">
        <f>OtherTourDestination!E25</f>
        <v>-1.27163179208</v>
      </c>
      <c r="Q17" s="356">
        <f si="1" t="shared"/>
        <v>-1.27163179208</v>
      </c>
      <c r="R17" s="295">
        <f si="0" t="shared"/>
        <v>0</v>
      </c>
      <c r="T17" s="319">
        <v>8</v>
      </c>
      <c r="U17" s="319" t="s">
        <v>274</v>
      </c>
      <c r="V17" s="319"/>
      <c r="W17" s="319"/>
    </row>
    <row r="18" spans="2:23" x14ac:dyDescent="0.2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Beta000016</v>
      </c>
      <c r="P18" s="295">
        <f>OtherTourDestination!E26</f>
        <v>-0.54089688480800002</v>
      </c>
      <c r="Q18" s="356">
        <f si="1" t="shared"/>
        <v>-0.54089688480800002</v>
      </c>
      <c r="R18" s="295">
        <f si="0" t="shared"/>
        <v>0</v>
      </c>
    </row>
    <row r="19" spans="2:23" x14ac:dyDescent="0.25">
      <c r="C19" s="318" t="s">
        <v>81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Beta000017</v>
      </c>
      <c r="P19" s="295">
        <f>OtherTourDestination!E27</f>
        <v>0</v>
      </c>
      <c r="Q19" s="356">
        <f si="1" t="shared"/>
        <v>0</v>
      </c>
      <c r="R19" s="295">
        <f si="0" t="shared"/>
        <v>0</v>
      </c>
    </row>
    <row r="20" spans="2:23" x14ac:dyDescent="0.25">
      <c r="C20" s="318" t="s">
        <v>84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Beta000018</v>
      </c>
      <c r="P20" s="295">
        <f>OtherTourDestination!E28</f>
        <v>0</v>
      </c>
      <c r="Q20" s="356">
        <f si="1" t="shared"/>
        <v>0</v>
      </c>
      <c r="R20" s="295">
        <f si="0" t="shared"/>
        <v>0</v>
      </c>
    </row>
    <row ht="15.75" r="21" spans="2:23" thickBot="1" x14ac:dyDescent="0.3">
      <c r="C21" s="319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Beta000019</v>
      </c>
      <c r="P21" s="295">
        <f>OtherTourDestination!E29</f>
        <v>0</v>
      </c>
      <c r="Q21" s="356">
        <f si="1" t="shared"/>
        <v>0</v>
      </c>
      <c r="R21" s="295">
        <f si="0" t="shared"/>
        <v>0</v>
      </c>
    </row>
    <row r="22" spans="2:23" x14ac:dyDescent="0.25">
      <c r="B22" s="349" t="s">
        <v>256</v>
      </c>
      <c r="C22" s="320" t="s">
        <v>90</v>
      </c>
      <c r="D22" s="321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Beta000020</v>
      </c>
      <c r="P22" s="295">
        <f>OtherTourDestination!E30</f>
        <v>0.43763139961699998</v>
      </c>
      <c r="Q22" s="356">
        <f si="1" t="shared"/>
        <v>0.43763139961699998</v>
      </c>
      <c r="R22" s="295">
        <f si="0" t="shared"/>
        <v>0</v>
      </c>
    </row>
    <row r="23" spans="2:23" x14ac:dyDescent="0.25">
      <c r="B23" s="350">
        <v>21</v>
      </c>
      <c r="C23" s="301" t="s">
        <v>46</v>
      </c>
      <c r="D23" s="362">
        <f>_xlfn.IFNA(VLOOKUP($B23,$N$3:$P$104,3,FALSE),0)</f>
        <v>-5.1729505125899999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Beta000021</v>
      </c>
      <c r="P23" s="334">
        <f>OtherTourDestination!E31</f>
        <v>-5.1729505125899999</v>
      </c>
      <c r="Q23" s="356">
        <f si="1" t="shared"/>
        <v>-4.7905387489815192</v>
      </c>
      <c r="R23" s="295">
        <f si="0" t="shared"/>
        <v>1</v>
      </c>
      <c r="S23" s="295" t="str">
        <f>VLOOKUP(N23,Coeff_Descr!$A$2:$E$104,4,FALSE)</f>
        <v>distanceFromOrigin4</v>
      </c>
    </row>
    <row r="24" spans="2:23" x14ac:dyDescent="0.25">
      <c r="B24" s="350">
        <v>22</v>
      </c>
      <c r="C24" s="304" t="s">
        <v>49</v>
      </c>
      <c r="D24" s="363">
        <f ref="D24:D25" si="5" t="shared">_xlfn.IFNA(VLOOKUP($B24,$N$3:$P$104,3,FALSE),0)</f>
        <v>-5.9112646193599998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Beta000022</v>
      </c>
      <c r="P24" s="334">
        <f>OtherTourDestination!E32</f>
        <v>-5.9112646193599998</v>
      </c>
      <c r="Q24" s="356">
        <f si="1" t="shared"/>
        <v>-6.5122684691753507</v>
      </c>
      <c r="R24" s="295">
        <f si="0" t="shared"/>
        <v>1</v>
      </c>
      <c r="S24" s="295" t="str">
        <f>VLOOKUP(N24,Coeff_Descr!$A$2:$E$104,4,FALSE)</f>
        <v>distanceFromOrigin8</v>
      </c>
    </row>
    <row r="25" spans="2:23" x14ac:dyDescent="0.25">
      <c r="B25" s="350">
        <v>23</v>
      </c>
      <c r="C25" s="304" t="s">
        <v>52</v>
      </c>
      <c r="D25" s="363">
        <f si="5" t="shared"/>
        <v>-4.3510480079200002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Beta000023</v>
      </c>
      <c r="P25" s="334">
        <f>OtherTourDestination!E33</f>
        <v>-4.3510480079200002</v>
      </c>
      <c r="Q25" s="356">
        <f si="1" t="shared"/>
        <v>-4.4320191255817845</v>
      </c>
      <c r="R25" s="295">
        <f si="0" t="shared"/>
        <v>1</v>
      </c>
      <c r="S25" s="295" t="str">
        <f>VLOOKUP(N25,Coeff_Descr!$A$2:$E$104,4,FALSE)</f>
        <v>distanceFromOrigin9</v>
      </c>
    </row>
    <row ht="15.75" r="26" spans="2:23" thickBot="1" x14ac:dyDescent="0.3">
      <c r="B26" s="351"/>
      <c r="C26" s="323"/>
      <c r="D26" s="361"/>
      <c r="E26" s="295" t="s">
        <v>276</v>
      </c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Beta000024</v>
      </c>
      <c r="P26" s="331">
        <f>OtherTourDestination!E34</f>
        <v>0.219929989326</v>
      </c>
      <c r="Q26" s="356">
        <f si="1" t="shared"/>
        <v>0.219929989326</v>
      </c>
      <c r="R26" s="295">
        <f si="0" t="shared"/>
        <v>0</v>
      </c>
    </row>
    <row r="27" spans="2:23" x14ac:dyDescent="0.25">
      <c r="C27" s="319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Beta000025</v>
      </c>
      <c r="P27" s="295">
        <f>OtherTourDestination!E35</f>
        <v>-0.19965371290799999</v>
      </c>
      <c r="Q27" s="356">
        <f si="1" t="shared"/>
        <v>-0.19965371290799999</v>
      </c>
      <c r="R27" s="295">
        <f si="0" t="shared"/>
        <v>0</v>
      </c>
    </row>
    <row r="28" spans="2:23" x14ac:dyDescent="0.25">
      <c r="C28" s="319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Beta000026</v>
      </c>
      <c r="P28" s="295">
        <f>OtherTourDestination!E36</f>
        <v>0.456947594269</v>
      </c>
      <c r="Q28" s="356">
        <f si="1" t="shared"/>
        <v>0.456947594269</v>
      </c>
      <c r="R28" s="295">
        <f si="0" t="shared"/>
        <v>0</v>
      </c>
    </row>
    <row r="29" spans="2:23" x14ac:dyDescent="0.25">
      <c r="C29" s="318" t="s">
        <v>81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Beta000027</v>
      </c>
      <c r="P29" s="295">
        <f>OtherTourDestination!E37</f>
        <v>-16.041405463699999</v>
      </c>
      <c r="Q29" s="356">
        <f si="1" t="shared"/>
        <v>-16.041405463699999</v>
      </c>
      <c r="R29" s="295">
        <f si="0" t="shared"/>
        <v>0</v>
      </c>
    </row>
    <row r="30" spans="2:23" x14ac:dyDescent="0.25">
      <c r="C30" s="318" t="s">
        <v>106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Beta000028</v>
      </c>
      <c r="P30" s="295">
        <f>OtherTourDestination!E38</f>
        <v>-4.0058838759500004</v>
      </c>
      <c r="Q30" s="356">
        <f si="1" t="shared"/>
        <v>-4.0058838759500004</v>
      </c>
      <c r="R30" s="295">
        <f si="0" t="shared"/>
        <v>0</v>
      </c>
    </row>
    <row ht="15.75" r="31" spans="2:23" thickBot="1" x14ac:dyDescent="0.3">
      <c r="C31" s="319"/>
      <c r="D31" s="325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Beta000029</v>
      </c>
      <c r="P31" s="295">
        <f>OtherTourDestination!E39</f>
        <v>-2.2602358254700001</v>
      </c>
      <c r="Q31" s="356">
        <f si="1" t="shared"/>
        <v>-2.2602358254700001</v>
      </c>
      <c r="R31" s="295">
        <f si="0" t="shared"/>
        <v>0</v>
      </c>
    </row>
    <row r="32" spans="2:23" x14ac:dyDescent="0.25">
      <c r="B32" s="349" t="s">
        <v>256</v>
      </c>
      <c r="C32" s="320" t="s">
        <v>90</v>
      </c>
      <c r="D32" s="321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Beta000030</v>
      </c>
      <c r="P32" s="295">
        <f>OtherTourDestination!E40</f>
        <v>-0.57131171698200001</v>
      </c>
      <c r="Q32" s="356">
        <f si="1" t="shared"/>
        <v>-0.57131171698200001</v>
      </c>
      <c r="R32" s="295">
        <f si="0" t="shared"/>
        <v>0</v>
      </c>
    </row>
    <row r="33" spans="2:18" x14ac:dyDescent="0.25">
      <c r="B33" s="350">
        <f>B23</f>
        <v>21</v>
      </c>
      <c r="C33" s="301" t="s">
        <v>46</v>
      </c>
      <c r="D33" s="322">
        <f>K12</f>
        <v>0.38241176360848067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Beta000031</v>
      </c>
      <c r="P33" s="295">
        <f>OtherTourDestination!E41</f>
        <v>-9.1432405138999993E-3</v>
      </c>
      <c r="Q33" s="356">
        <f si="1" t="shared"/>
        <v>-9.1432405138999993E-3</v>
      </c>
      <c r="R33" s="295">
        <f si="0" t="shared"/>
        <v>0</v>
      </c>
    </row>
    <row r="34" spans="2:18" x14ac:dyDescent="0.25">
      <c r="B34" s="350">
        <f ref="B34:B35" si="6" t="shared">B24</f>
        <v>22</v>
      </c>
      <c r="C34" s="304" t="s">
        <v>49</v>
      </c>
      <c r="D34" s="322">
        <f ref="D34:D35" si="7" t="shared">K13</f>
        <v>-0.60100384981535093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Beta000032</v>
      </c>
      <c r="P34" s="295">
        <f>OtherTourDestination!E42</f>
        <v>-0.11638214876</v>
      </c>
      <c r="Q34" s="356">
        <f si="1" t="shared"/>
        <v>-0.11638214876</v>
      </c>
      <c r="R34" s="295">
        <f si="0" t="shared"/>
        <v>0</v>
      </c>
    </row>
    <row r="35" spans="2:18" x14ac:dyDescent="0.25">
      <c r="B35" s="350">
        <f si="6" t="shared"/>
        <v>23</v>
      </c>
      <c r="C35" s="304" t="s">
        <v>52</v>
      </c>
      <c r="D35" s="322">
        <f si="7" t="shared"/>
        <v>-8.0971117661783998E-2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Beta000033</v>
      </c>
      <c r="P35" s="295">
        <f>OtherTourDestination!E43</f>
        <v>5.6920874310099998E-2</v>
      </c>
      <c r="Q35" s="356">
        <f si="1" t="shared"/>
        <v>5.6920874310099998E-2</v>
      </c>
      <c r="R35" s="295">
        <f si="0" t="shared"/>
        <v>0</v>
      </c>
    </row>
    <row ht="15.75" r="36" spans="2:18" thickBot="1" x14ac:dyDescent="0.3">
      <c r="B36" s="351"/>
      <c r="C36" s="323"/>
      <c r="D36" s="324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Beta000034</v>
      </c>
      <c r="P36" s="295">
        <f>OtherTourDestination!E44</f>
        <v>-1.9362324458399999E-2</v>
      </c>
      <c r="Q36" s="356">
        <f si="1" t="shared"/>
        <v>-1.9362324458399999E-2</v>
      </c>
      <c r="R36" s="295">
        <f si="0" t="shared"/>
        <v>0</v>
      </c>
    </row>
    <row r="37" spans="2:18" x14ac:dyDescent="0.25">
      <c r="C37" s="319"/>
      <c r="D37" s="322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Beta000035</v>
      </c>
      <c r="P37" s="295">
        <f>OtherTourDestination!E45</f>
        <v>1.8323476485999999E-2</v>
      </c>
      <c r="Q37" s="356">
        <f si="1" t="shared"/>
        <v>1.8323476485999999E-2</v>
      </c>
      <c r="R37" s="295">
        <f si="0" t="shared"/>
        <v>0</v>
      </c>
    </row>
    <row r="38" spans="2:18" x14ac:dyDescent="0.25">
      <c r="C38" s="319"/>
      <c r="D38" s="322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Beta000036</v>
      </c>
      <c r="P38" s="295">
        <f>OtherTourDestination!E46</f>
        <v>2.3040582229000002</v>
      </c>
      <c r="Q38" s="356">
        <f si="1" t="shared"/>
        <v>2.3040582229000002</v>
      </c>
      <c r="R38" s="295">
        <f si="0" t="shared"/>
        <v>0</v>
      </c>
    </row>
    <row r="39" spans="2:18" x14ac:dyDescent="0.25">
      <c r="C39" s="318" t="s">
        <v>81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Beta000037</v>
      </c>
      <c r="P39" s="295">
        <f>OtherTourDestination!E47</f>
        <v>-7.2225250615199998</v>
      </c>
      <c r="Q39" s="356">
        <f si="1" t="shared"/>
        <v>-7.2225250615199998</v>
      </c>
      <c r="R39" s="295">
        <f si="0" t="shared"/>
        <v>0</v>
      </c>
    </row>
    <row r="40" spans="2:18" x14ac:dyDescent="0.25">
      <c r="C40" s="318" t="s">
        <v>124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Beta000038</v>
      </c>
      <c r="P40" s="295">
        <f>OtherTourDestination!E48</f>
        <v>-5.4693439766900003</v>
      </c>
      <c r="Q40" s="356">
        <f si="1" t="shared"/>
        <v>-5.4693439766900003</v>
      </c>
      <c r="R40" s="295">
        <f si="0" t="shared"/>
        <v>0</v>
      </c>
    </row>
    <row ht="15.75" r="41" spans="2:18" thickBot="1" x14ac:dyDescent="0.3">
      <c r="B41" s="352"/>
      <c r="C41" s="319"/>
      <c r="D41" s="322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Beta000039</v>
      </c>
      <c r="P41" s="295">
        <f>OtherTourDestination!E49</f>
        <v>-2.4179033783600001</v>
      </c>
      <c r="Q41" s="356">
        <f si="1" t="shared"/>
        <v>-2.4179033783600001</v>
      </c>
      <c r="R41" s="295">
        <f si="0" t="shared"/>
        <v>0</v>
      </c>
    </row>
    <row r="42" spans="2:18" x14ac:dyDescent="0.25">
      <c r="B42" s="349" t="s">
        <v>256</v>
      </c>
      <c r="C42" s="320" t="s">
        <v>90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Beta000040</v>
      </c>
      <c r="P42" s="295">
        <f>OtherTourDestination!E50</f>
        <v>-0.24529497763800001</v>
      </c>
      <c r="Q42" s="356">
        <f si="1" t="shared"/>
        <v>-0.24529497763800001</v>
      </c>
      <c r="R42" s="295">
        <f si="0" t="shared"/>
        <v>0</v>
      </c>
    </row>
    <row r="43" spans="2:18" x14ac:dyDescent="0.25">
      <c r="B43" s="350">
        <f>B33</f>
        <v>21</v>
      </c>
      <c r="C43" s="301" t="s">
        <v>46</v>
      </c>
      <c r="D43" s="359">
        <f>D23+D33</f>
        <v>-4.7905387489815192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Beta000041</v>
      </c>
      <c r="P43" s="295">
        <f>OtherTourDestination!E51</f>
        <v>-0.100545011408</v>
      </c>
      <c r="Q43" s="356">
        <f si="1" t="shared"/>
        <v>-0.100545011408</v>
      </c>
      <c r="R43" s="295">
        <f si="0" t="shared"/>
        <v>0</v>
      </c>
    </row>
    <row r="44" spans="2:18" x14ac:dyDescent="0.25">
      <c r="B44" s="350">
        <f ref="B44:B45" si="8" t="shared">B34</f>
        <v>22</v>
      </c>
      <c r="C44" s="304" t="s">
        <v>49</v>
      </c>
      <c r="D44" s="359">
        <f ref="D44:D45" si="9" t="shared">D24+D34</f>
        <v>-6.5122684691753507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Beta000042</v>
      </c>
      <c r="P44" s="295">
        <f>OtherTourDestination!E52</f>
        <v>0.10049185695100001</v>
      </c>
      <c r="Q44" s="356">
        <f si="1" t="shared"/>
        <v>0.10049185695100001</v>
      </c>
      <c r="R44" s="295">
        <f si="0" t="shared"/>
        <v>0</v>
      </c>
    </row>
    <row r="45" spans="2:18" x14ac:dyDescent="0.25">
      <c r="B45" s="350">
        <f si="8" t="shared"/>
        <v>23</v>
      </c>
      <c r="C45" s="304" t="s">
        <v>52</v>
      </c>
      <c r="D45" s="359">
        <f si="9" t="shared"/>
        <v>-4.4320191255817845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Beta000043</v>
      </c>
      <c r="P45" s="295">
        <f>OtherTourDestination!E53</f>
        <v>1.7655971612000001</v>
      </c>
      <c r="Q45" s="356">
        <f si="1" t="shared"/>
        <v>1.7655971612000001</v>
      </c>
      <c r="R45" s="295">
        <f si="0" t="shared"/>
        <v>0</v>
      </c>
    </row>
    <row ht="15.75" r="46" spans="2:18" thickBot="1" x14ac:dyDescent="0.3">
      <c r="B46" s="353"/>
      <c r="C46" s="323"/>
      <c r="D46" s="360"/>
      <c r="E46" s="295" t="s">
        <v>276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Beta000044</v>
      </c>
      <c r="P46" s="295">
        <f>OtherTourDestination!E54</f>
        <v>-13.482142205440001</v>
      </c>
      <c r="Q46" s="356">
        <f si="1" t="shared"/>
        <v>-13.482142205440001</v>
      </c>
      <c r="R46" s="295">
        <f si="0" t="shared"/>
        <v>0</v>
      </c>
    </row>
    <row ht="15.75" r="47" spans="2:18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Beta000045</v>
      </c>
      <c r="P47" s="295">
        <f>OtherTourDestination!E55</f>
        <v>-5.7740636752999999</v>
      </c>
      <c r="Q47" s="356">
        <f si="1" t="shared"/>
        <v>-5.7740636752999999</v>
      </c>
      <c r="R47" s="295">
        <f si="0" t="shared"/>
        <v>0</v>
      </c>
    </row>
    <row r="48" spans="2:18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Beta000046</v>
      </c>
      <c r="P48" s="295">
        <f>OtherTourDestination!E56</f>
        <v>-3.2513620839500001</v>
      </c>
      <c r="Q48" s="356">
        <f si="1" t="shared"/>
        <v>-3.2513620839500001</v>
      </c>
      <c r="R48" s="295">
        <f si="0" t="shared"/>
        <v>0</v>
      </c>
    </row>
    <row r="49" spans="13:18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Beta000047</v>
      </c>
      <c r="P49" s="295">
        <f>OtherTourDestination!E57</f>
        <v>-0.81757689945000001</v>
      </c>
      <c r="Q49" s="356">
        <f si="1" t="shared"/>
        <v>-0.81757689945000001</v>
      </c>
      <c r="R49" s="295">
        <f si="0" t="shared"/>
        <v>0</v>
      </c>
    </row>
    <row r="50" spans="13:18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Beta000048</v>
      </c>
      <c r="P50" s="295">
        <f>OtherTourDestination!E58</f>
        <v>0.63335958983999996</v>
      </c>
      <c r="Q50" s="356">
        <f si="1" t="shared"/>
        <v>0.63335958983999996</v>
      </c>
      <c r="R50" s="295">
        <f si="0" t="shared"/>
        <v>0</v>
      </c>
    </row>
    <row r="51" spans="13:18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Beta000049</v>
      </c>
      <c r="P51" s="295">
        <f>OtherTourDestination!E59</f>
        <v>0.54194850979700004</v>
      </c>
      <c r="Q51" s="356">
        <f si="1" t="shared"/>
        <v>0.54194850979700004</v>
      </c>
      <c r="R51" s="295">
        <f si="0" t="shared"/>
        <v>0</v>
      </c>
    </row>
    <row r="52" spans="13:18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Beta000050</v>
      </c>
      <c r="P52" s="295">
        <f>OtherTourDestination!E60</f>
        <v>-26.641935956609998</v>
      </c>
      <c r="Q52" s="356">
        <f si="1" t="shared"/>
        <v>-26.641935956609998</v>
      </c>
      <c r="R52" s="295">
        <f si="0" t="shared"/>
        <v>0</v>
      </c>
    </row>
    <row r="53" spans="13:18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Beta000051</v>
      </c>
      <c r="P53" s="295">
        <f>OtherTourDestination!E61</f>
        <v>-5.8569921168899999</v>
      </c>
      <c r="Q53" s="356">
        <f si="1" t="shared"/>
        <v>-5.8569921168899999</v>
      </c>
      <c r="R53" s="295">
        <f si="0" t="shared"/>
        <v>0</v>
      </c>
    </row>
    <row r="54" spans="13:18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Beta000052</v>
      </c>
      <c r="P54" s="295">
        <f>OtherTourDestination!E62</f>
        <v>-3.0622160410500001</v>
      </c>
      <c r="Q54" s="356">
        <f si="1" t="shared"/>
        <v>-3.0622160410500001</v>
      </c>
      <c r="R54" s="295">
        <f si="0" t="shared"/>
        <v>0</v>
      </c>
    </row>
    <row r="55" spans="13:18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Beta000053</v>
      </c>
      <c r="P55" s="295">
        <f>OtherTourDestination!E63</f>
        <v>-1.4592147580599999</v>
      </c>
      <c r="Q55" s="356">
        <f si="1" t="shared"/>
        <v>-1.4592147580599999</v>
      </c>
      <c r="R55" s="295">
        <f si="0" t="shared"/>
        <v>0</v>
      </c>
    </row>
    <row r="56" spans="13:18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Beta000054</v>
      </c>
      <c r="P56" s="295">
        <f>OtherTourDestination!E64</f>
        <v>-0.160744421114</v>
      </c>
      <c r="Q56" s="356">
        <f si="1" t="shared"/>
        <v>-0.160744421114</v>
      </c>
      <c r="R56" s="295">
        <f si="0" t="shared"/>
        <v>0</v>
      </c>
    </row>
    <row r="57" spans="13:18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Beta000055</v>
      </c>
      <c r="P57" s="295">
        <f>OtherTourDestination!E65</f>
        <v>0.101769944302</v>
      </c>
      <c r="Q57" s="356">
        <f si="1" t="shared"/>
        <v>0.101769944302</v>
      </c>
      <c r="R57" s="295">
        <f si="0" t="shared"/>
        <v>0</v>
      </c>
    </row>
    <row r="58" spans="13:18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Beta000056</v>
      </c>
      <c r="P58" s="295">
        <f>OtherTourDestination!E66</f>
        <v>-7.3004796389399995E-2</v>
      </c>
      <c r="Q58" s="356">
        <f si="1" t="shared"/>
        <v>-7.3004796389399995E-2</v>
      </c>
      <c r="R58" s="295">
        <f si="0" t="shared"/>
        <v>0</v>
      </c>
    </row>
    <row r="59" spans="13:18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Beta000057</v>
      </c>
      <c r="P59" s="295">
        <f>OtherTourDestination!E67</f>
        <v>4.7664283443500002E-2</v>
      </c>
      <c r="Q59" s="356">
        <f si="1" t="shared"/>
        <v>4.7664283443500002E-2</v>
      </c>
      <c r="R59" s="295">
        <f si="0" t="shared"/>
        <v>0</v>
      </c>
    </row>
    <row r="60" spans="13:18" x14ac:dyDescent="0.25">
      <c r="M60" s="295" t="str">
        <f>VLOOKUP(N60,Coeff_Descr!$A:$D,3,FALSE)</f>
        <v>ESCORT</v>
      </c>
      <c r="N60" s="295">
        <f>OtherTourDestination!B68</f>
        <v>70</v>
      </c>
      <c r="O60" s="295" t="str">
        <f>OtherTourDestination!C68</f>
        <v>LSM_0070</v>
      </c>
      <c r="P60" s="295">
        <f>OtherTourDestination!E68</f>
        <v>0.70165957865100004</v>
      </c>
      <c r="Q60" s="356">
        <f si="1" t="shared"/>
        <v>0.70165957865100004</v>
      </c>
      <c r="R60" s="295">
        <f si="0" t="shared"/>
        <v>0</v>
      </c>
    </row>
    <row r="61" spans="13:18" x14ac:dyDescent="0.25">
      <c r="M61" s="295" t="str">
        <f>VLOOKUP(N61,Coeff_Descr!$A:$D,3,FALSE)</f>
        <v>ESCORT</v>
      </c>
      <c r="N61" s="295">
        <f>OtherTourDestination!B69</f>
        <v>71</v>
      </c>
      <c r="O61" s="295" t="str">
        <f>OtherTourDestination!C69</f>
        <v>Gamma071</v>
      </c>
      <c r="P61" s="295">
        <f>OtherTourDestination!E69</f>
        <v>0</v>
      </c>
      <c r="Q61" s="356">
        <f si="1" t="shared"/>
        <v>0</v>
      </c>
      <c r="R61" s="295">
        <f si="0" t="shared"/>
        <v>0</v>
      </c>
    </row>
    <row r="62" spans="13:18" x14ac:dyDescent="0.25">
      <c r="M62" s="295" t="str">
        <f>VLOOKUP(N62,Coeff_Descr!$A:$D,3,FALSE)</f>
        <v>ESCORT</v>
      </c>
      <c r="N62" s="295">
        <f>OtherTourDestination!B70</f>
        <v>72</v>
      </c>
      <c r="O62" s="295" t="str">
        <f>OtherTourDestination!C70</f>
        <v>Gamma072</v>
      </c>
      <c r="P62" s="295">
        <f>OtherTourDestination!E70</f>
        <v>0</v>
      </c>
      <c r="Q62" s="356">
        <f si="1" t="shared"/>
        <v>0</v>
      </c>
      <c r="R62" s="295">
        <f si="0" t="shared"/>
        <v>0</v>
      </c>
    </row>
    <row r="63" spans="13:18" x14ac:dyDescent="0.25">
      <c r="M63" s="295" t="str">
        <f>VLOOKUP(N63,Coeff_Descr!$A:$D,3,FALSE)</f>
        <v>ESCORT</v>
      </c>
      <c r="N63" s="295">
        <f>OtherTourDestination!B71</f>
        <v>73</v>
      </c>
      <c r="O63" s="295" t="str">
        <f>OtherTourDestination!C71</f>
        <v>Gamma073</v>
      </c>
      <c r="P63" s="295">
        <f>OtherTourDestination!E71</f>
        <v>-1.0451393946200001</v>
      </c>
      <c r="Q63" s="356">
        <f si="1" t="shared"/>
        <v>-1.0451393946200001</v>
      </c>
      <c r="R63" s="295">
        <f si="0" t="shared"/>
        <v>0</v>
      </c>
    </row>
    <row r="64" spans="13:18" x14ac:dyDescent="0.25">
      <c r="M64" s="295" t="str">
        <f>VLOOKUP(N64,Coeff_Descr!$A:$D,3,FALSE)</f>
        <v>ESCORT</v>
      </c>
      <c r="N64" s="295">
        <f>OtherTourDestination!B72</f>
        <v>74</v>
      </c>
      <c r="O64" s="295" t="str">
        <f>OtherTourDestination!C72</f>
        <v>Gamma074</v>
      </c>
      <c r="P64" s="295">
        <f>OtherTourDestination!E72</f>
        <v>0</v>
      </c>
      <c r="Q64" s="356">
        <f si="1" t="shared"/>
        <v>0</v>
      </c>
      <c r="R64" s="295">
        <f si="0" t="shared"/>
        <v>0</v>
      </c>
    </row>
    <row r="65" spans="13:18" x14ac:dyDescent="0.25">
      <c r="M65" s="295" t="str">
        <f>VLOOKUP(N65,Coeff_Descr!$A:$D,3,FALSE)</f>
        <v>ESCORT</v>
      </c>
      <c r="N65" s="295">
        <f>OtherTourDestination!B73</f>
        <v>75</v>
      </c>
      <c r="O65" s="295" t="str">
        <f>OtherTourDestination!C73</f>
        <v>Gamma075</v>
      </c>
      <c r="P65" s="295">
        <f>OtherTourDestination!E73</f>
        <v>-0.200987204384</v>
      </c>
      <c r="Q65" s="356">
        <f si="1" t="shared"/>
        <v>-0.200987204384</v>
      </c>
      <c r="R65" s="295">
        <f si="0" t="shared"/>
        <v>0</v>
      </c>
    </row>
    <row r="66" spans="13:18" x14ac:dyDescent="0.25">
      <c r="M66" s="295" t="str">
        <f>VLOOKUP(N66,Coeff_Descr!$A:$D,3,FALSE)</f>
        <v>ESCORT</v>
      </c>
      <c r="N66" s="295">
        <f>OtherTourDestination!B74</f>
        <v>76</v>
      </c>
      <c r="O66" s="295" t="str">
        <f>OtherTourDestination!C74</f>
        <v>Gamma076</v>
      </c>
      <c r="P66" s="295">
        <f>OtherTourDestination!E74</f>
        <v>-0.24680877359100001</v>
      </c>
      <c r="Q66" s="356">
        <f si="1" t="shared"/>
        <v>-0.24680877359100001</v>
      </c>
      <c r="R66" s="295">
        <f si="0" t="shared"/>
        <v>0</v>
      </c>
    </row>
    <row r="67" spans="13:18" x14ac:dyDescent="0.25">
      <c r="M67" s="295" t="str">
        <f>VLOOKUP(N67,Coeff_Descr!$A:$D,3,FALSE)</f>
        <v>ESCORT</v>
      </c>
      <c r="N67" s="295">
        <f>OtherTourDestination!B75</f>
        <v>77</v>
      </c>
      <c r="O67" s="295" t="str">
        <f>OtherTourDestination!C75</f>
        <v>Gamma077</v>
      </c>
      <c r="P67" s="295">
        <f>OtherTourDestination!E75</f>
        <v>0.105207287565</v>
      </c>
      <c r="Q67" s="356">
        <f si="1" t="shared"/>
        <v>0.105207287565</v>
      </c>
      <c r="R67" s="295">
        <f si="0" t="shared"/>
        <v>0</v>
      </c>
    </row>
    <row r="68" spans="13:18" x14ac:dyDescent="0.25">
      <c r="M68" s="295" t="str">
        <f>VLOOKUP(N68,Coeff_Descr!$A:$D,3,FALSE)</f>
        <v>ESCORT</v>
      </c>
      <c r="N68" s="295">
        <f>OtherTourDestination!B76</f>
        <v>78</v>
      </c>
      <c r="O68" s="295" t="str">
        <f>OtherTourDestination!C76</f>
        <v>Gamma078</v>
      </c>
      <c r="P68" s="295">
        <f>OtherTourDestination!E76</f>
        <v>-3.0261765923500001</v>
      </c>
      <c r="Q68" s="356">
        <f si="1" t="shared"/>
        <v>-3.0261765923500001</v>
      </c>
      <c r="R68" s="295">
        <f ref="R68:R103" si="10" t="shared">IF(P68=Q68,0,1)</f>
        <v>0</v>
      </c>
    </row>
    <row r="69" spans="13:18" x14ac:dyDescent="0.25">
      <c r="M69" s="295" t="str">
        <f>VLOOKUP(N69,Coeff_Descr!$A:$D,3,FALSE)</f>
        <v>ESCORT</v>
      </c>
      <c r="N69" s="295">
        <f>OtherTourDestination!B77</f>
        <v>79</v>
      </c>
      <c r="O69" s="295" t="str">
        <f>OtherTourDestination!C77</f>
        <v>Gamma079</v>
      </c>
      <c r="P69" s="295">
        <f>OtherTourDestination!E77</f>
        <v>-3.16760127533</v>
      </c>
      <c r="Q69" s="356">
        <f ref="Q69:Q103" si="11" t="shared">_xlfn.IFNA(VLOOKUP(N69,$B$43:$D$46,3,FALSE),P69)</f>
        <v>-3.16760127533</v>
      </c>
      <c r="R69" s="295">
        <f si="10" t="shared"/>
        <v>0</v>
      </c>
    </row>
    <row r="70" spans="13:18" x14ac:dyDescent="0.25">
      <c r="M70" s="295" t="str">
        <f>VLOOKUP(N70,Coeff_Descr!$A:$D,3,FALSE)</f>
        <v>ESCORT</v>
      </c>
      <c r="N70" s="295">
        <f>OtherTourDestination!B78</f>
        <v>80</v>
      </c>
      <c r="O70" s="295" t="str">
        <f>OtherTourDestination!C78</f>
        <v>Gamma080</v>
      </c>
      <c r="P70" s="295">
        <f>OtherTourDestination!E78</f>
        <v>3.88384299801</v>
      </c>
      <c r="Q70" s="356">
        <f si="11" t="shared"/>
        <v>3.88384299801</v>
      </c>
      <c r="R70" s="295">
        <f si="10" t="shared"/>
        <v>0</v>
      </c>
    </row>
    <row r="71" spans="13:18" x14ac:dyDescent="0.25">
      <c r="M71" s="295" t="str">
        <f>VLOOKUP(N71,Coeff_Descr!$A:$D,3,FALSE)</f>
        <v>ESCORT</v>
      </c>
      <c r="N71" s="295">
        <f>OtherTourDestination!B79</f>
        <v>81</v>
      </c>
      <c r="O71" s="295" t="str">
        <f>OtherTourDestination!C79</f>
        <v>Gamma081</v>
      </c>
      <c r="P71" s="295">
        <f>OtherTourDestination!E79</f>
        <v>1.2853400619999999</v>
      </c>
      <c r="Q71" s="356">
        <f si="11" t="shared"/>
        <v>1.2853400619999999</v>
      </c>
      <c r="R71" s="295">
        <f si="10" t="shared"/>
        <v>0</v>
      </c>
    </row>
    <row r="72" spans="13:18" x14ac:dyDescent="0.25">
      <c r="M72" s="295" t="str">
        <f>VLOOKUP(N72,Coeff_Descr!$A:$D,3,FALSE)</f>
        <v>ESCORT</v>
      </c>
      <c r="N72" s="295">
        <f>OtherTourDestination!B80</f>
        <v>82</v>
      </c>
      <c r="O72" s="295" t="str">
        <f>OtherTourDestination!C80</f>
        <v>Gamma082</v>
      </c>
      <c r="P72" s="295">
        <f>OtherTourDestination!E80</f>
        <v>0</v>
      </c>
      <c r="Q72" s="356">
        <f si="11" t="shared"/>
        <v>0</v>
      </c>
      <c r="R72" s="295">
        <f si="10" t="shared"/>
        <v>0</v>
      </c>
    </row>
    <row r="73" spans="13:18" x14ac:dyDescent="0.25">
      <c r="M73" s="295" t="str">
        <f>VLOOKUP(N73,Coeff_Descr!$A:$D,3,FALSE)</f>
        <v>ESCORT</v>
      </c>
      <c r="N73" s="295">
        <f>OtherTourDestination!B81</f>
        <v>83</v>
      </c>
      <c r="O73" s="295" t="str">
        <f>OtherTourDestination!C81</f>
        <v>Gamma083</v>
      </c>
      <c r="P73" s="295">
        <f>OtherTourDestination!E81</f>
        <v>1.5962822273599999</v>
      </c>
      <c r="Q73" s="356">
        <f si="11" t="shared"/>
        <v>1.5962822273599999</v>
      </c>
      <c r="R73" s="295">
        <f si="10" t="shared"/>
        <v>0</v>
      </c>
    </row>
    <row r="74" spans="13:18" x14ac:dyDescent="0.25">
      <c r="M74" s="295" t="str">
        <f>VLOOKUP(N74,Coeff_Descr!$A:$D,3,FALSE)</f>
        <v>ESCORT</v>
      </c>
      <c r="N74" s="295">
        <f>OtherTourDestination!B82</f>
        <v>84</v>
      </c>
      <c r="O74" s="295" t="str">
        <f>OtherTourDestination!C82</f>
        <v>Gamma084</v>
      </c>
      <c r="P74" s="295">
        <f>OtherTourDestination!E82</f>
        <v>1.8203743806399999</v>
      </c>
      <c r="Q74" s="356">
        <f si="11" t="shared"/>
        <v>1.8203743806399999</v>
      </c>
      <c r="R74" s="295">
        <f si="10" t="shared"/>
        <v>0</v>
      </c>
    </row>
    <row r="75" spans="13:18" x14ac:dyDescent="0.25">
      <c r="M75" s="295" t="str">
        <f>VLOOKUP(N75,Coeff_Descr!$A:$D,3,FALSE)</f>
        <v>ESCORT</v>
      </c>
      <c r="N75" s="295">
        <f>OtherTourDestination!B83</f>
        <v>85</v>
      </c>
      <c r="O75" s="295" t="str">
        <f>OtherTourDestination!C83</f>
        <v>Gamma085</v>
      </c>
      <c r="P75" s="295">
        <f>OtherTourDestination!E83</f>
        <v>0.36845448573400003</v>
      </c>
      <c r="Q75" s="356">
        <f si="11" t="shared"/>
        <v>0.36845448573400003</v>
      </c>
      <c r="R75" s="295">
        <f si="10" t="shared"/>
        <v>0</v>
      </c>
    </row>
    <row r="76" spans="13:18" x14ac:dyDescent="0.25">
      <c r="M76" s="295" t="str">
        <f>VLOOKUP(N76,Coeff_Descr!$A:$D,3,FALSE)</f>
        <v>ESCORT</v>
      </c>
      <c r="N76" s="295">
        <f>OtherTourDestination!B84</f>
        <v>86</v>
      </c>
      <c r="O76" s="295" t="str">
        <f>OtherTourDestination!C84</f>
        <v>Gamma086</v>
      </c>
      <c r="P76" s="295">
        <f>OtherTourDestination!E84</f>
        <v>-0.89988004259099996</v>
      </c>
      <c r="Q76" s="356">
        <f si="11" t="shared"/>
        <v>-0.89988004259099996</v>
      </c>
      <c r="R76" s="295">
        <f si="10" t="shared"/>
        <v>0</v>
      </c>
    </row>
    <row r="77" spans="13:18" x14ac:dyDescent="0.25">
      <c r="M77" s="295" t="str">
        <f>VLOOKUP(N77,Coeff_Descr!$A:$D,3,FALSE)</f>
        <v>ESCORT</v>
      </c>
      <c r="N77" s="295">
        <f>OtherTourDestination!B85</f>
        <v>87</v>
      </c>
      <c r="O77" s="295" t="str">
        <f>OtherTourDestination!C85</f>
        <v>Gamma087</v>
      </c>
      <c r="P77" s="295">
        <f>OtherTourDestination!E85</f>
        <v>-1.54651800243</v>
      </c>
      <c r="Q77" s="356">
        <f si="11" t="shared"/>
        <v>-1.54651800243</v>
      </c>
      <c r="R77" s="295">
        <f si="10" t="shared"/>
        <v>0</v>
      </c>
    </row>
    <row r="78" spans="13:18" x14ac:dyDescent="0.25">
      <c r="M78" s="295" t="str">
        <f>VLOOKUP(N78,Coeff_Descr!$A:$D,3,FALSE)</f>
        <v>ESCORT</v>
      </c>
      <c r="N78" s="295">
        <f>OtherTourDestination!B86</f>
        <v>88</v>
      </c>
      <c r="O78" s="295" t="str">
        <f>OtherTourDestination!C86</f>
        <v>Gamma088</v>
      </c>
      <c r="P78" s="295">
        <f>OtherTourDestination!E86</f>
        <v>0</v>
      </c>
      <c r="Q78" s="356">
        <f si="11" t="shared"/>
        <v>0</v>
      </c>
      <c r="R78" s="295">
        <f si="10" t="shared"/>
        <v>0</v>
      </c>
    </row>
    <row r="79" spans="13:18" x14ac:dyDescent="0.25">
      <c r="M79" s="295" t="str">
        <f>VLOOKUP(N79,Coeff_Descr!$A:$D,3,FALSE)</f>
        <v>PERSBUS/MED</v>
      </c>
      <c r="N79" s="295">
        <f>OtherTourDestination!B87</f>
        <v>89</v>
      </c>
      <c r="O79" s="295" t="str">
        <f>OtherTourDestination!C87</f>
        <v>Gamma089</v>
      </c>
      <c r="P79" s="295">
        <f>OtherTourDestination!E87</f>
        <v>-1.3661763944</v>
      </c>
      <c r="Q79" s="356">
        <f si="11" t="shared"/>
        <v>-1.3661763944</v>
      </c>
      <c r="R79" s="295">
        <f si="10" t="shared"/>
        <v>0</v>
      </c>
    </row>
    <row r="80" spans="13:18" x14ac:dyDescent="0.25">
      <c r="M80" s="295" t="str">
        <f>VLOOKUP(N80,Coeff_Descr!$A:$D,3,FALSE)</f>
        <v>PERSBUS/MED</v>
      </c>
      <c r="N80" s="295">
        <f>OtherTourDestination!B88</f>
        <v>90</v>
      </c>
      <c r="O80" s="295" t="str">
        <f>OtherTourDestination!C88</f>
        <v>Gamma090</v>
      </c>
      <c r="P80" s="295">
        <f>OtherTourDestination!E88</f>
        <v>0</v>
      </c>
      <c r="Q80" s="356">
        <f si="11" t="shared"/>
        <v>0</v>
      </c>
      <c r="R80" s="295">
        <f si="10" t="shared"/>
        <v>0</v>
      </c>
    </row>
    <row r="81" spans="13:18" x14ac:dyDescent="0.25">
      <c r="M81" s="295" t="str">
        <f>VLOOKUP(N81,Coeff_Descr!$A:$D,3,FALSE)</f>
        <v>PERSBUS/MED</v>
      </c>
      <c r="N81" s="295">
        <f>OtherTourDestination!B89</f>
        <v>91</v>
      </c>
      <c r="O81" s="295" t="str">
        <f>OtherTourDestination!C89</f>
        <v>Gamma091</v>
      </c>
      <c r="P81" s="295">
        <f>OtherTourDestination!E89</f>
        <v>-0.69659049737500001</v>
      </c>
      <c r="Q81" s="356">
        <f si="11" t="shared"/>
        <v>-0.69659049737500001</v>
      </c>
      <c r="R81" s="295">
        <f si="10" t="shared"/>
        <v>0</v>
      </c>
    </row>
    <row r="82" spans="13:18" x14ac:dyDescent="0.25">
      <c r="M82" s="295" t="str">
        <f>VLOOKUP(N82,Coeff_Descr!$A:$D,3,FALSE)</f>
        <v>PERSBUS/MED</v>
      </c>
      <c r="N82" s="295">
        <f>OtherTourDestination!B90</f>
        <v>92</v>
      </c>
      <c r="O82" s="295" t="str">
        <f>OtherTourDestination!C90</f>
        <v>Gamma092</v>
      </c>
      <c r="P82" s="295">
        <f>OtherTourDestination!E90</f>
        <v>-1.8309142732699999</v>
      </c>
      <c r="Q82" s="356">
        <f si="11" t="shared"/>
        <v>-1.8309142732699999</v>
      </c>
      <c r="R82" s="295">
        <f si="10" t="shared"/>
        <v>0</v>
      </c>
    </row>
    <row r="83" spans="13:18" x14ac:dyDescent="0.25">
      <c r="M83" s="295" t="str">
        <f>VLOOKUP(N83,Coeff_Descr!$A:$D,3,FALSE)</f>
        <v>PERSBUS/MED</v>
      </c>
      <c r="N83" s="295">
        <f>OtherTourDestination!B91</f>
        <v>93</v>
      </c>
      <c r="O83" s="295" t="str">
        <f>OtherTourDestination!C91</f>
        <v>Gamma093</v>
      </c>
      <c r="P83" s="295">
        <f>OtherTourDestination!E91</f>
        <v>-1.59616837557</v>
      </c>
      <c r="Q83" s="356">
        <f si="11" t="shared"/>
        <v>-1.59616837557</v>
      </c>
      <c r="R83" s="295">
        <f si="10" t="shared"/>
        <v>0</v>
      </c>
    </row>
    <row r="84" spans="13:18" x14ac:dyDescent="0.25">
      <c r="M84" s="295" t="str">
        <f>VLOOKUP(N84,Coeff_Descr!$A:$D,3,FALSE)</f>
        <v>PERSBUS/MED</v>
      </c>
      <c r="N84" s="295">
        <f>OtherTourDestination!B92</f>
        <v>94</v>
      </c>
      <c r="O84" s="295" t="str">
        <f>OtherTourDestination!C92</f>
        <v>Gamma094</v>
      </c>
      <c r="P84" s="295">
        <f>OtherTourDestination!E92</f>
        <v>0</v>
      </c>
      <c r="Q84" s="356">
        <f si="11" t="shared"/>
        <v>0</v>
      </c>
      <c r="R84" s="295">
        <f si="10" t="shared"/>
        <v>0</v>
      </c>
    </row>
    <row r="85" spans="13:18" x14ac:dyDescent="0.25">
      <c r="M85" s="295" t="str">
        <f>VLOOKUP(N85,Coeff_Descr!$A:$D,3,FALSE)</f>
        <v>PERSBUS/MED</v>
      </c>
      <c r="N85" s="295">
        <f>OtherTourDestination!B93</f>
        <v>95</v>
      </c>
      <c r="O85" s="295" t="str">
        <f>OtherTourDestination!C93</f>
        <v>Gamma095</v>
      </c>
      <c r="P85" s="295">
        <f>OtherTourDestination!E93</f>
        <v>-3.7524312125899999</v>
      </c>
      <c r="Q85" s="356">
        <f si="11" t="shared"/>
        <v>-3.7524312125899999</v>
      </c>
      <c r="R85" s="295">
        <f si="10" t="shared"/>
        <v>0</v>
      </c>
    </row>
    <row r="86" spans="13:18" x14ac:dyDescent="0.25">
      <c r="M86" s="295" t="str">
        <f>VLOOKUP(N86,Coeff_Descr!$A:$D,3,FALSE)</f>
        <v>PERSBUS/MED</v>
      </c>
      <c r="N86" s="295">
        <f>OtherTourDestination!B94</f>
        <v>96</v>
      </c>
      <c r="O86" s="295" t="str">
        <f>OtherTourDestination!C94</f>
        <v>Gamma096</v>
      </c>
      <c r="P86" s="295">
        <f>OtherTourDestination!E94</f>
        <v>-5.15903380474</v>
      </c>
      <c r="Q86" s="356">
        <f si="11" t="shared"/>
        <v>-5.15903380474</v>
      </c>
      <c r="R86" s="295">
        <f si="10" t="shared"/>
        <v>0</v>
      </c>
    </row>
    <row r="87" spans="13:18" x14ac:dyDescent="0.25">
      <c r="M87" s="295" t="str">
        <f>VLOOKUP(N87,Coeff_Descr!$A:$D,3,FALSE)</f>
        <v>PERSBUS/MED</v>
      </c>
      <c r="N87" s="295">
        <f>OtherTourDestination!B95</f>
        <v>97</v>
      </c>
      <c r="O87" s="295" t="str">
        <f>OtherTourDestination!C95</f>
        <v>Gamma097</v>
      </c>
      <c r="P87" s="295">
        <f>OtherTourDestination!E95</f>
        <v>-4.5752497230499998</v>
      </c>
      <c r="Q87" s="356">
        <f si="11" t="shared"/>
        <v>-4.5752497230499998</v>
      </c>
      <c r="R87" s="295">
        <f si="10" t="shared"/>
        <v>0</v>
      </c>
    </row>
    <row r="88" spans="13:18" x14ac:dyDescent="0.25">
      <c r="M88" s="295" t="str">
        <f>VLOOKUP(N88,Coeff_Descr!$A:$D,3,FALSE)</f>
        <v>SHOP</v>
      </c>
      <c r="N88" s="295">
        <f>OtherTourDestination!B96</f>
        <v>98</v>
      </c>
      <c r="O88" s="295" t="str">
        <f>OtherTourDestination!C96</f>
        <v>Gamma098</v>
      </c>
      <c r="P88" s="295">
        <f>OtherTourDestination!E96</f>
        <v>-1.55830930615</v>
      </c>
      <c r="Q88" s="356">
        <f si="11" t="shared"/>
        <v>-1.55830930615</v>
      </c>
      <c r="R88" s="295">
        <f si="10" t="shared"/>
        <v>0</v>
      </c>
    </row>
    <row r="89" spans="13:18" x14ac:dyDescent="0.25">
      <c r="M89" s="295" t="str">
        <f>VLOOKUP(N89,Coeff_Descr!$A:$D,3,FALSE)</f>
        <v>SHOP</v>
      </c>
      <c r="N89" s="295">
        <f>OtherTourDestination!B97</f>
        <v>99</v>
      </c>
      <c r="O89" s="295" t="str">
        <f>OtherTourDestination!C97</f>
        <v>Gamma099</v>
      </c>
      <c r="P89" s="295">
        <f>OtherTourDestination!E97</f>
        <v>-6.7687936642300004</v>
      </c>
      <c r="Q89" s="356">
        <f si="11" t="shared"/>
        <v>-6.7687936642300004</v>
      </c>
      <c r="R89" s="295">
        <f si="10" t="shared"/>
        <v>0</v>
      </c>
    </row>
    <row r="90" spans="13:18" x14ac:dyDescent="0.25">
      <c r="M90" s="295" t="str">
        <f>VLOOKUP(N90,Coeff_Descr!$A:$D,3,FALSE)</f>
        <v>SHOP</v>
      </c>
      <c r="N90" s="295">
        <f>OtherTourDestination!B98</f>
        <v>100</v>
      </c>
      <c r="O90" s="295" t="str">
        <f>OtherTourDestination!C98</f>
        <v>Gamma100</v>
      </c>
      <c r="P90" s="295">
        <f>OtherTourDestination!E98</f>
        <v>0</v>
      </c>
      <c r="Q90" s="356">
        <f si="11" t="shared"/>
        <v>0</v>
      </c>
      <c r="R90" s="295">
        <f si="10" t="shared"/>
        <v>0</v>
      </c>
    </row>
    <row r="91" spans="13:18" x14ac:dyDescent="0.25">
      <c r="M91" s="295" t="str">
        <f>VLOOKUP(N91,Coeff_Descr!$A:$D,3,FALSE)</f>
        <v>SHOP</v>
      </c>
      <c r="N91" s="295">
        <f>OtherTourDestination!B99</f>
        <v>101</v>
      </c>
      <c r="O91" s="295" t="str">
        <f>OtherTourDestination!C99</f>
        <v>Gamma101</v>
      </c>
      <c r="P91" s="295">
        <f>OtherTourDestination!E99</f>
        <v>-4.6092008435</v>
      </c>
      <c r="Q91" s="356">
        <f si="11" t="shared"/>
        <v>-4.6092008435</v>
      </c>
      <c r="R91" s="295">
        <f si="10" t="shared"/>
        <v>0</v>
      </c>
    </row>
    <row r="92" spans="13:18" x14ac:dyDescent="0.25">
      <c r="M92" s="295" t="str">
        <f>VLOOKUP(N92,Coeff_Descr!$A:$D,3,FALSE)</f>
        <v>MEAL</v>
      </c>
      <c r="N92" s="295">
        <f>OtherTourDestination!B100</f>
        <v>102</v>
      </c>
      <c r="O92" s="295" t="str">
        <f>OtherTourDestination!C100</f>
        <v>Gamma102</v>
      </c>
      <c r="P92" s="295">
        <f>OtherTourDestination!E100</f>
        <v>0</v>
      </c>
      <c r="Q92" s="356">
        <f si="11" t="shared"/>
        <v>0</v>
      </c>
      <c r="R92" s="295">
        <f si="10" t="shared"/>
        <v>0</v>
      </c>
    </row>
    <row r="93" spans="13:18" x14ac:dyDescent="0.25">
      <c r="M93" s="295" t="str">
        <f>VLOOKUP(N93,Coeff_Descr!$A:$D,3,FALSE)</f>
        <v>MEAL</v>
      </c>
      <c r="N93" s="295">
        <f>OtherTourDestination!B101</f>
        <v>103</v>
      </c>
      <c r="O93" s="295" t="str">
        <f>OtherTourDestination!C101</f>
        <v>Gamma103</v>
      </c>
      <c r="P93" s="295">
        <f>OtherTourDestination!E101</f>
        <v>0</v>
      </c>
      <c r="Q93" s="356">
        <f si="11" t="shared"/>
        <v>0</v>
      </c>
      <c r="R93" s="295">
        <f si="10" t="shared"/>
        <v>0</v>
      </c>
    </row>
    <row r="94" spans="13:18" x14ac:dyDescent="0.25">
      <c r="M94" s="295" t="str">
        <f>VLOOKUP(N94,Coeff_Descr!$A:$D,3,FALSE)</f>
        <v>MEAL</v>
      </c>
      <c r="N94" s="295">
        <f>OtherTourDestination!B102</f>
        <v>104</v>
      </c>
      <c r="O94" s="295" t="str">
        <f>OtherTourDestination!C102</f>
        <v>Gamma104</v>
      </c>
      <c r="P94" s="295">
        <f>OtherTourDestination!E102</f>
        <v>5</v>
      </c>
      <c r="Q94" s="356">
        <f si="11" t="shared"/>
        <v>5</v>
      </c>
      <c r="R94" s="295">
        <f si="10" t="shared"/>
        <v>0</v>
      </c>
    </row>
    <row r="95" spans="13:18" x14ac:dyDescent="0.25">
      <c r="M95" s="295" t="str">
        <f>VLOOKUP(N95,Coeff_Descr!$A:$D,3,FALSE)</f>
        <v>MEAL</v>
      </c>
      <c r="N95" s="295">
        <f>OtherTourDestination!B103</f>
        <v>105</v>
      </c>
      <c r="O95" s="295" t="str">
        <f>OtherTourDestination!C103</f>
        <v>Gamma105</v>
      </c>
      <c r="P95" s="295">
        <f>OtherTourDestination!E103</f>
        <v>5</v>
      </c>
      <c r="Q95" s="356">
        <f si="11" t="shared"/>
        <v>5</v>
      </c>
      <c r="R95" s="295">
        <f si="10" t="shared"/>
        <v>0</v>
      </c>
    </row>
    <row r="96" spans="13:18" x14ac:dyDescent="0.25">
      <c r="M96" s="295" t="str">
        <f>VLOOKUP(N96,Coeff_Descr!$A:$D,3,FALSE)</f>
        <v>SOCREC</v>
      </c>
      <c r="N96" s="295">
        <f>OtherTourDestination!B104</f>
        <v>106</v>
      </c>
      <c r="O96" s="295" t="str">
        <f>OtherTourDestination!C104</f>
        <v>Gamma106</v>
      </c>
      <c r="P96" s="295">
        <f>OtherTourDestination!E104</f>
        <v>0</v>
      </c>
      <c r="Q96" s="356">
        <f si="11" t="shared"/>
        <v>0</v>
      </c>
      <c r="R96" s="295">
        <f si="10" t="shared"/>
        <v>0</v>
      </c>
    </row>
    <row r="97" spans="13:18" x14ac:dyDescent="0.25">
      <c r="M97" s="295" t="str">
        <f>VLOOKUP(N97,Coeff_Descr!$A:$D,3,FALSE)</f>
        <v>SOCREC</v>
      </c>
      <c r="N97" s="295">
        <f>OtherTourDestination!B105</f>
        <v>107</v>
      </c>
      <c r="O97" s="295" t="str">
        <f>OtherTourDestination!C105</f>
        <v>Gamma107</v>
      </c>
      <c r="P97" s="295">
        <f>OtherTourDestination!E105</f>
        <v>3.2721559987400002</v>
      </c>
      <c r="Q97" s="356">
        <f si="11" t="shared"/>
        <v>3.2721559987400002</v>
      </c>
      <c r="R97" s="295">
        <f si="10" t="shared"/>
        <v>0</v>
      </c>
    </row>
    <row r="98" spans="13:18" x14ac:dyDescent="0.25">
      <c r="M98" s="295" t="str">
        <f>VLOOKUP(N98,Coeff_Descr!$A:$D,3,FALSE)</f>
        <v>SOCREC</v>
      </c>
      <c r="N98" s="295">
        <f>OtherTourDestination!B106</f>
        <v>108</v>
      </c>
      <c r="O98" s="295" t="str">
        <f>OtherTourDestination!C106</f>
        <v>Gamma108</v>
      </c>
      <c r="P98" s="295">
        <f>OtherTourDestination!E106</f>
        <v>0</v>
      </c>
      <c r="Q98" s="356">
        <f si="11" t="shared"/>
        <v>0</v>
      </c>
      <c r="R98" s="295">
        <f si="10" t="shared"/>
        <v>0</v>
      </c>
    </row>
    <row r="99" spans="13:18" x14ac:dyDescent="0.25">
      <c r="M99" s="295" t="str">
        <f>VLOOKUP(N99,Coeff_Descr!$A:$D,3,FALSE)</f>
        <v>SOCREC</v>
      </c>
      <c r="N99" s="295">
        <f>OtherTourDestination!B107</f>
        <v>109</v>
      </c>
      <c r="O99" s="295" t="str">
        <f>OtherTourDestination!C107</f>
        <v>Gamma109</v>
      </c>
      <c r="P99" s="295">
        <f>OtherTourDestination!E107</f>
        <v>3.7780647491999999</v>
      </c>
      <c r="Q99" s="356">
        <f si="11" t="shared"/>
        <v>3.7780647491999999</v>
      </c>
      <c r="R99" s="295">
        <f si="10" t="shared"/>
        <v>0</v>
      </c>
    </row>
    <row r="100" spans="13:18" x14ac:dyDescent="0.25">
      <c r="M100" s="295" t="str">
        <f>VLOOKUP(N100,Coeff_Descr!$A:$D,3,FALSE)</f>
        <v>SOCREC</v>
      </c>
      <c r="N100" s="295">
        <f>OtherTourDestination!B108</f>
        <v>110</v>
      </c>
      <c r="O100" s="295" t="str">
        <f>OtherTourDestination!C108</f>
        <v>Gamma110</v>
      </c>
      <c r="P100" s="295">
        <f>OtherTourDestination!E108</f>
        <v>3.6698694381700001</v>
      </c>
      <c r="Q100" s="356">
        <f si="11" t="shared"/>
        <v>3.6698694381700001</v>
      </c>
      <c r="R100" s="295">
        <f si="10" t="shared"/>
        <v>0</v>
      </c>
    </row>
    <row r="101" spans="13:18" x14ac:dyDescent="0.25">
      <c r="M101" s="295" t="str">
        <f>VLOOKUP(N101,Coeff_Descr!$A:$D,3,FALSE)</f>
        <v>SOCREC</v>
      </c>
      <c r="N101" s="295">
        <f>OtherTourDestination!B109</f>
        <v>111</v>
      </c>
      <c r="O101" s="295" t="str">
        <f>OtherTourDestination!C109</f>
        <v>Gamma111</v>
      </c>
      <c r="P101" s="295">
        <f>OtherTourDestination!E109</f>
        <v>0</v>
      </c>
      <c r="Q101" s="356">
        <f si="11" t="shared"/>
        <v>0</v>
      </c>
      <c r="R101" s="295">
        <f si="10" t="shared"/>
        <v>0</v>
      </c>
    </row>
    <row r="102" spans="13:18" x14ac:dyDescent="0.25">
      <c r="M102" s="295" t="str">
        <f>VLOOKUP(N102,Coeff_Descr!$A:$D,3,FALSE)</f>
        <v>SOCREC</v>
      </c>
      <c r="N102" s="295">
        <f>OtherTourDestination!B110</f>
        <v>112</v>
      </c>
      <c r="O102" s="295" t="str">
        <f>OtherTourDestination!C110</f>
        <v>Gamma112</v>
      </c>
      <c r="P102" s="295">
        <f>OtherTourDestination!E110</f>
        <v>0</v>
      </c>
      <c r="Q102" s="356">
        <f si="11" t="shared"/>
        <v>0</v>
      </c>
      <c r="R102" s="295">
        <f si="10" t="shared"/>
        <v>0</v>
      </c>
    </row>
    <row r="103" spans="13:18" x14ac:dyDescent="0.25">
      <c r="M103" s="295" t="str">
        <f>VLOOKUP(N103,Coeff_Descr!$A:$D,3,FALSE)</f>
        <v>SOCREC</v>
      </c>
      <c r="N103" s="295">
        <f>OtherTourDestination!B111</f>
        <v>113</v>
      </c>
      <c r="O103" s="295" t="str">
        <f>OtherTourDestination!C111</f>
        <v>Gamma113</v>
      </c>
      <c r="P103" s="295">
        <f>OtherTourDestination!E111</f>
        <v>1.3908719595400001</v>
      </c>
      <c r="Q103" s="356">
        <f si="11" t="shared"/>
        <v>1.3908719595400001</v>
      </c>
      <c r="R103" s="295">
        <f si="10" t="shared"/>
        <v>0</v>
      </c>
    </row>
    <row r="104" spans="13:18" x14ac:dyDescent="0.25">
      <c r="P104" s="295"/>
      <c r="Q104" s="356"/>
    </row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2022-03-10T16:21:43Z</dcterms:modified>
</cp:coreProperties>
</file>