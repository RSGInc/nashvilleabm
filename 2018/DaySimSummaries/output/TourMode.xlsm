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Calibration\iterations\round2\tour_mode\TourMode_CR6\"/>
    </mc:Choice>
  </mc:AlternateContent>
  <bookViews>
    <workbookView windowHeight="11205" windowWidth="24795" xWindow="315" yWindow="210"/>
  </bookViews>
  <sheets>
    <sheet name="AllPurposes" r:id="rId1" sheetId="11"/>
    <sheet name="Work" r:id="rId2" sheetId="1"/>
    <sheet name="School" r:id="rId3" sheetId="4"/>
    <sheet name="Escort" r:id="rId4" sheetId="5"/>
    <sheet name="Personal_Business" r:id="rId5" sheetId="10"/>
    <sheet name="Shop" r:id="rId6" sheetId="8"/>
    <sheet name="Meal" r:id="rId7" sheetId="6"/>
    <sheet name="SocRec" r:id="rId8" sheetId="9"/>
    <sheet name="Workbased" r:id="rId9" sheetId="7"/>
    <sheet name="Documentation" r:id="rId10" sheetId="12"/>
    <sheet name="CoeffDef" r:id="rId11" sheetId="13"/>
    <sheet name="WorkCoefficients" r:id="rId12" sheetId="14"/>
    <sheet name="SchoolCoeffcients" r:id="rId13" sheetId="16"/>
    <sheet name="EscortCoefficients" r:id="rId14" sheetId="17"/>
    <sheet name="OtherCoefficients" r:id="rId15" sheetId="18"/>
    <sheet name="WorkBasedCoefficients" r:id="rId16" sheetId="19"/>
    <sheet name="transit_targets" r:id="rId17" sheetId="26"/>
    <sheet name="Calibration_Work" r:id="rId18" sheetId="20"/>
    <sheet name="Calibration_School" r:id="rId19" sheetId="21"/>
    <sheet name="Calibration_Escort" r:id="rId20" sheetId="23"/>
    <sheet name="Calibration_Other" r:id="rId21" sheetId="24"/>
    <sheet name="Calibration_WorkBased" r:id="rId22" sheetId="25"/>
  </sheets>
  <definedNames>
    <definedName name="out1">Work!$F$4:$G$11</definedName>
    <definedName name="out10">Shop!$P$4:$Q$11</definedName>
    <definedName name="out11">Meal!$F$4:$G$11</definedName>
    <definedName name="out12">Meal!$P$4:$Q$11</definedName>
    <definedName name="out13">SocRec!$F$4:$G$11</definedName>
    <definedName name="out14">SocRec!$P$4:$Q$11</definedName>
    <definedName name="out15">Workbased!$B$5:$H$11</definedName>
    <definedName name="out16">Workbased!$L$5:$R$11</definedName>
    <definedName name="out2">Work!$P$4:$Q$11</definedName>
    <definedName name="out3">School!$F$4:$G$11</definedName>
    <definedName name="out4">School!$P$4:$Q$11</definedName>
    <definedName name="out5">Escort!$F$4:$G$11</definedName>
    <definedName name="out6">Escort!$P$4:$Q$11</definedName>
    <definedName name="out7">Personal_Business!$F$4:$G$11</definedName>
    <definedName name="out8">Personal_Business!$P$4:$Q$11</definedName>
    <definedName name="out9">Shop!$F$4:$G$11</definedName>
    <definedName name="purp1">Work!$L$4:$M$12</definedName>
    <definedName name="purp2">School!$L$4:$M$12</definedName>
    <definedName name="purp3">Escort!$L$4:$M$12</definedName>
    <definedName name="purp4">Personal_Business!$L$4:$M$12</definedName>
    <definedName name="purp5">Shop!$L$4:$M$12</definedName>
    <definedName name="purp6">Meal!$L$4:$M$12</definedName>
    <definedName name="purp7">SocRec!$L$4:$M$12</definedName>
    <definedName name="wb">Workbased!$L$5:$R$12</definedName>
    <definedName name="out_1">Work!$F$4:$G$11</definedName>
    <definedName name="out_3">School!$F$4:$G$11</definedName>
    <definedName name="out_5">Escort!$F$4:$G$11</definedName>
    <definedName name="out_7">Personal_Business!$F$4:$G$11</definedName>
    <definedName name="out_9">Shop!$F$4:$G$11</definedName>
    <definedName name="out_11">Meal!$F$4:$G$11</definedName>
    <definedName name="out_13">SocRec!$F$4:$G$11</definedName>
    <definedName name="out_15">Workbased!$B$5:$H$11</definedName>
    <definedName name="out_2">Work!$P$4:$Q$11</definedName>
    <definedName name="out_4">School!$P$4:$Q$11</definedName>
    <definedName name="out_6">Escort!$P$4:$Q$11</definedName>
    <definedName name="out_8">Personal_Business!$P$4:$Q$11</definedName>
    <definedName name="out_10">Shop!$P$4:$Q$11</definedName>
    <definedName name="out_12">Meal!$P$4:$Q$11</definedName>
    <definedName name="out_14">SocRec!$P$4:$Q$11</definedName>
    <definedName name="out_16">Workbased!$L$5:$R$11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23" l="1" r="C19"/>
  <c i="23" r="D19"/>
  <c i="23" r="E19"/>
  <c i="23" r="F19"/>
  <c i="23" r="C20"/>
  <c i="23" r="D20"/>
  <c i="23" r="E20"/>
  <c i="23" r="F20"/>
  <c i="23" r="C21"/>
  <c i="23" r="D21"/>
  <c i="23" r="E21"/>
  <c i="23" r="D22"/>
  <c i="23" r="E22"/>
  <c i="23" r="C23"/>
  <c i="23" r="D23"/>
  <c i="23" r="E23"/>
  <c i="23" r="F23"/>
  <c i="23" r="C24"/>
  <c i="23" r="D24"/>
  <c i="23" r="E24"/>
  <c i="23" r="F24"/>
  <c i="23" r="C25"/>
  <c i="23" r="D25"/>
  <c i="23" r="E25"/>
  <c i="23" r="F25"/>
  <c i="23" r="D18"/>
  <c i="23" r="E18"/>
  <c i="23" r="F18"/>
  <c i="23" r="C18"/>
  <c i="25" r="F24"/>
  <c i="25" r="F23"/>
  <c i="25" r="F22"/>
  <c i="25" r="F21"/>
  <c i="25" r="F19"/>
  <c i="25" r="F20"/>
  <c i="25" r="F18"/>
  <c i="24" r="F22"/>
  <c i="24" r="F21"/>
  <c i="24" r="F24"/>
  <c i="24" r="F25"/>
  <c i="24" r="F23"/>
  <c i="24" r="F19"/>
  <c i="24" r="F20"/>
  <c i="24" r="F18"/>
  <c i="24" r="C19"/>
  <c i="24" r="D19"/>
  <c i="24" r="E19"/>
  <c i="24" r="C20"/>
  <c i="24" r="D20"/>
  <c i="24" r="E20"/>
  <c i="24" r="C21"/>
  <c i="24" r="D21"/>
  <c i="24" r="E21"/>
  <c i="24" r="C22"/>
  <c i="24" r="D22"/>
  <c i="24" r="E22"/>
  <c i="24" r="C23"/>
  <c i="24" r="D23"/>
  <c i="24" r="E23"/>
  <c i="24" r="C24"/>
  <c i="24" r="D24"/>
  <c i="24" r="E24"/>
  <c i="24" r="C25"/>
  <c i="24" r="D25"/>
  <c i="24" r="E25"/>
  <c i="24" r="D18"/>
  <c i="24" r="E18"/>
  <c i="24" r="C18"/>
  <c i="21" r="F22"/>
  <c i="21" r="F21"/>
  <c i="21" r="F24"/>
  <c i="21" r="F25"/>
  <c i="21" r="F23"/>
  <c i="21" r="F19"/>
  <c i="21" r="F20"/>
  <c i="21" r="F18"/>
  <c i="21" r="C19"/>
  <c i="21" r="D19"/>
  <c i="21" r="E19"/>
  <c i="21" r="C20"/>
  <c i="21" r="D20"/>
  <c i="21" r="E20"/>
  <c i="21" r="C21"/>
  <c i="21" r="D21"/>
  <c i="21" r="E21"/>
  <c i="21" r="C22"/>
  <c i="21" r="D22"/>
  <c i="21" r="E22"/>
  <c i="21" r="C23"/>
  <c i="21" r="D23"/>
  <c i="21" r="E23"/>
  <c i="21" r="C24"/>
  <c i="21" r="D24"/>
  <c i="21" r="E24"/>
  <c i="21" r="C25"/>
  <c i="21" r="D25"/>
  <c i="21" r="E25"/>
  <c i="21" r="D18"/>
  <c i="21" r="E18"/>
  <c i="21" r="C18"/>
  <c i="20" r="F24"/>
  <c i="20" r="F23"/>
  <c i="20" r="F19"/>
  <c i="20" r="F20"/>
  <c i="20" r="F18"/>
  <c i="20" r="F22"/>
  <c i="20" r="F21"/>
  <c i="20" r="C19"/>
  <c i="20" r="D19"/>
  <c i="20" r="E19"/>
  <c i="20" r="C20"/>
  <c i="20" r="D20"/>
  <c i="20" r="E20"/>
  <c i="20" r="C21"/>
  <c i="20" r="D21"/>
  <c i="20" r="E21"/>
  <c i="20" r="C22"/>
  <c i="20" r="D22"/>
  <c i="20" r="E22"/>
  <c i="20" r="C23"/>
  <c i="20" r="D23"/>
  <c i="20" r="E23"/>
  <c i="20" r="C24"/>
  <c i="20" r="D24"/>
  <c i="20" r="E24"/>
  <c i="20" r="C25"/>
  <c i="20" r="D25"/>
  <c i="20" r="E25"/>
  <c i="20" r="D18"/>
  <c i="20" r="E18"/>
  <c i="20" r="C18"/>
  <c i="20" r="F25"/>
  <c i="7" l="1" r="J9"/>
  <c i="7" r="J8"/>
  <c i="7" r="I9"/>
  <c i="9" r="H8"/>
  <c i="6" r="H8"/>
  <c i="8" r="H8"/>
  <c i="10" r="H8"/>
  <c i="4" r="H8"/>
  <c i="1" r="H8"/>
  <c i="11" r="AD36"/>
  <c i="1" r="H7"/>
  <c i="11" r="AJ4"/>
  <c i="11" r="AJ3"/>
  <c i="11" r="AG5"/>
  <c i="11" r="AH5"/>
  <c i="11" r="AI5"/>
  <c i="11" r="AF5"/>
  <c i="11" r="AJ5" s="1"/>
  <c i="11" l="1" r="I29"/>
  <c i="11" r="J29"/>
  <c i="11" r="K29"/>
  <c i="11" r="L29"/>
  <c i="11" r="M29"/>
  <c i="11" r="N29"/>
  <c i="20" r="AA50"/>
  <c i="20" r="AB49"/>
  <c i="20" r="AC49"/>
  <c i="20" r="S57"/>
  <c i="20" r="S58"/>
  <c i="20" r="S59"/>
  <c i="20" r="S60"/>
  <c i="20" r="S61"/>
  <c i="20" r="S62"/>
  <c i="20" r="S56"/>
  <c i="25" l="1" r="AE20"/>
  <c i="25" r="AA20"/>
  <c i="20" r="AA49"/>
  <c i="21" r="AA55"/>
  <c i="23" r="AA26"/>
  <c i="24" r="AA57"/>
  <c i="24" r="AA55"/>
  <c i="24" r="AB55"/>
  <c i="24" r="AC55"/>
  <c i="24" r="AA56"/>
  <c i="24" r="AB56"/>
  <c i="24" r="AC56"/>
  <c i="24" r="AA48"/>
  <c i="24" r="AB48"/>
  <c i="24" r="AC48"/>
  <c i="24" r="AA49"/>
  <c i="24" r="AB49"/>
  <c i="24" r="AC49"/>
  <c i="24" r="AA50"/>
  <c i="24" r="AB50"/>
  <c i="24" r="AC50"/>
  <c i="24" r="AA51"/>
  <c i="24" r="AB51"/>
  <c i="24" r="AC51"/>
  <c i="24" r="AA52"/>
  <c i="24" r="AB52"/>
  <c i="24" r="AC52"/>
  <c i="24" r="AA53"/>
  <c i="24" r="AB53"/>
  <c i="24" r="AC53"/>
  <c i="24" r="AA54"/>
  <c i="24" r="AB54"/>
  <c i="24" r="AC54"/>
  <c i="20" r="AA47"/>
  <c i="20" r="AB47"/>
  <c i="20" r="AC47"/>
  <c i="20" r="AA48"/>
  <c i="20" r="AB48"/>
  <c i="20" r="AC48"/>
  <c i="20" r="AA42"/>
  <c i="20" r="AD42" s="1"/>
  <c i="20" r="AB42"/>
  <c i="20" r="AC42"/>
  <c i="20" r="AA43"/>
  <c i="20" r="AB43"/>
  <c i="20" r="AC43"/>
  <c i="20" r="AA44"/>
  <c i="20" r="AB44"/>
  <c i="20" r="AC44"/>
  <c i="20" r="AA45"/>
  <c i="20" r="AB45"/>
  <c i="20" r="AC45"/>
  <c i="20" r="AA46"/>
  <c i="20" r="AB46"/>
  <c i="20" r="AC46"/>
  <c i="20" r="AA39"/>
  <c i="20" r="AB39"/>
  <c i="20" r="AC39"/>
  <c i="20" r="AA40"/>
  <c i="20" r="AB40"/>
  <c i="20" r="AC40"/>
  <c i="20" r="AA41"/>
  <c i="20" r="AB41"/>
  <c i="20" r="AC41"/>
  <c i="21" r="AA46"/>
  <c i="21" r="AA47"/>
  <c i="21" r="AD47" s="1"/>
  <c i="21" r="AA48"/>
  <c i="21" r="AD48" s="1"/>
  <c i="21" r="AA49"/>
  <c i="21" r="AD49" s="1"/>
  <c i="21" r="AA50"/>
  <c i="21" r="AD50" s="1"/>
  <c i="21" r="AA51"/>
  <c i="21" r="AA52"/>
  <c i="21" r="AA53"/>
  <c i="21" r="AA54"/>
  <c i="21" r="AB54"/>
  <c i="21" r="AC54"/>
  <c i="21" r="AB51"/>
  <c i="21" r="AC51"/>
  <c i="21" r="AB52"/>
  <c i="21" r="AC52"/>
  <c i="21" r="AB53"/>
  <c i="21" r="AC53"/>
  <c i="21" r="AB47"/>
  <c i="21" r="AC47"/>
  <c i="21" r="AB48"/>
  <c i="21" r="AC48"/>
  <c i="21" r="AB49"/>
  <c i="21" r="AC49"/>
  <c i="21" r="AB50"/>
  <c i="21" r="AC50"/>
  <c i="21" r="AB45"/>
  <c i="21" r="AC45"/>
  <c i="21" r="AB46"/>
  <c i="21" r="AC46"/>
  <c i="24" r="E28"/>
  <c i="24" r="E27"/>
  <c i="24" r="D28"/>
  <c i="24" r="D27"/>
  <c i="24" r="C28"/>
  <c i="24" r="C27"/>
  <c i="9" r="G14"/>
  <c i="9" r="F14"/>
  <c i="9" r="E14"/>
  <c i="9" r="D14"/>
  <c i="9" r="C14"/>
  <c i="9" r="B14"/>
  <c i="9" r="G13"/>
  <c i="9" r="F13"/>
  <c i="9" r="E13"/>
  <c i="9" r="D13"/>
  <c i="9" r="C13"/>
  <c i="9" r="B13"/>
  <c i="6" r="G14"/>
  <c i="6" r="F14"/>
  <c i="6" r="E14"/>
  <c i="6" r="D14"/>
  <c i="6" r="C14"/>
  <c i="6" r="B14"/>
  <c i="6" r="G13"/>
  <c i="6" r="F13"/>
  <c i="6" r="E13"/>
  <c i="6" r="D13"/>
  <c i="6" r="C13"/>
  <c i="6" r="B13"/>
  <c i="8" r="G14"/>
  <c i="8" r="F14"/>
  <c i="8" r="E14"/>
  <c i="8" r="D14"/>
  <c i="8" r="C14"/>
  <c i="8" r="B14"/>
  <c i="8" r="G13"/>
  <c i="8" r="F13"/>
  <c i="8" r="E13"/>
  <c i="8" r="D13"/>
  <c i="8" r="C13"/>
  <c i="8" r="B13"/>
  <c i="10" r="G14"/>
  <c i="10" r="F14"/>
  <c i="10" r="E14"/>
  <c i="10" r="D14"/>
  <c i="10" r="C14"/>
  <c i="10" r="B14"/>
  <c i="10" r="G13"/>
  <c i="10" r="F13"/>
  <c i="10" r="E13"/>
  <c i="10" r="D13"/>
  <c i="10" r="C13"/>
  <c i="10" r="B13"/>
  <c i="5" r="G14"/>
  <c i="23" r="E28" s="1"/>
  <c i="5" r="F14"/>
  <c i="5" r="E14"/>
  <c i="23" r="D28" s="1"/>
  <c i="5" r="D14"/>
  <c i="5" r="C14"/>
  <c i="5" r="B14"/>
  <c i="23" r="C28" s="1"/>
  <c i="5" r="G13"/>
  <c i="23" r="E27" s="1"/>
  <c i="5" r="F13"/>
  <c i="5" r="E13"/>
  <c i="23" r="D27" s="1"/>
  <c i="5" r="D13"/>
  <c i="5" r="C13"/>
  <c i="5" r="B13"/>
  <c i="23" r="C27" s="1"/>
  <c i="4" r="G14"/>
  <c i="21" r="E28" s="1"/>
  <c i="4" r="F14"/>
  <c i="4" r="E14"/>
  <c i="21" r="D28" s="1"/>
  <c i="4" r="D14"/>
  <c i="4" r="C14"/>
  <c i="4" r="B14"/>
  <c i="21" r="C28" s="1"/>
  <c i="4" r="G13"/>
  <c i="21" r="E27" s="1"/>
  <c i="4" r="F13"/>
  <c i="4" r="E13"/>
  <c i="21" r="D27" s="1"/>
  <c i="4" r="D13"/>
  <c i="4" r="C13"/>
  <c i="4" r="B13"/>
  <c i="21" r="C27" s="1"/>
  <c i="1" r="L14"/>
  <c i="1" r="Q14"/>
  <c i="1" r="P14"/>
  <c i="1" r="O14"/>
  <c i="1" r="N14"/>
  <c i="1" r="M14"/>
  <c i="1" r="Q13"/>
  <c i="1" r="P13"/>
  <c i="1" r="O13"/>
  <c i="1" r="N13"/>
  <c i="1" r="M13"/>
  <c i="1" r="L13"/>
  <c i="1" r="B14"/>
  <c i="1" r="G14"/>
  <c i="1" r="F14"/>
  <c i="1" r="E14"/>
  <c i="1" r="D14"/>
  <c i="1" r="C14"/>
  <c i="1" r="C13"/>
  <c i="1" r="D13"/>
  <c i="1" r="E13"/>
  <c i="1" r="F13"/>
  <c i="1" r="G13"/>
  <c i="1" r="B13"/>
  <c i="24" l="1" r="AD55"/>
  <c i="24" r="AE55" s="1"/>
  <c i="24" r="AD48"/>
  <c i="24" r="AE48" s="1"/>
  <c i="20" r="AD47"/>
  <c i="24" r="AD56"/>
  <c i="24" r="AE56" s="1"/>
  <c i="24" r="AD54"/>
  <c i="24" r="AE54" s="1"/>
  <c i="24" r="AD49"/>
  <c i="24" r="AE49" s="1"/>
  <c i="21" r="AD53"/>
  <c i="21" r="AE53" s="1"/>
  <c i="20" r="AD48"/>
  <c i="20" r="AE48" s="1"/>
  <c i="21" r="AD46"/>
  <c i="21" r="AE46" s="1"/>
  <c i="24" r="AD52"/>
  <c i="24" r="AE52" s="1"/>
  <c i="24" r="AD50"/>
  <c i="24" r="AE50" s="1"/>
  <c i="20" r="AD40"/>
  <c i="20" r="AE40" s="1"/>
  <c i="20" r="AD39"/>
  <c i="20" r="AE39" s="1"/>
  <c i="21" r="AD54"/>
  <c i="21" r="AE54" s="1"/>
  <c i="24" r="AD53"/>
  <c i="24" r="AE53" s="1"/>
  <c i="20" r="AD46"/>
  <c i="20" r="AE46" s="1"/>
  <c i="20" r="AD45"/>
  <c i="20" r="AE45" s="1"/>
  <c i="20" r="AD41"/>
  <c i="20" r="AE41" s="1"/>
  <c i="20" r="AD44"/>
  <c i="20" r="AE44" s="1"/>
  <c i="21" r="AD51"/>
  <c i="21" r="AE51" s="1"/>
  <c i="21" r="AD52"/>
  <c i="21" r="AE52" s="1"/>
  <c i="24" r="AD51"/>
  <c i="24" r="AE51" s="1"/>
  <c i="20" r="AD43"/>
  <c i="20" r="AE43" s="1"/>
  <c i="20" r="AD49"/>
  <c i="20" r="AE49" s="1"/>
  <c i="21" r="AE50"/>
  <c i="21" r="AE48"/>
  <c i="21" r="AE47"/>
  <c i="20" r="AE47"/>
  <c i="21" r="AE49"/>
  <c i="20" r="AE42"/>
  <c i="5" r="I8"/>
  <c i="5" r="J8" s="1"/>
  <c i="5" r="I7"/>
  <c i="5" r="J7" s="1"/>
  <c i="4" r="I8"/>
  <c i="4" r="J8" s="1"/>
  <c i="4" r="I7"/>
  <c i="4" r="J7" s="1"/>
  <c i="1" r="I7"/>
  <c i="1" r="J7" s="1"/>
  <c i="1" r="I8"/>
  <c i="1" r="J8" s="1"/>
  <c i="9" l="1" r="K5"/>
  <c i="9" r="K6"/>
  <c i="9" r="K7"/>
  <c i="9" r="K8"/>
  <c i="9" r="K9"/>
  <c i="9" r="K10"/>
  <c i="9" r="K11"/>
  <c i="9" r="K4"/>
  <c i="6" r="K5"/>
  <c i="6" r="K6"/>
  <c i="6" r="K7"/>
  <c i="6" r="K8"/>
  <c i="6" r="K9"/>
  <c i="6" r="K10"/>
  <c i="6" r="K11"/>
  <c i="6" r="K4"/>
  <c i="8" r="K5"/>
  <c i="8" r="K6"/>
  <c i="8" r="K7"/>
  <c i="8" r="K8"/>
  <c i="8" r="K9"/>
  <c i="8" r="K10"/>
  <c i="8" r="K11"/>
  <c i="8" r="K4"/>
  <c i="10" r="K5"/>
  <c i="10" r="K6"/>
  <c i="10" r="K7"/>
  <c i="10" r="K8"/>
  <c i="10" r="K9"/>
  <c i="10" r="K10"/>
  <c i="10" r="K11"/>
  <c i="10" r="K4"/>
  <c i="5" r="K5"/>
  <c i="5" r="K6"/>
  <c i="5" r="K7"/>
  <c i="5" r="K8"/>
  <c i="5" r="K9"/>
  <c i="5" r="K10"/>
  <c i="5" r="K11"/>
  <c i="5" r="K4"/>
  <c i="4" r="K5"/>
  <c i="4" r="K6"/>
  <c i="4" r="K7"/>
  <c i="4" r="K8"/>
  <c i="4" r="K9"/>
  <c i="4" r="K10"/>
  <c i="4" r="K11"/>
  <c i="4" r="K4"/>
  <c i="1" r="K5"/>
  <c i="1" r="K6"/>
  <c i="1" r="K7"/>
  <c i="1" r="K8"/>
  <c i="1" r="K9"/>
  <c i="1" r="K10"/>
  <c i="1" r="K11"/>
  <c i="1" r="K4"/>
  <c i="24" l="1" r="P81"/>
  <c i="20" l="1" r="K19"/>
  <c i="20" r="K20"/>
  <c i="20" r="K21"/>
  <c i="20" r="K22"/>
  <c i="20" r="K23"/>
  <c i="20" r="K24"/>
  <c i="20" r="K25"/>
  <c i="20" r="J19"/>
  <c i="20" r="J20"/>
  <c i="20" r="J21"/>
  <c i="20" r="J22"/>
  <c i="20" r="J23"/>
  <c i="20" r="J24"/>
  <c i="20" r="J25"/>
  <c i="20" r="I19"/>
  <c i="20" r="I20"/>
  <c i="20" r="I21"/>
  <c i="20" r="I22"/>
  <c i="20" r="I23"/>
  <c i="20" r="I24"/>
  <c i="20" r="I25"/>
  <c i="11" r="M8"/>
  <c i="24" r="K19"/>
  <c i="24" r="K20"/>
  <c i="24" r="K21"/>
  <c i="24" r="K22"/>
  <c i="24" r="K23"/>
  <c i="24" r="K24"/>
  <c i="24" r="K25"/>
  <c i="24" r="J19"/>
  <c i="24" r="J20"/>
  <c i="24" r="J21"/>
  <c i="24" r="J22"/>
  <c i="24" r="J23"/>
  <c i="24" r="J24"/>
  <c i="24" r="J25"/>
  <c i="24" r="I19"/>
  <c i="24" r="I20"/>
  <c i="24" r="I21"/>
  <c i="24" r="I22"/>
  <c i="24" r="I23"/>
  <c i="24" r="I24"/>
  <c i="24" r="I25"/>
  <c i="23" r="K19"/>
  <c i="23" r="K20"/>
  <c i="23" r="K21"/>
  <c i="23" r="K22"/>
  <c i="23" r="K23"/>
  <c i="23" r="K24"/>
  <c i="23" r="K25"/>
  <c i="23" r="J19"/>
  <c i="23" r="J20"/>
  <c i="23" r="J21"/>
  <c i="23" r="J22"/>
  <c i="23" r="J23"/>
  <c i="23" r="J24"/>
  <c i="23" r="J25"/>
  <c i="23" r="I19"/>
  <c i="23" r="I20"/>
  <c i="23" r="I21"/>
  <c i="23" r="I22"/>
  <c i="23" r="I23"/>
  <c i="23" r="I24"/>
  <c i="23" r="I25"/>
  <c i="21" r="K19"/>
  <c i="21" r="K20"/>
  <c i="21" r="K21"/>
  <c i="21" r="K22"/>
  <c i="21" r="K23"/>
  <c i="21" r="K24"/>
  <c i="21" r="K25"/>
  <c i="21" r="J19"/>
  <c i="21" r="J20"/>
  <c i="21" r="J21"/>
  <c i="21" r="J22"/>
  <c i="21" r="J23"/>
  <c i="21" r="J24"/>
  <c i="21" r="J25"/>
  <c i="21" r="I19"/>
  <c i="21" r="I20"/>
  <c i="21" r="I21"/>
  <c i="21" r="I22"/>
  <c i="21" r="I23"/>
  <c i="21" r="I24"/>
  <c i="21" r="I25"/>
  <c i="9" l="1" r="H12"/>
  <c i="6" r="H12"/>
  <c i="8" r="H12"/>
  <c i="10" r="H12"/>
  <c i="5" r="H12"/>
  <c i="4" r="H12"/>
  <c i="1" r="H12"/>
  <c i="11" l="1" r="I7"/>
  <c i="11" r="J7"/>
  <c i="11" r="I8"/>
  <c i="11" r="J8"/>
  <c i="11" r="K7"/>
  <c i="11" r="K8"/>
  <c i="11" l="1" r="P15"/>
  <c i="11" r="P2"/>
  <c i="11" r="I16"/>
  <c i="11" r="J16"/>
  <c i="11" r="K16"/>
  <c i="11" r="L16"/>
  <c i="11" r="M16"/>
  <c i="11" r="N16"/>
  <c i="11" r="V3"/>
  <c i="11" r="V16" s="1"/>
  <c i="11" r="V29" s="1"/>
  <c i="11" r="R3"/>
  <c i="11" r="R16" s="1"/>
  <c i="11" r="R29" s="1"/>
  <c i="11" r="S3"/>
  <c i="11" r="S16" s="1"/>
  <c i="11" r="S29" s="1"/>
  <c i="11" r="T3"/>
  <c i="11" r="T16" s="1"/>
  <c i="11" r="T29" s="1"/>
  <c i="11" r="U3"/>
  <c i="11" r="U16" s="1"/>
  <c i="11" r="U29" s="1"/>
  <c i="11" r="Q3"/>
  <c i="11" r="Q16" s="1"/>
  <c i="11" r="Q29" s="1"/>
  <c i="11" r="P4"/>
  <c i="11" r="P17" s="1"/>
  <c i="11" r="P30" s="1"/>
  <c i="11" r="P5"/>
  <c i="11" r="P18" s="1"/>
  <c i="11" r="P31" s="1"/>
  <c i="11" r="P6"/>
  <c i="11" r="P19" s="1"/>
  <c i="11" r="P32" s="1"/>
  <c i="11" r="P7"/>
  <c i="11" r="P20" s="1"/>
  <c i="11" r="P33" s="1"/>
  <c i="11" r="P8"/>
  <c i="11" r="P21" s="1"/>
  <c i="11" r="P34" s="1"/>
  <c i="11" r="P9"/>
  <c i="11" r="P22" s="1"/>
  <c i="11" r="P35" s="1"/>
  <c i="11" r="P10"/>
  <c i="11" r="P23" s="1"/>
  <c i="11" r="P36" s="1"/>
  <c i="11" r="P11"/>
  <c i="11" r="P24" s="1"/>
  <c i="11" r="P37" s="1"/>
  <c i="11" r="P12"/>
  <c i="11" r="P25" s="1"/>
  <c i="11" r="P38" s="1"/>
  <c i="11" r="P3"/>
  <c i="11" r="P16" s="1"/>
  <c i="11" r="P29" s="1"/>
  <c i="11" r="H4"/>
  <c i="11" r="H5"/>
  <c i="11" r="H6"/>
  <c i="11" r="H7"/>
  <c i="11" r="H8"/>
  <c i="11" r="H9"/>
  <c i="11" r="H10"/>
  <c i="11" r="H11"/>
  <c i="11" r="H12"/>
  <c i="11" r="H3"/>
  <c i="11" l="1" r="H23"/>
  <c i="11" r="H36"/>
  <c i="11" r="H20"/>
  <c i="11" r="H33"/>
  <c i="11" r="H18"/>
  <c i="11" r="H31"/>
  <c i="11" r="H16"/>
  <c i="11" r="H29"/>
  <c i="11" r="H19"/>
  <c i="11" r="H32"/>
  <c i="11" r="H24"/>
  <c i="11" r="H37"/>
  <c i="11" r="H17"/>
  <c i="11" r="H30"/>
  <c i="11" r="H25"/>
  <c i="11" r="H38"/>
  <c i="11" r="H21"/>
  <c i="11" r="H34"/>
  <c i="11" r="H22"/>
  <c i="11" r="H35"/>
  <c i="24" r="P58"/>
  <c i="25" l="1" r="AA4"/>
  <c i="25" r="AB4"/>
  <c i="25" r="AC4"/>
  <c i="25" r="AA5"/>
  <c i="25" r="AB5"/>
  <c i="25" r="AC5"/>
  <c i="25" r="AA6"/>
  <c i="25" r="AB6"/>
  <c i="25" r="AC6"/>
  <c i="25" r="AA7"/>
  <c i="25" r="AB7"/>
  <c i="25" r="AC7"/>
  <c i="25" r="AA8"/>
  <c i="25" r="AB8"/>
  <c i="25" r="AC8"/>
  <c i="25" r="AA9"/>
  <c i="25" r="AB9"/>
  <c i="25" r="AC9"/>
  <c i="25" r="AA10"/>
  <c i="25" r="AB10"/>
  <c i="25" r="AC10"/>
  <c i="25" r="AA11"/>
  <c i="25" r="AB11"/>
  <c i="25" r="AC11"/>
  <c i="25" r="AA12"/>
  <c i="25" r="AB12"/>
  <c i="25" r="AC12"/>
  <c i="25" r="AA13"/>
  <c i="25" r="AB13"/>
  <c i="25" r="AC13"/>
  <c i="25" r="AA14"/>
  <c i="25" r="AB14"/>
  <c i="25" r="AC14"/>
  <c i="25" r="AA15"/>
  <c i="25" r="AB15"/>
  <c i="25" r="AC15"/>
  <c i="25" r="AA16"/>
  <c i="25" r="AB16"/>
  <c i="25" r="AC16"/>
  <c i="25" r="AA17"/>
  <c i="25" r="AB17"/>
  <c i="25" r="AC17"/>
  <c i="25" r="AA18"/>
  <c i="25" r="AB18"/>
  <c i="25" r="AC18"/>
  <c i="25" r="AA19"/>
  <c i="25" r="AB19"/>
  <c i="25" r="AC19"/>
  <c i="25" r="AC3"/>
  <c i="25" r="AB3"/>
  <c i="25" r="AA3"/>
  <c i="25" r="E39"/>
  <c i="25" r="J81"/>
  <c i="25" r="I81"/>
  <c i="25" r="R67"/>
  <c i="25" r="R78" s="1"/>
  <c i="25" r="Q67"/>
  <c i="25" r="Q78" s="1"/>
  <c i="25" r="P67"/>
  <c i="25" r="P78" s="1"/>
  <c i="25" r="O67"/>
  <c i="25" r="O78" s="1"/>
  <c i="25" r="R55"/>
  <c i="25" r="Q55"/>
  <c i="25" r="P55"/>
  <c i="25" r="O55"/>
  <c i="25" r="E30"/>
  <c i="25" r="K26"/>
  <c i="25" r="J26"/>
  <c i="25" r="E26"/>
  <c i="25" r="D26"/>
  <c i="25" r="C26"/>
  <c i="25" r="R25"/>
  <c i="25" r="Q25"/>
  <c i="25" r="Q86" s="1"/>
  <c i="25" r="P25"/>
  <c i="25" r="P86" s="1"/>
  <c i="25" r="O25"/>
  <c i="25" r="O86" s="1"/>
  <c i="25" r="R24"/>
  <c i="25" r="R62" s="1"/>
  <c i="25" r="Q24"/>
  <c i="25" r="P24"/>
  <c i="25" r="O24"/>
  <c i="25" r="R23"/>
  <c i="25" r="Q23"/>
  <c i="25" r="P23"/>
  <c i="25" r="O23"/>
  <c i="25" r="R22"/>
  <c i="25" r="Q22"/>
  <c i="25" r="Q83" s="1"/>
  <c i="25" r="P22"/>
  <c i="25" r="O22"/>
  <c i="25" r="R21"/>
  <c i="25" r="R59" s="1"/>
  <c i="25" r="Q21"/>
  <c i="25" r="P21"/>
  <c i="25" r="O21"/>
  <c i="25" r="R20"/>
  <c i="25" r="Q20"/>
  <c i="25" r="R19"/>
  <c i="25" r="Q19"/>
  <c i="25" r="Q80" s="1"/>
  <c i="25" r="P19"/>
  <c i="25" r="O19"/>
  <c i="25" r="R18"/>
  <c i="25" r="Q18"/>
  <c i="25" r="P18"/>
  <c i="25" r="O18"/>
  <c i="25" r="I26"/>
  <c i="25" r="H16"/>
  <c i="24" r="K18"/>
  <c i="24" r="J18"/>
  <c i="24" r="I18"/>
  <c i="24" r="AA4"/>
  <c i="24" r="AB4"/>
  <c i="24" r="AC4"/>
  <c i="24" r="AA5"/>
  <c i="24" r="AB5"/>
  <c i="24" r="AC5"/>
  <c i="24" r="AA6"/>
  <c i="24" r="AB6"/>
  <c i="24" r="AC6"/>
  <c i="24" r="AA7"/>
  <c i="24" r="AB7"/>
  <c i="24" r="AC7"/>
  <c i="24" r="AA8"/>
  <c i="24" r="AB8"/>
  <c i="24" r="AC8"/>
  <c i="24" r="AA9"/>
  <c i="24" r="AD9" s="1"/>
  <c i="24" r="AB9"/>
  <c i="24" r="AC9"/>
  <c i="24" r="AA10"/>
  <c i="24" r="AD10" s="1"/>
  <c i="24" r="AB10"/>
  <c i="24" r="AC10"/>
  <c i="24" r="AA11"/>
  <c i="24" r="AB11"/>
  <c i="24" r="AC11"/>
  <c i="24" r="AA12"/>
  <c i="24" r="AB12"/>
  <c i="24" r="AC12"/>
  <c i="24" r="AA13"/>
  <c i="24" r="AB13"/>
  <c i="24" r="AC13"/>
  <c i="24" r="AA14"/>
  <c i="24" r="AB14"/>
  <c i="24" r="AC14"/>
  <c i="24" r="AA15"/>
  <c i="24" r="AB15"/>
  <c i="24" r="AC15"/>
  <c i="24" r="AA16"/>
  <c i="24" r="AB16"/>
  <c i="24" r="AC16"/>
  <c i="24" r="AA17"/>
  <c i="24" r="AB17"/>
  <c i="24" r="AC17"/>
  <c i="24" r="AA18"/>
  <c i="24" r="AB18"/>
  <c i="24" r="AC18"/>
  <c i="24" r="AA19"/>
  <c i="24" r="AB19"/>
  <c i="24" r="AC19"/>
  <c i="24" r="AA20"/>
  <c i="24" r="AB20"/>
  <c i="24" r="AC20"/>
  <c i="24" r="AA21"/>
  <c i="24" r="AB21"/>
  <c i="24" r="AC21"/>
  <c i="24" r="AA22"/>
  <c i="24" r="AB22"/>
  <c i="24" r="AC22"/>
  <c i="24" r="AA23"/>
  <c i="24" r="AB23"/>
  <c i="24" r="AC23"/>
  <c i="24" r="AA24"/>
  <c i="24" r="AB24"/>
  <c i="24" r="AC24"/>
  <c i="24" r="AA25"/>
  <c i="24" r="AB25"/>
  <c i="24" r="AC25"/>
  <c i="24" r="AA26"/>
  <c i="24" r="AB26"/>
  <c i="24" r="AC26"/>
  <c i="24" r="AA27"/>
  <c i="24" r="AB27"/>
  <c i="24" r="AC27"/>
  <c i="24" r="AA28"/>
  <c i="24" r="AB28"/>
  <c i="24" r="AC28"/>
  <c i="24" r="AA29"/>
  <c i="24" r="AB29"/>
  <c i="24" r="AC29"/>
  <c i="24" r="AA30"/>
  <c i="24" r="AB30"/>
  <c i="24" r="AC30"/>
  <c i="24" r="AA31"/>
  <c i="24" r="AB31"/>
  <c i="24" r="AC31"/>
  <c i="24" r="AA32"/>
  <c i="24" r="AB32"/>
  <c i="24" r="AC32"/>
  <c i="24" r="AA33"/>
  <c i="24" r="AB33"/>
  <c i="24" r="AC33"/>
  <c i="24" r="AA34"/>
  <c i="24" r="AB34"/>
  <c i="24" r="AC34"/>
  <c i="24" r="AA35"/>
  <c i="24" r="AB35"/>
  <c i="24" r="AC35"/>
  <c i="24" r="AA36"/>
  <c i="24" r="AD36" s="1"/>
  <c i="24" r="AB36"/>
  <c i="24" r="AC36"/>
  <c i="24" r="AA37"/>
  <c i="24" r="AB37"/>
  <c i="24" r="AC37"/>
  <c i="24" r="AA38"/>
  <c i="24" r="AB38"/>
  <c i="24" r="AC38"/>
  <c i="24" r="AA39"/>
  <c i="24" r="AB39"/>
  <c i="24" r="AC39"/>
  <c i="24" r="AA40"/>
  <c i="24" r="AB40"/>
  <c i="24" r="AC40"/>
  <c i="24" r="AA41"/>
  <c i="24" r="AB41"/>
  <c i="24" r="AC41"/>
  <c i="24" r="AA42"/>
  <c i="24" r="AB42"/>
  <c i="24" r="AC42"/>
  <c i="24" r="AA43"/>
  <c i="24" r="AB43"/>
  <c i="24" r="AC43"/>
  <c i="24" r="AA44"/>
  <c i="24" r="AB44"/>
  <c i="24" r="AC44"/>
  <c i="24" r="AA45"/>
  <c i="24" r="AB45"/>
  <c i="24" r="AC45"/>
  <c i="24" r="AA46"/>
  <c i="24" r="AB46"/>
  <c i="24" r="AC46"/>
  <c i="24" r="AA47"/>
  <c i="24" r="AB47"/>
  <c i="24" r="AC47"/>
  <c i="24" r="AC3"/>
  <c i="24" r="AB3"/>
  <c i="24" r="AA3"/>
  <c i="23" r="AA4"/>
  <c i="23" r="AB4"/>
  <c i="23" r="AC4"/>
  <c i="23" r="AA5"/>
  <c i="23" r="AB5"/>
  <c i="23" r="AC5"/>
  <c i="23" r="AA6"/>
  <c i="23" r="AB6"/>
  <c i="23" r="AC6"/>
  <c i="23" r="AA7"/>
  <c i="23" r="AB7"/>
  <c i="23" r="AC7"/>
  <c i="23" r="AA8"/>
  <c i="23" r="AB8"/>
  <c i="23" r="AC8"/>
  <c i="23" r="AA9"/>
  <c i="23" r="AB9"/>
  <c i="23" r="AC9"/>
  <c i="23" r="AA10"/>
  <c i="23" r="AB10"/>
  <c i="23" r="AC10"/>
  <c i="23" r="AA11"/>
  <c i="23" r="AB11"/>
  <c i="23" r="AC11"/>
  <c i="23" r="AA12"/>
  <c i="23" r="AB12"/>
  <c i="23" r="AC12"/>
  <c i="23" r="AA13"/>
  <c i="23" r="AB13"/>
  <c i="23" r="AC13"/>
  <c i="23" r="AA14"/>
  <c i="23" r="AB14"/>
  <c i="23" r="AC14"/>
  <c i="23" r="AA15"/>
  <c i="23" r="AB15"/>
  <c i="23" r="AC15"/>
  <c i="23" r="AA16"/>
  <c i="23" r="AB16"/>
  <c i="23" r="AC16"/>
  <c i="23" r="AA17"/>
  <c i="23" r="AB17"/>
  <c i="23" r="AC17"/>
  <c i="23" r="AA18"/>
  <c i="23" r="AB18"/>
  <c i="23" r="AC18"/>
  <c i="23" r="AA19"/>
  <c i="23" r="AB19"/>
  <c i="23" r="AC19"/>
  <c i="23" r="AA20"/>
  <c i="23" r="AB20"/>
  <c i="23" r="AC20"/>
  <c i="23" r="AA21"/>
  <c i="23" r="AB21"/>
  <c i="23" r="AC21"/>
  <c i="23" r="AA22"/>
  <c i="23" r="AB22"/>
  <c i="23" r="AC22"/>
  <c i="23" r="AA23"/>
  <c i="23" r="AB23"/>
  <c i="23" r="AC23"/>
  <c i="23" r="AA24"/>
  <c i="23" r="AB24"/>
  <c i="23" r="AC24"/>
  <c i="23" r="AA25"/>
  <c i="23" r="AB25"/>
  <c i="23" r="AC25"/>
  <c i="23" r="AC3"/>
  <c i="23" r="AB3"/>
  <c i="23" r="AA3"/>
  <c i="23" r="K18"/>
  <c i="23" r="J18"/>
  <c i="23" r="I18"/>
  <c i="24" r="J81"/>
  <c i="24" r="I81"/>
  <c i="24" r="R67"/>
  <c i="24" r="R78" s="1"/>
  <c i="24" r="Q67"/>
  <c i="24" r="Q78" s="1"/>
  <c i="24" r="P67"/>
  <c i="24" r="P78" s="1"/>
  <c i="24" r="O67"/>
  <c i="24" r="O78" s="1"/>
  <c i="24" r="R55"/>
  <c i="24" r="Q55"/>
  <c i="24" r="P55"/>
  <c i="24" r="O55"/>
  <c i="24" r="E30"/>
  <c i="24" r="R25"/>
  <c i="24" r="Q25"/>
  <c i="24" r="Q86" s="1"/>
  <c i="24" r="P25"/>
  <c i="24" r="P86" s="1"/>
  <c i="24" r="O25"/>
  <c i="24" r="R24"/>
  <c i="24" r="Q24"/>
  <c i="24" r="P24"/>
  <c i="24" r="O24"/>
  <c i="24" r="I85" s="1"/>
  <c i="24" r="R23"/>
  <c i="24" r="Q23"/>
  <c i="24" r="P23"/>
  <c i="24" r="O23"/>
  <c i="24" r="R22"/>
  <c i="24" r="Q22"/>
  <c i="24" r="Q83" s="1"/>
  <c i="24" r="P22"/>
  <c i="24" r="O22"/>
  <c i="24" r="R21"/>
  <c i="24" r="Q21"/>
  <c i="24" r="P21"/>
  <c i="24" r="O21"/>
  <c i="24" r="O82" s="1"/>
  <c i="24" r="R20"/>
  <c i="24" r="R19"/>
  <c i="24" r="Q19"/>
  <c i="24" r="P19"/>
  <c i="24" r="O19"/>
  <c i="24" r="R18"/>
  <c i="24" r="Q18"/>
  <c i="24" r="P18"/>
  <c i="24" r="O18"/>
  <c i="24" r="H16"/>
  <c i="23" r="J81"/>
  <c i="23" r="I81"/>
  <c i="23" r="R67"/>
  <c i="23" r="R78" s="1"/>
  <c i="23" r="Q67"/>
  <c i="23" r="Q78" s="1"/>
  <c i="23" r="P67"/>
  <c i="23" r="P78" s="1"/>
  <c i="23" r="O67"/>
  <c i="23" r="O78" s="1"/>
  <c i="23" r="R55"/>
  <c i="23" r="Q55"/>
  <c i="23" r="P55"/>
  <c i="23" r="O55"/>
  <c i="23" r="E30"/>
  <c i="23" r="R25"/>
  <c i="23" r="Q25"/>
  <c i="23" r="P25"/>
  <c i="23" r="O25"/>
  <c i="23" r="R24"/>
  <c i="23" r="Q24"/>
  <c i="23" r="P24"/>
  <c i="23" r="J85" s="1"/>
  <c i="23" r="O24"/>
  <c i="23" r="R23"/>
  <c i="23" r="Q23"/>
  <c i="23" r="Q61" s="1"/>
  <c i="23" r="P23"/>
  <c i="23" r="O23"/>
  <c i="23" r="I84" s="1"/>
  <c i="23" r="R22"/>
  <c i="23" r="R60" s="1"/>
  <c i="23" r="Q22"/>
  <c i="23" r="Q35" s="1"/>
  <c i="23" r="P22"/>
  <c i="23" r="P60" s="1"/>
  <c i="23" r="O22"/>
  <c i="23" r="O60" s="1"/>
  <c i="23" r="R21"/>
  <c i="23" r="Q21"/>
  <c i="23" r="P21"/>
  <c i="23" r="P59" s="1"/>
  <c i="23" r="O21"/>
  <c i="23" r="R20"/>
  <c i="23" r="Q20"/>
  <c i="23" r="R19"/>
  <c i="23" r="Q19"/>
  <c i="23" r="P19"/>
  <c i="23" r="O19"/>
  <c i="23" r="R18"/>
  <c i="23" r="Q18"/>
  <c i="23" r="Q56" s="1"/>
  <c i="23" r="P18"/>
  <c i="23" r="O18"/>
  <c i="23" r="O56" s="1"/>
  <c i="23" r="H16"/>
  <c i="24" l="1" r="AD11"/>
  <c i="24" r="AD12"/>
  <c i="24" r="AD23"/>
  <c i="24" r="AD40"/>
  <c i="25" r="AD12"/>
  <c i="25" r="AE12" s="1"/>
  <c i="24" r="AD37"/>
  <c i="24" r="AD33"/>
  <c i="24" r="AD4"/>
  <c i="24" r="AD15"/>
  <c i="23" r="J84"/>
  <c i="24" r="AD47"/>
  <c i="24" r="AE47" s="1"/>
  <c i="24" r="AD45"/>
  <c i="24" r="AD35"/>
  <c i="24" r="AD43"/>
  <c i="24" r="AD16"/>
  <c i="24" r="AD46"/>
  <c i="24" r="AD42"/>
  <c i="24" r="AE42" s="1"/>
  <c i="24" r="U44"/>
  <c i="24" r="U46"/>
  <c i="24" r="U47"/>
  <c i="24" r="AD3"/>
  <c i="24" r="AE3" s="1"/>
  <c i="24" r="U35"/>
  <c i="24" r="U43"/>
  <c i="24" r="U33"/>
  <c i="24" r="U36"/>
  <c i="24" r="U45"/>
  <c i="24" r="AD41"/>
  <c i="24" r="AE41" s="1"/>
  <c i="24" r="AD26"/>
  <c i="24" r="AD39"/>
  <c i="24" r="AE39" s="1"/>
  <c i="24" r="AD34"/>
  <c i="24" r="AD25"/>
  <c i="24" r="AE25" s="1"/>
  <c i="24" r="AD44"/>
  <c i="24" r="AE44" s="1"/>
  <c i="24" r="AD30"/>
  <c i="24" r="AD38"/>
  <c i="24" r="AE38" s="1"/>
  <c i="24" r="AD20"/>
  <c i="24" r="Q59"/>
  <c i="24" r="Q82"/>
  <c i="24" r="R59"/>
  <c i="24" r="R82"/>
  <c i="24" r="Q62"/>
  <c i="24" r="Q85"/>
  <c i="24" r="Q56"/>
  <c i="24" r="Q79"/>
  <c i="24" r="Q61"/>
  <c i="24" r="Q84"/>
  <c i="24" r="P57"/>
  <c i="24" r="P80"/>
  <c i="24" r="P59"/>
  <c i="24" r="P82"/>
  <c i="24" r="O51"/>
  <c i="24" r="O86"/>
  <c i="24" r="R63"/>
  <c i="24" r="R86"/>
  <c i="24" r="O56"/>
  <c i="24" r="O79"/>
  <c i="24" r="AE40"/>
  <c i="25" r="R86"/>
  <c i="25" r="R63"/>
  <c i="25" r="AD4"/>
  <c i="25" r="AE4" s="1"/>
  <c i="25" r="AD14"/>
  <c i="25" r="AE14" s="1"/>
  <c i="24" r="AE36"/>
  <c i="24" r="AE12"/>
  <c i="24" r="AE4"/>
  <c i="24" r="AE43"/>
  <c i="24" r="AE35"/>
  <c i="24" r="AE46"/>
  <c i="25" r="AD3"/>
  <c i="25" r="AE3" s="1"/>
  <c i="25" r="AD11"/>
  <c i="25" r="AE11" s="1"/>
  <c i="25" r="AD10"/>
  <c i="25" r="AE10" s="1"/>
  <c i="25" r="AD18"/>
  <c i="25" r="AE18" s="1"/>
  <c i="24" r="I79"/>
  <c i="25" r="AD17"/>
  <c i="25" r="AE17" s="1"/>
  <c i="25" r="AD9"/>
  <c i="25" r="AE9" s="1"/>
  <c i="23" r="D26"/>
  <c i="23" r="D35" s="1"/>
  <c i="25" r="AD15"/>
  <c i="25" r="AE15" s="1"/>
  <c i="23" r="K26"/>
  <c i="23" r="K37" s="1"/>
  <c i="24" r="AE37"/>
  <c i="25" r="AD16"/>
  <c i="25" r="AE16" s="1"/>
  <c i="25" r="AD19"/>
  <c i="25" r="AE19" s="1"/>
  <c i="23" r="J82"/>
  <c i="24" r="O31"/>
  <c i="23" r="K85"/>
  <c i="23" r="Q62"/>
  <c i="23" r="K84"/>
  <c i="24" r="L81"/>
  <c i="23" r="O86"/>
  <c i="23" r="O63"/>
  <c i="24" r="K26"/>
  <c i="24" r="K34" s="1"/>
  <c i="23" r="P86"/>
  <c i="23" r="P63"/>
  <c i="23" r="L85"/>
  <c i="25" r="O74"/>
  <c i="24" r="P63"/>
  <c i="23" r="Q80"/>
  <c i="23" r="Q57"/>
  <c i="24" r="Q60"/>
  <c i="24" r="AE45"/>
  <c i="24" r="Q63"/>
  <c i="23" r="R86"/>
  <c i="23" r="R63"/>
  <c i="23" r="O31"/>
  <c i="23" r="I82"/>
  <c i="23" r="O59"/>
  <c i="24" r="I82"/>
  <c i="24" r="O59"/>
  <c i="23" r="Q33"/>
  <c i="23" r="Q58"/>
  <c i="23" r="L84"/>
  <c i="25" r="R69"/>
  <c i="23" r="Q86"/>
  <c i="23" r="Q63"/>
  <c i="24" r="J85"/>
  <c i="23" r="Q83"/>
  <c i="23" r="Q60"/>
  <c i="23" r="K82"/>
  <c i="23" r="Q59"/>
  <c i="24" r="I26"/>
  <c i="24" r="I33" s="1"/>
  <c i="23" r="L82"/>
  <c i="23" r="R59"/>
  <c i="24" r="O63"/>
  <c i="23" r="I85"/>
  <c i="23" r="C26"/>
  <c i="23" r="C37" s="1"/>
  <c i="23" r="U36"/>
  <c i="23" r="U38"/>
  <c i="25" r="P68"/>
  <c i="24" r="Q75"/>
  <c i="25" r="R68"/>
  <c i="23" r="AD25"/>
  <c i="23" r="AE25" s="1"/>
  <c i="23" r="Q32"/>
  <c i="23" r="I79"/>
  <c i="24" r="P73"/>
  <c i="24" r="R73"/>
  <c i="23" r="Q45"/>
  <c i="23" r="K81"/>
  <c i="23" r="Q48"/>
  <c i="23" r="L81"/>
  <c i="23" r="R51"/>
  <c i="25" r="O73"/>
  <c i="23" r="U31"/>
  <c i="23" r="O51"/>
  <c i="23" r="O73"/>
  <c i="23" r="I26"/>
  <c i="23" r="I38" s="1"/>
  <c i="25" r="P73"/>
  <c i="24" r="Q73"/>
  <c i="23" r="J26"/>
  <c i="23" r="J33" s="1"/>
  <c i="23" r="P51"/>
  <c i="23" r="Q51"/>
  <c i="23" r="E26"/>
  <c i="23" r="E33" s="1"/>
  <c i="25" r="R73"/>
  <c i="25" r="R51"/>
  <c i="25" r="O68"/>
  <c i="25" r="Q73"/>
  <c i="25" r="R75"/>
  <c i="25" r="Q68"/>
  <c i="25" r="P74"/>
  <c i="25" r="Q74"/>
  <c i="25" r="R74"/>
  <c i="25" r="C39"/>
  <c i="25" r="Q69"/>
  <c i="25" r="K81"/>
  <c i="25" r="I84"/>
  <c i="25" r="K84"/>
  <c i="25" r="I85"/>
  <c i="25" r="L84"/>
  <c i="25" r="U32"/>
  <c i="25" r="O69"/>
  <c i="25" r="O75"/>
  <c i="25" r="Q75"/>
  <c i="25" r="P69"/>
  <c i="25" r="P75"/>
  <c i="25" r="J84"/>
  <c i="25" r="L81"/>
  <c i="25" r="U35"/>
  <c i="25" r="O70"/>
  <c i="25" r="P70"/>
  <c i="25" r="K39"/>
  <c i="25" r="Q70"/>
  <c i="25" r="Q81"/>
  <c i="25" r="Q84"/>
  <c i="25" r="R70"/>
  <c i="25" r="U34"/>
  <c i="25" r="O71"/>
  <c i="25" r="I79"/>
  <c i="25" r="I82"/>
  <c i="25" r="P71"/>
  <c i="25" r="J79"/>
  <c i="25" r="J82"/>
  <c i="25" r="J85"/>
  <c i="25" r="Q71"/>
  <c i="25" r="K79"/>
  <c i="25" r="K82"/>
  <c i="25" r="K85"/>
  <c i="25" r="R85"/>
  <c i="25" r="R71"/>
  <c i="25" r="L79"/>
  <c i="25" r="L82"/>
  <c i="25" r="L85"/>
  <c i="25" r="O72"/>
  <c i="25" r="O79"/>
  <c i="25" r="P72"/>
  <c i="25" r="P79"/>
  <c i="25" r="P82"/>
  <c i="25" r="U33"/>
  <c i="25" r="Q72"/>
  <c i="25" r="Q85"/>
  <c i="25" r="R72"/>
  <c i="25" r="Q82"/>
  <c i="25" r="I80"/>
  <c i="25" r="I83"/>
  <c i="25" r="I86"/>
  <c i="25" r="R34"/>
  <c i="25" r="R47" s="1"/>
  <c i="25" r="R82" s="1"/>
  <c i="25" r="R38"/>
  <c i="25" r="J80"/>
  <c i="25" r="J83"/>
  <c i="25" r="J86"/>
  <c i="25" r="U31"/>
  <c i="25" r="K80"/>
  <c i="25" r="K83"/>
  <c i="25" r="K86"/>
  <c i="25" r="L80"/>
  <c i="25" r="L83"/>
  <c i="25" r="L86"/>
  <c i="25" r="O85"/>
  <c i="25" r="P85"/>
  <c i="25" r="R50"/>
  <c i="25" r="R37"/>
  <c i="24" r="K81"/>
  <c i="24" r="P51"/>
  <c i="24" r="J84"/>
  <c i="24" r="K84"/>
  <c i="24" r="R51"/>
  <c i="24" r="Q51"/>
  <c i="24" r="Q48"/>
  <c i="24" r="L84"/>
  <c i="24" r="Q35"/>
  <c i="24" r="O74"/>
  <c i="24" r="P74"/>
  <c i="24" r="P68"/>
  <c i="24" r="Q68"/>
  <c i="24" r="Q74"/>
  <c i="24" r="R68"/>
  <c i="24" r="R74"/>
  <c i="24" r="O73"/>
  <c i="24" r="O68"/>
  <c i="24" r="K79"/>
  <c i="23" r="O74"/>
  <c i="23" r="Q68"/>
  <c i="23" r="Q74"/>
  <c i="23" r="R74"/>
  <c i="23" r="R73"/>
  <c i="23" r="R68"/>
  <c i="23" r="Q73"/>
  <c i="23" r="P74"/>
  <c i="23" r="O68"/>
  <c i="23" r="P68"/>
  <c i="23" r="K79"/>
  <c i="23" r="J79"/>
  <c i="24" r="P69"/>
  <c i="24" r="J26"/>
  <c i="24" r="U34"/>
  <c i="24" r="O69"/>
  <c i="24" r="O75"/>
  <c i="24" r="I84"/>
  <c i="24" r="Q36"/>
  <c i="24" r="U42"/>
  <c i="24" r="O70"/>
  <c i="24" r="U39"/>
  <c i="24" r="P70"/>
  <c i="24" r="P75"/>
  <c i="24" r="Q70"/>
  <c i="24" r="R75"/>
  <c i="24" r="R70"/>
  <c i="24" r="U40"/>
  <c i="24" r="O71"/>
  <c i="24" r="Q69"/>
  <c i="24" r="P71"/>
  <c i="24" r="J79"/>
  <c i="24" r="J82"/>
  <c i="24" r="Q71"/>
  <c i="24" r="K82"/>
  <c i="24" r="K85"/>
  <c i="24" r="R71"/>
  <c i="24" r="L79"/>
  <c i="24" r="L82"/>
  <c i="24" r="L85"/>
  <c i="24" r="U32"/>
  <c i="24" r="O72"/>
  <c i="24" r="P72"/>
  <c i="24" r="O34"/>
  <c i="24" r="O47" s="1"/>
  <c i="24" r="O38"/>
  <c i="24" r="U37"/>
  <c i="24" r="O44"/>
  <c i="24" r="Q49"/>
  <c i="24" r="Q72"/>
  <c i="24" r="P34"/>
  <c i="24" r="P38"/>
  <c i="24" r="R72"/>
  <c i="24" r="Q34"/>
  <c i="24" r="Q47" s="1"/>
  <c i="24" r="Q38"/>
  <c i="24" r="I80"/>
  <c i="24" r="I83"/>
  <c i="24" r="I86"/>
  <c i="24" r="R38"/>
  <c i="24" r="J80"/>
  <c i="24" r="J83"/>
  <c i="24" r="J86"/>
  <c i="24" r="R69"/>
  <c i="24" r="U31"/>
  <c i="24" r="U41"/>
  <c i="24" r="K80"/>
  <c i="24" r="K83"/>
  <c i="24" r="K86"/>
  <c i="24" r="L80"/>
  <c i="24" r="L83"/>
  <c i="24" r="L86"/>
  <c i="24" r="U38"/>
  <c i="24" r="Q50"/>
  <c i="24" r="P47"/>
  <c i="24" r="Q37"/>
  <c i="23" r="U41"/>
  <c i="23" r="O69"/>
  <c i="23" r="O75"/>
  <c i="23" r="Q36"/>
  <c i="23" r="U39"/>
  <c i="23" r="O70"/>
  <c i="23" r="P70"/>
  <c i="23" r="Q70"/>
  <c i="23" r="Q81"/>
  <c i="23" r="Q84"/>
  <c i="23" r="P75"/>
  <c i="23" r="R69"/>
  <c i="23" r="R70"/>
  <c i="23" r="U33"/>
  <c i="23" r="U37"/>
  <c i="23" r="O71"/>
  <c i="23" r="P71"/>
  <c i="23" r="Q69"/>
  <c i="23" r="U42"/>
  <c i="23" r="Q71"/>
  <c i="23" r="R71"/>
  <c i="23" r="L79"/>
  <c i="23" r="Q46"/>
  <c i="23" r="O72"/>
  <c i="23" r="O79"/>
  <c i="23" r="Q75"/>
  <c i="23" r="AD3"/>
  <c i="23" r="AE3" s="1"/>
  <c i="23" r="P72"/>
  <c i="23" r="P82"/>
  <c i="23" r="O38"/>
  <c i="23" r="U34"/>
  <c i="23" r="O44"/>
  <c i="23" r="U40"/>
  <c i="23" r="Q49"/>
  <c i="23" r="Q72"/>
  <c i="23" r="Q85"/>
  <c i="23" r="P69"/>
  <c i="23" r="P34"/>
  <c i="23" r="P38"/>
  <c i="23" r="R72"/>
  <c i="23" r="Q38"/>
  <c i="23" r="U43"/>
  <c i="23" r="I80"/>
  <c i="23" r="I83"/>
  <c i="23" r="I86"/>
  <c i="23" r="R38"/>
  <c i="23" r="P73"/>
  <c i="23" r="J80"/>
  <c i="23" r="J83"/>
  <c i="23" r="J86"/>
  <c i="23" r="K80"/>
  <c i="23" r="K83"/>
  <c i="23" r="K86"/>
  <c i="23" r="L80"/>
  <c i="23" r="L83"/>
  <c i="23" r="L86"/>
  <c i="23" r="R75"/>
  <c i="23" r="U35"/>
  <c i="23" r="Q50"/>
  <c i="23" r="P47"/>
  <c i="23" r="U32"/>
  <c i="23" r="Q37"/>
  <c i="23" r="U44"/>
  <c i="23" l="1" r="I37"/>
  <c i="23" r="I35"/>
  <c i="23" r="I34"/>
  <c i="23" r="I36"/>
  <c i="23" r="I32"/>
  <c i="23" r="I33"/>
  <c i="23" r="I31"/>
  <c i="23" r="I39" s="1"/>
  <c i="23" r="J31"/>
  <c i="24" r="K35"/>
  <c i="23" r="J35"/>
  <c i="23" r="J32"/>
  <c i="23" r="C38"/>
  <c i="23" r="C32"/>
  <c i="23" r="C34"/>
  <c i="23" r="C33"/>
  <c i="23" r="O33" s="1"/>
  <c i="23" r="O46" s="1"/>
  <c i="23" r="C31"/>
  <c i="23" r="C35"/>
  <c i="23" r="C36"/>
  <c i="24" r="K31"/>
  <c i="24" r="K32"/>
  <c i="24" r="K38"/>
  <c i="23" r="E32"/>
  <c i="23" r="J34"/>
  <c i="23" r="E38"/>
  <c i="23" r="E35"/>
  <c i="23" r="E34"/>
  <c i="23" r="E31"/>
  <c i="23" r="E39"/>
  <c i="23" r="E36"/>
  <c i="23" r="E37"/>
  <c i="23" r="D38"/>
  <c i="23" r="D36"/>
  <c i="23" r="P36" s="1"/>
  <c i="23" r="D37"/>
  <c i="23" r="D34"/>
  <c i="23" r="D33"/>
  <c i="23" r="P33" s="1"/>
  <c i="23" r="P46" s="1"/>
  <c i="23" r="P58" s="1"/>
  <c i="23" r="D31"/>
  <c i="23" r="P31" s="1"/>
  <c i="23" r="P44" s="1"/>
  <c i="23" r="P56" s="1"/>
  <c i="23" r="D32"/>
  <c i="23" r="P32" s="1"/>
  <c i="23" r="P45" s="1"/>
  <c i="23" r="P57" s="1"/>
  <c i="24" r="K36"/>
  <c i="23" r="K35"/>
  <c i="23" r="K34"/>
  <c i="23" r="K31"/>
  <c i="23" r="K33"/>
  <c i="23" r="K36"/>
  <c i="23" r="K38"/>
  <c i="23" r="K32"/>
  <c i="23" r="J36"/>
  <c i="23" r="J37"/>
  <c i="24" r="I31"/>
  <c i="24" r="I35"/>
  <c i="24" r="I38"/>
  <c i="24" r="I34"/>
  <c i="24" r="I36"/>
  <c i="24" r="I32"/>
  <c i="24" r="I37"/>
  <c i="24" r="K37"/>
  <c i="24" r="K33"/>
  <c i="23" r="J38"/>
  <c i="25" r="P83"/>
  <c i="25" r="Q79"/>
  <c i="25" r="O80"/>
  <c i="25" r="O83"/>
  <c i="25" r="O81"/>
  <c i="25" r="O82"/>
  <c i="25" r="P84"/>
  <c i="25" r="O84"/>
  <c i="25" r="J39"/>
  <c i="25" r="P80"/>
  <c i="25" r="D39"/>
  <c i="25" r="I39"/>
  <c i="23" r="AD23"/>
  <c i="23" r="AE23" s="1"/>
  <c i="23" r="O37"/>
  <c i="23" r="O50" s="1"/>
  <c i="23" r="O62" s="1"/>
  <c i="24" r="J34"/>
  <c i="24" r="J31"/>
  <c i="24" r="Q31"/>
  <c i="24" r="Q44" s="1"/>
  <c i="24" r="J38"/>
  <c i="24" r="J36"/>
  <c i="24" r="J35"/>
  <c i="24" r="J33"/>
  <c i="24" r="P33" s="1"/>
  <c i="24" r="P46" s="1"/>
  <c i="24" r="J37"/>
  <c i="24" r="J32"/>
  <c i="24" r="P32" s="1"/>
  <c i="24" r="P45" s="1"/>
  <c i="23" r="O34"/>
  <c i="23" r="O47" s="1"/>
  <c i="23" r="O82" s="1"/>
  <c i="23" r="AD6" s="1"/>
  <c i="23" r="AE6" s="1"/>
  <c i="23" r="P35"/>
  <c i="23" r="P48" s="1"/>
  <c i="23" r="P83" s="1"/>
  <c i="23" r="O35"/>
  <c i="23" r="O48" s="1"/>
  <c i="23" r="O83" s="1"/>
  <c i="23" r="Q34"/>
  <c i="23" r="Q47" s="1"/>
  <c i="23" r="Q82" s="1"/>
  <c i="23" r="AD7" s="1"/>
  <c i="23" r="AE7" s="1"/>
  <c i="23" r="Q31"/>
  <c i="23" r="Q44" s="1"/>
  <c i="23" r="Q79" s="1"/>
  <c i="23" l="1" r="C39"/>
  <c i="23" r="O36"/>
  <c i="23" r="O49" s="1"/>
  <c i="23" r="O61" s="1"/>
  <c i="23" r="O32"/>
  <c i="23" r="O45" s="1"/>
  <c i="23" r="O57" s="1"/>
  <c i="23" r="O58" s="1"/>
  <c i="23" r="P37"/>
  <c i="23" r="P50" s="1"/>
  <c i="23" r="P62" s="1"/>
  <c i="23" r="D39"/>
  <c i="23" r="P49"/>
  <c i="23" r="P61" s="1"/>
  <c i="23" r="K39"/>
  <c i="23" r="J39"/>
  <c i="24" r="I39"/>
  <c i="24" r="K39"/>
  <c i="25" r="P81"/>
  <c i="24" r="AE34"/>
  <c i="24" r="AE30"/>
  <c i="23" r="AD24"/>
  <c i="23" r="AE24" s="1"/>
  <c i="24" r="J39"/>
  <c i="24" l="1" r="AE20"/>
  <c i="21" l="1" r="P20"/>
  <c i="21" r="AA4"/>
  <c i="21" r="AB4"/>
  <c i="21" r="AC4"/>
  <c i="21" r="AA5"/>
  <c i="21" r="AB5"/>
  <c i="21" r="AC5"/>
  <c i="21" r="AA6"/>
  <c i="21" r="AB6"/>
  <c i="21" r="AC6"/>
  <c i="21" r="AA7"/>
  <c i="21" r="AB7"/>
  <c i="21" r="AC7"/>
  <c i="21" r="AA8"/>
  <c i="21" r="AB8"/>
  <c i="21" r="AC8"/>
  <c i="21" r="AA9"/>
  <c i="21" r="AB9"/>
  <c i="21" r="AC9"/>
  <c i="21" r="AA10"/>
  <c i="21" r="AB10"/>
  <c i="21" r="AC10"/>
  <c i="21" r="AA11"/>
  <c i="21" r="AB11"/>
  <c i="21" r="AC11"/>
  <c i="21" r="AA12"/>
  <c i="21" r="AB12"/>
  <c i="21" r="AC12"/>
  <c i="21" r="AA13"/>
  <c i="21" r="AB13"/>
  <c i="21" r="AC13"/>
  <c i="21" r="AA14"/>
  <c i="21" r="AB14"/>
  <c i="21" r="AC14"/>
  <c i="21" r="AA15"/>
  <c i="21" r="AB15"/>
  <c i="21" r="AC15"/>
  <c i="21" r="AA16"/>
  <c i="21" r="AB16"/>
  <c i="21" r="AC16"/>
  <c i="21" r="AA17"/>
  <c i="21" r="AB17"/>
  <c i="21" r="AC17"/>
  <c i="21" r="AA18"/>
  <c i="21" r="AB18"/>
  <c i="21" r="AC18"/>
  <c i="21" r="AA19"/>
  <c i="21" r="AB19"/>
  <c i="21" r="AC19"/>
  <c i="21" r="AA20"/>
  <c i="21" r="AB20"/>
  <c i="21" r="AC20"/>
  <c i="21" r="AA21"/>
  <c i="21" r="AB21"/>
  <c i="21" r="AC21"/>
  <c i="21" r="AA22"/>
  <c i="21" r="AB22"/>
  <c i="21" r="AC22"/>
  <c i="21" r="AA23"/>
  <c i="21" r="AB23"/>
  <c i="21" r="AC23"/>
  <c i="21" r="AA24"/>
  <c i="21" r="AB24"/>
  <c i="21" r="AC24"/>
  <c i="21" r="AA25"/>
  <c i="21" r="AB25"/>
  <c i="21" r="AC25"/>
  <c i="21" r="AA26"/>
  <c i="21" r="AB26"/>
  <c i="21" r="AC26"/>
  <c i="21" r="AA27"/>
  <c i="21" r="AB27"/>
  <c i="21" r="AC27"/>
  <c i="21" r="AA28"/>
  <c i="21" r="AB28"/>
  <c i="21" r="AC28"/>
  <c i="21" r="AA29"/>
  <c i="21" r="AB29"/>
  <c i="21" r="AC29"/>
  <c i="21" r="AA30"/>
  <c i="21" r="AD30" s="1"/>
  <c i="21" r="AB30"/>
  <c i="21" r="AC30"/>
  <c i="21" r="AA31"/>
  <c i="21" r="AB31"/>
  <c i="21" r="AC31"/>
  <c i="21" r="AA32"/>
  <c i="21" r="AB32"/>
  <c i="21" r="AC32"/>
  <c i="21" r="AA33"/>
  <c i="21" r="AB33"/>
  <c i="21" r="AC33"/>
  <c i="21" r="AA34"/>
  <c i="21" r="AB34"/>
  <c i="21" r="AC34"/>
  <c i="21" r="AA35"/>
  <c i="21" r="AB35"/>
  <c i="21" r="AC35"/>
  <c i="21" r="AA36"/>
  <c i="21" r="AB36"/>
  <c i="21" r="AC36"/>
  <c i="21" r="AA37"/>
  <c i="21" r="AB37"/>
  <c i="21" r="AC37"/>
  <c i="21" r="AA38"/>
  <c i="21" r="AB38"/>
  <c i="21" r="AC38"/>
  <c i="21" r="AA39"/>
  <c i="21" r="AB39"/>
  <c i="21" r="AC39"/>
  <c i="21" r="AA40"/>
  <c i="21" r="AB40"/>
  <c i="21" r="AC40"/>
  <c i="21" r="AA41"/>
  <c i="21" r="AB41"/>
  <c i="21" r="AC41"/>
  <c i="21" r="AA42"/>
  <c i="21" r="AB42"/>
  <c i="21" r="AC42"/>
  <c i="21" r="AA43"/>
  <c i="21" r="AD43" s="1"/>
  <c i="21" r="AB43"/>
  <c i="21" r="AC43"/>
  <c i="21" r="AA44"/>
  <c i="21" r="AB44"/>
  <c i="21" r="AC44"/>
  <c i="21" r="AA45"/>
  <c i="21" r="AC3"/>
  <c i="21" r="AB3"/>
  <c i="21" r="AA3"/>
  <c i="21" r="K18"/>
  <c i="21" r="J18"/>
  <c i="21" r="I18"/>
  <c i="21" r="J81"/>
  <c i="21" r="I81"/>
  <c i="21" r="R67"/>
  <c i="21" r="R78" s="1"/>
  <c i="21" r="Q67"/>
  <c i="21" r="Q78" s="1"/>
  <c i="21" r="P67"/>
  <c i="21" r="P78" s="1"/>
  <c i="21" r="O67"/>
  <c i="21" r="O78" s="1"/>
  <c i="21" r="R55"/>
  <c i="21" r="Q55"/>
  <c i="21" r="P55"/>
  <c i="21" r="O55"/>
  <c i="21" r="E30"/>
  <c i="21" r="R25"/>
  <c i="21" r="Q25"/>
  <c i="21" r="Q86" s="1"/>
  <c i="21" r="P25"/>
  <c i="21" r="O25"/>
  <c i="21" r="R24"/>
  <c i="21" r="Q24"/>
  <c i="21" r="P24"/>
  <c i="21" r="O24"/>
  <c i="21" r="R23"/>
  <c i="21" r="Q23"/>
  <c i="21" r="Q84" s="1"/>
  <c i="21" r="P23"/>
  <c i="21" r="O23"/>
  <c i="21" r="R22"/>
  <c i="21" r="Q22"/>
  <c i="21" r="Q83" s="1"/>
  <c i="21" r="P22"/>
  <c i="21" r="O22"/>
  <c i="21" r="R21"/>
  <c i="21" r="Q21"/>
  <c i="21" r="P21"/>
  <c i="21" r="O21"/>
  <c i="21" r="O82" s="1"/>
  <c i="21" r="R20"/>
  <c i="21" r="Q20"/>
  <c i="21" r="Q81" s="1"/>
  <c i="21" r="R19"/>
  <c i="21" r="Q19"/>
  <c i="21" r="Q80" s="1"/>
  <c i="21" r="P19"/>
  <c i="21" r="O19"/>
  <c i="21" r="R18"/>
  <c i="21" r="Q18"/>
  <c i="21" r="P18"/>
  <c i="21" r="O18"/>
  <c i="21" r="H16"/>
  <c i="21" l="1" r="AD26"/>
  <c i="21" r="AD8"/>
  <c i="21" r="AD15"/>
  <c i="21" r="AD33"/>
  <c i="21" r="AD20"/>
  <c i="21" r="AD9"/>
  <c i="21" r="AD31"/>
  <c i="21" r="AD14"/>
  <c i="21" r="AD4"/>
  <c i="21" r="AD24"/>
  <c i="21" r="AD41"/>
  <c i="21" r="U50"/>
  <c i="21" r="U42"/>
  <c i="21" r="U46"/>
  <c i="21" r="U48"/>
  <c i="21" r="AD3"/>
  <c i="21" r="AE3" s="1"/>
  <c i="21" r="U32"/>
  <c i="21" r="U49"/>
  <c i="21" r="U33"/>
  <c i="21" r="U39"/>
  <c i="21" r="U47"/>
  <c i="21" r="U38"/>
  <c i="21" r="AD19"/>
  <c i="21" r="AD42"/>
  <c i="21" r="AE42" s="1"/>
  <c i="21" r="AD25"/>
  <c i="21" r="AE25" s="1"/>
  <c i="21" r="AD29"/>
  <c i="21" r="AD13"/>
  <c i="21" r="AE13" s="1"/>
  <c i="21" r="AD45"/>
  <c i="21" r="AE45" s="1"/>
  <c i="21" r="AD36"/>
  <c i="21" r="AE36" s="1"/>
  <c i="21" r="AD40"/>
  <c i="21" r="AE40" s="1"/>
  <c i="21" r="AD44"/>
  <c i="21" r="AE44" s="1"/>
  <c i="21" r="AE4"/>
  <c i="21" r="Q62"/>
  <c i="21" r="Q85"/>
  <c i="21" r="P59"/>
  <c i="21" r="P82"/>
  <c i="21" r="Q59"/>
  <c i="21" r="Q82"/>
  <c i="21" r="R59"/>
  <c i="21" r="R82"/>
  <c i="21" r="O56"/>
  <c i="21" r="O79"/>
  <c i="21" r="Q56"/>
  <c i="21" r="Q79"/>
  <c i="21" r="Q33"/>
  <c i="21" r="Q58"/>
  <c i="21" r="L81"/>
  <c i="21" r="J84"/>
  <c i="21" r="I85"/>
  <c i="21" r="L84"/>
  <c i="21" r="I82"/>
  <c i="21" r="O59"/>
  <c i="21" r="Q63"/>
  <c i="21" r="Q60"/>
  <c i="21" r="K84"/>
  <c i="21" r="Q61"/>
  <c i="21" r="J85"/>
  <c i="21" r="Q57"/>
  <c i="21" r="AE41"/>
  <c i="21" r="K26"/>
  <c i="21" r="K35" s="1"/>
  <c i="21" r="Q35"/>
  <c i="21" r="AE43"/>
  <c i="21" r="Q51"/>
  <c i="21" r="O31"/>
  <c i="21" r="P69"/>
  <c i="21" r="Q32"/>
  <c i="21" r="Q45"/>
  <c i="21" r="I26"/>
  <c i="21" r="I36" s="1"/>
  <c i="21" r="K81"/>
  <c i="21" r="P73"/>
  <c i="21" r="Q73"/>
  <c i="21" r="R73"/>
  <c i="21" r="Q48"/>
  <c i="21" r="E26"/>
  <c i="21" r="E31" s="1"/>
  <c i="21" r="P68"/>
  <c i="21" r="O74"/>
  <c i="21" r="P75"/>
  <c i="21" r="O68"/>
  <c i="21" r="R74"/>
  <c i="21" r="P74"/>
  <c i="21" r="Q74"/>
  <c i="21" r="R68"/>
  <c i="21" r="Q68"/>
  <c i="21" r="O73"/>
  <c i="21" r="J26"/>
  <c i="21" r="J31" s="1"/>
  <c i="21" r="U37"/>
  <c i="21" r="O69"/>
  <c i="21" r="O75"/>
  <c i="21" r="I84"/>
  <c i="21" r="Q75"/>
  <c i="21" r="Q36"/>
  <c i="21" r="U45"/>
  <c i="21" r="O70"/>
  <c i="21" r="P70"/>
  <c i="21" r="U36"/>
  <c i="21" r="Q70"/>
  <c i="21" r="R70"/>
  <c i="21" r="U43"/>
  <c i="21" r="O71"/>
  <c i="21" r="I79"/>
  <c i="21" r="P71"/>
  <c i="21" r="J79"/>
  <c i="21" r="J82"/>
  <c i="21" r="Q71"/>
  <c i="21" r="K79"/>
  <c i="21" r="K82"/>
  <c i="21" r="K85"/>
  <c i="21" r="R71"/>
  <c i="21" r="L79"/>
  <c i="21" r="L82"/>
  <c i="21" r="L85"/>
  <c i="21" r="U31"/>
  <c i="21" r="U35"/>
  <c i="21" r="Q46"/>
  <c i="21" r="O72"/>
  <c i="21" r="P72"/>
  <c i="21" r="U40"/>
  <c i="21" r="O44"/>
  <c i="21" r="Q49"/>
  <c i="21" r="Q72"/>
  <c i="21" r="R72"/>
  <c i="21" r="R75"/>
  <c i="21" r="Q38"/>
  <c i="21" r="I80"/>
  <c i="21" r="I83"/>
  <c i="21" r="I86"/>
  <c i="21" r="R69"/>
  <c i="21" r="J80"/>
  <c i="21" r="J83"/>
  <c i="21" r="J86"/>
  <c i="21" r="U34"/>
  <c i="21" r="U44"/>
  <c i="21" r="K80"/>
  <c i="21" r="K83"/>
  <c i="21" r="K86"/>
  <c i="21" r="L80"/>
  <c i="21" r="L83"/>
  <c i="21" r="L86"/>
  <c i="21" r="Q69"/>
  <c i="21" r="U41"/>
  <c i="21" r="Q50"/>
  <c i="21" r="P47"/>
  <c i="21" r="Q37"/>
  <c i="20" r="AC4"/>
  <c i="20" r="AC5"/>
  <c i="20" r="AC6"/>
  <c i="20" r="AC7"/>
  <c i="20" r="AC8"/>
  <c i="20" r="AC9"/>
  <c i="20" r="AC10"/>
  <c i="20" r="AC11"/>
  <c i="20" r="AC12"/>
  <c i="20" r="AC13"/>
  <c i="20" r="AC14"/>
  <c i="20" r="AC15"/>
  <c i="20" r="AC16"/>
  <c i="20" r="AC17"/>
  <c i="20" r="AC18"/>
  <c i="20" r="AC19"/>
  <c i="20" r="AC20"/>
  <c i="20" r="AC21"/>
  <c i="20" r="AC22"/>
  <c i="20" r="AC23"/>
  <c i="20" r="AC24"/>
  <c i="20" r="AC25"/>
  <c i="20" r="AC26"/>
  <c i="20" r="AC27"/>
  <c i="20" r="AC28"/>
  <c i="20" r="AC29"/>
  <c i="20" r="AC30"/>
  <c i="20" r="AC31"/>
  <c i="20" r="AC32"/>
  <c i="20" r="AC33"/>
  <c i="20" r="AC34"/>
  <c i="20" r="AC35"/>
  <c i="20" r="AC36"/>
  <c i="20" r="AC37"/>
  <c i="20" r="AC38"/>
  <c i="20" r="O19"/>
  <c i="20" r="P19"/>
  <c i="20" r="Q19"/>
  <c i="20" r="Q80" s="1"/>
  <c i="20" r="R19"/>
  <c i="20" r="Q20"/>
  <c i="20" r="Q81" s="1"/>
  <c i="20" r="R20"/>
  <c i="20" r="O21"/>
  <c i="20" r="P21"/>
  <c i="20" r="P82" s="1"/>
  <c i="20" r="Q21"/>
  <c i="20" r="R21"/>
  <c i="20" r="O22"/>
  <c i="20" r="P22"/>
  <c i="20" r="Q22"/>
  <c i="20" r="Q83" s="1"/>
  <c i="20" r="R22"/>
  <c i="20" r="O23"/>
  <c i="20" r="P23"/>
  <c i="20" r="Q23"/>
  <c i="20" r="Q84" s="1"/>
  <c i="20" r="R23"/>
  <c i="20" r="O24"/>
  <c i="20" r="P24"/>
  <c i="20" r="Q24"/>
  <c i="20" r="Q85" s="1"/>
  <c i="20" r="R24"/>
  <c i="20" r="O25"/>
  <c i="20" r="O86" s="1"/>
  <c i="20" r="P25"/>
  <c i="20" r="P86" s="1"/>
  <c i="20" r="Q25"/>
  <c i="20" r="Q86" s="1"/>
  <c i="20" r="R25"/>
  <c i="20" r="P18"/>
  <c i="20" r="P79" s="1"/>
  <c i="20" r="Q18"/>
  <c i="20" r="R18"/>
  <c i="20" r="O18"/>
  <c i="20" r="O79" s="1"/>
  <c i="20" r="I81"/>
  <c i="20" r="J81"/>
  <c i="20" l="1" r="R63"/>
  <c i="20" r="R86"/>
  <c i="21" r="K32"/>
  <c i="21" r="K37"/>
  <c i="21" r="K31"/>
  <c i="21" r="I33"/>
  <c i="21" r="I37"/>
  <c i="21" r="K33"/>
  <c i="20" r="K82"/>
  <c i="20" r="I82"/>
  <c i="20" r="L80"/>
  <c i="21" r="K38"/>
  <c i="21" r="K36"/>
  <c i="20" r="L79"/>
  <c i="20" r="P51"/>
  <c i="20" r="P63"/>
  <c i="20" r="Q33"/>
  <c i="20" r="Q58"/>
  <c i="20" r="Q57"/>
  <c i="20" r="I79"/>
  <c i="20" r="O56"/>
  <c i="20" r="K79"/>
  <c i="20" r="I85"/>
  <c i="20" r="L82"/>
  <c i="21" r="I38"/>
  <c i="21" r="I32"/>
  <c i="20" r="K85"/>
  <c i="20" r="Q62"/>
  <c i="20" r="K84"/>
  <c i="20" r="Q61"/>
  <c i="20" r="I84"/>
  <c i="20" r="P34"/>
  <c i="20" r="P59"/>
  <c i="20" r="I80"/>
  <c i="20" r="I86"/>
  <c i="20" r="O63"/>
  <c i="20" r="J84"/>
  <c i="20" r="L83"/>
  <c i="21" r="K34"/>
  <c i="20" r="K83"/>
  <c i="20" r="Q60"/>
  <c i="20" r="J79"/>
  <c i="20" r="P56"/>
  <c i="20" r="L85"/>
  <c i="20" r="J85"/>
  <c i="20" r="L84"/>
  <c i="20" r="J83"/>
  <c i="20" r="Q51"/>
  <c i="20" r="Q63"/>
  <c i="20" r="I83"/>
  <c i="21" r="I31"/>
  <c i="21" r="I34"/>
  <c i="21" r="E37"/>
  <c i="21" r="I35"/>
  <c i="21" r="E32"/>
  <c i="21" r="E36"/>
  <c i="21" r="E38"/>
  <c i="21" r="E39"/>
  <c i="21" r="E35"/>
  <c i="21" r="E34"/>
  <c i="21" r="E33"/>
  <c i="21" r="AE31"/>
  <c i="21" r="Q34"/>
  <c i="21" r="Q47" s="1"/>
  <c i="21" r="J34"/>
  <c i="21" r="Q31"/>
  <c i="21" r="Q44" s="1"/>
  <c i="21" r="AE24" s="1"/>
  <c i="21" r="J37"/>
  <c i="21" r="J35"/>
  <c i="21" r="J36"/>
  <c i="21" r="J32"/>
  <c i="21" r="J38"/>
  <c i="21" r="J33"/>
  <c i="20" r="J80"/>
  <c i="20" r="Q38"/>
  <c i="20" r="P38"/>
  <c i="20" r="O38"/>
  <c i="20" r="Q35"/>
  <c i="20" r="Q32"/>
  <c i="20" r="O51"/>
  <c i="20" r="L86"/>
  <c i="20" r="J86"/>
  <c i="20" r="K86"/>
  <c i="20" r="P31"/>
  <c i="20" r="R38"/>
  <c i="20" r="K80"/>
  <c i="20" r="P47"/>
  <c i="20" r="O44"/>
  <c i="20" r="Q37"/>
  <c i="20" r="Q46"/>
  <c i="20" r="P44"/>
  <c i="20" r="R51"/>
  <c i="20" r="Q36"/>
  <c i="20" r="Q45"/>
  <c i="20" r="Q50"/>
  <c i="20" r="L81"/>
  <c i="20" r="K81"/>
  <c i="20" r="O31"/>
  <c i="20" r="Q48"/>
  <c i="20" r="Q49"/>
  <c i="20" r="J82"/>
  <c i="21" l="1" r="K39"/>
  <c i="21" r="I39"/>
  <c i="21" r="AE30"/>
  <c i="21" r="AE26"/>
  <c i="21" r="AE33"/>
  <c i="21" r="AE20"/>
  <c i="21" r="J39"/>
  <c i="20" r="H16"/>
  <c i="20" r="P55"/>
  <c i="20" r="Q55"/>
  <c i="20" r="R55"/>
  <c i="20" r="O55"/>
  <c i="20" r="P67"/>
  <c i="20" r="P78" s="1"/>
  <c i="20" r="Q67"/>
  <c i="20" r="Q78" s="1"/>
  <c i="20" r="R67"/>
  <c i="20" r="R78" s="1"/>
  <c i="20" r="O67"/>
  <c i="20" r="O78" s="1"/>
  <c i="20" r="K18"/>
  <c i="20" r="J18"/>
  <c i="20" r="I18"/>
  <c i="20" r="E30"/>
  <c i="20" r="AB38"/>
  <c i="20" r="AA38"/>
  <c i="20" r="AB37"/>
  <c i="20" r="AA37"/>
  <c i="20" r="AB36"/>
  <c i="20" r="AA36"/>
  <c i="20" r="AB35"/>
  <c i="20" r="AA35"/>
  <c i="20" r="AB34"/>
  <c i="20" r="AA34"/>
  <c i="20" r="AB33"/>
  <c i="20" r="AA33"/>
  <c i="20" r="AB32"/>
  <c i="20" r="AA32"/>
  <c i="20" r="AB31"/>
  <c i="20" r="AA31"/>
  <c i="20" r="AB30"/>
  <c i="20" r="AA30"/>
  <c i="20" r="AB29"/>
  <c i="20" r="AA29"/>
  <c i="20" r="AB28"/>
  <c i="20" r="AA28"/>
  <c i="20" r="AB27"/>
  <c i="20" r="AA27"/>
  <c i="20" r="AB26"/>
  <c i="20" r="AA26"/>
  <c i="20" r="AB25"/>
  <c i="20" r="AA25"/>
  <c i="20" r="AB24"/>
  <c i="20" r="AA24"/>
  <c i="20" r="AB23"/>
  <c i="20" r="AA23"/>
  <c i="20" r="AB22"/>
  <c i="20" r="AA22"/>
  <c i="20" r="AD22" s="1"/>
  <c i="20" r="AB21"/>
  <c i="20" r="AA21"/>
  <c i="20" r="AB20"/>
  <c i="20" r="AA20"/>
  <c i="20" r="AB19"/>
  <c i="20" r="AA19"/>
  <c i="20" r="AB18"/>
  <c i="20" r="AA18"/>
  <c i="20" r="AB17"/>
  <c i="20" r="AA17"/>
  <c i="20" r="AD17" s="1"/>
  <c i="20" r="AB16"/>
  <c i="20" r="AA16"/>
  <c i="20" r="AB15"/>
  <c i="20" r="AA15"/>
  <c i="20" r="AB14"/>
  <c i="20" r="AA14"/>
  <c i="20" r="AB13"/>
  <c i="20" r="AA13"/>
  <c i="20" r="AB12"/>
  <c i="20" r="AA12"/>
  <c i="20" r="AB11"/>
  <c i="20" r="AA11"/>
  <c i="20" r="AB10"/>
  <c i="20" r="AA10"/>
  <c i="20" r="AB9"/>
  <c i="20" r="AA9"/>
  <c i="20" r="AB8"/>
  <c i="20" r="AA8"/>
  <c i="20" r="AB7"/>
  <c i="20" r="AA7"/>
  <c i="20" r="AB6"/>
  <c i="20" r="AA6"/>
  <c i="20" r="AB5"/>
  <c i="20" r="AA5"/>
  <c i="20" r="AB4"/>
  <c i="20" r="AA4"/>
  <c i="20" r="AC3"/>
  <c i="20" r="AB3"/>
  <c i="20" r="AA3"/>
  <c i="9" r="N12"/>
  <c i="9" r="O12"/>
  <c i="9" r="P12"/>
  <c i="9" r="Q12"/>
  <c i="9" r="D12"/>
  <c i="9" r="E12"/>
  <c i="9" r="F12"/>
  <c i="9" r="G12"/>
  <c i="6" r="N12"/>
  <c i="6" r="O12"/>
  <c i="6" r="P12"/>
  <c i="6" r="Q12"/>
  <c i="6" r="D12"/>
  <c i="6" r="E12"/>
  <c i="6" r="F12"/>
  <c i="6" r="G12"/>
  <c i="8" r="N12"/>
  <c i="8" r="O12"/>
  <c i="8" r="P12"/>
  <c i="8" r="Q12"/>
  <c i="8" r="D12"/>
  <c i="8" r="E12"/>
  <c i="8" r="F12"/>
  <c i="8" r="G12"/>
  <c i="10" r="N12"/>
  <c i="10" r="O12"/>
  <c i="10" r="P12"/>
  <c i="10" r="Q12"/>
  <c i="10" r="D12"/>
  <c i="10" r="E12"/>
  <c i="10" r="F12"/>
  <c i="10" r="G12"/>
  <c i="5" r="N12"/>
  <c i="5" r="O12"/>
  <c i="5" r="P12"/>
  <c i="5" r="Q12"/>
  <c i="5" r="D12"/>
  <c i="5" r="E12"/>
  <c i="5" r="F12"/>
  <c i="5" r="G12"/>
  <c i="4" r="N12"/>
  <c i="4" r="O12"/>
  <c i="4" r="P12"/>
  <c i="4" r="Q12"/>
  <c i="4" r="D12"/>
  <c i="4" r="E12"/>
  <c i="4" r="F12"/>
  <c i="4" r="G12"/>
  <c i="20" l="1" r="AD37"/>
  <c i="20" r="AE37" s="1"/>
  <c i="20" r="AD38"/>
  <c i="20" r="AE38" s="1"/>
  <c i="20" r="AD28"/>
  <c i="20" r="AE28" s="1"/>
  <c i="20" r="AD36"/>
  <c i="20" r="AE36" s="1"/>
  <c i="20" r="AD27"/>
  <c i="20" r="AE27" s="1"/>
  <c i="20" r="AD12"/>
  <c i="20" r="AE12" s="1"/>
  <c i="20" r="AD32"/>
  <c i="20" r="AE32" s="1"/>
  <c i="20" r="U38"/>
  <c i="20" r="U47"/>
  <c i="20" r="U46"/>
  <c i="20" r="U36"/>
  <c i="20" r="U48"/>
  <c i="20" r="U50"/>
  <c i="20" r="U49"/>
  <c i="20" r="U39"/>
  <c i="20" r="AD3"/>
  <c i="20" r="AE3" s="1"/>
  <c i="20" r="U35"/>
  <c i="20" r="AD18"/>
  <c i="20" r="AE18" s="1"/>
  <c i="20" r="AD13"/>
  <c i="20" r="AE13" s="1"/>
  <c i="20" r="AD35"/>
  <c i="20" r="AE35" s="1"/>
  <c i="20" r="AD4"/>
  <c i="20" r="AE4" s="1"/>
  <c i="20" r="AD25"/>
  <c i="20" r="AE25" s="1"/>
  <c i="20" r="AD14"/>
  <c i="20" r="AE14" s="1"/>
  <c i="20" r="R74"/>
  <c i="21" r="AE15"/>
  <c i="20" r="U42"/>
  <c i="20" r="U37"/>
  <c i="20" r="U40"/>
  <c i="20" r="U41"/>
  <c i="20" r="U43"/>
  <c i="20" r="U44"/>
  <c i="20" r="U45"/>
  <c i="20" r="U31"/>
  <c i="20" r="U32"/>
  <c i="20" r="U33"/>
  <c i="20" r="U34"/>
  <c i="20" r="O73"/>
  <c i="20" r="O69"/>
  <c i="20" r="Q69"/>
  <c i="20" r="P73"/>
  <c i="20" r="Q75"/>
  <c i="20" r="O68"/>
  <c i="20" r="R71"/>
  <c i="20" r="Q73"/>
  <c i="20" r="P75"/>
  <c i="20" r="O70"/>
  <c i="20" r="R73"/>
  <c i="20" r="O75"/>
  <c i="20" r="R69"/>
  <c i="20" r="P70"/>
  <c i="20" r="P71"/>
  <c i="20" r="Q72"/>
  <c i="20" r="O74"/>
  <c i="20" r="Q74"/>
  <c i="20" r="P69"/>
  <c i="20" r="R75"/>
  <c i="20" r="P68"/>
  <c i="20" r="Q70"/>
  <c i="20" r="Q71"/>
  <c i="20" r="P74"/>
  <c i="20" r="Q68"/>
  <c i="20" r="P72"/>
  <c i="20" r="R72"/>
  <c i="20" r="O71"/>
  <c i="20" r="R70"/>
  <c i="20" r="R68"/>
  <c i="20" r="O72"/>
  <c i="20" r="I26"/>
  <c i="20" r="I34" s="1"/>
  <c i="20" r="K26"/>
  <c i="20" r="K35" s="1"/>
  <c i="20" r="J26"/>
  <c i="20" r="J31" s="1"/>
  <c i="1" r="N12"/>
  <c i="1" r="O12"/>
  <c i="1" r="P12"/>
  <c i="1" r="Q12"/>
  <c i="1" r="D12"/>
  <c i="1" r="E12"/>
  <c i="1" r="F12"/>
  <c i="1" r="G12"/>
  <c i="21" l="1" r="AE19"/>
  <c i="20" r="I33"/>
  <c i="20" r="I31"/>
  <c i="20" r="K31"/>
  <c i="20" r="I35"/>
  <c i="20" r="K34"/>
  <c i="20" r="K38"/>
  <c i="20" r="K37"/>
  <c i="20" r="K33"/>
  <c i="20" r="K32"/>
  <c i="20" r="I36"/>
  <c i="20" r="K36"/>
  <c i="20" r="I32"/>
  <c i="20" r="I38"/>
  <c i="20" r="I37"/>
  <c i="20" r="J35"/>
  <c i="20" r="J34"/>
  <c i="20" r="J37"/>
  <c i="20" r="J33"/>
  <c i="20" r="J38"/>
  <c i="20" r="J32"/>
  <c i="20" r="J36"/>
  <c i="20" l="1" r="K39"/>
  <c i="20" r="I39"/>
  <c i="20" r="J39"/>
  <c i="7" l="1" r="R12"/>
  <c i="7" r="Q12"/>
  <c i="7" r="P12"/>
  <c i="7" r="O12"/>
  <c i="7" r="N12"/>
  <c i="7" r="M12"/>
  <c i="7" r="L12"/>
  <c i="1" r="M12"/>
  <c i="1" r="L12"/>
  <c i="5" r="M12"/>
  <c i="5" r="L12"/>
  <c i="10" r="M12"/>
  <c i="10" r="L12"/>
  <c i="8" r="M12"/>
  <c i="8" r="L12"/>
  <c i="6" r="M12"/>
  <c i="6" r="L12"/>
  <c i="9" r="M12"/>
  <c i="9" r="L12"/>
  <c i="4" r="M12"/>
  <c i="4" r="L12"/>
  <c i="5" l="1" r="R12"/>
  <c i="5" r="N20"/>
  <c i="5" r="O20"/>
  <c i="5" r="P20"/>
  <c i="5" r="P21"/>
  <c i="5" r="Q20"/>
  <c i="5" r="N21"/>
  <c i="5" r="Q21"/>
  <c i="5" r="O21"/>
  <c i="5" r="P22"/>
  <c i="5" r="Q22"/>
  <c i="5" r="N17"/>
  <c i="5" r="N23"/>
  <c i="5" r="P17"/>
  <c i="5" r="P23"/>
  <c i="5" r="Q17"/>
  <c i="5" r="Q23"/>
  <c i="5" r="O19"/>
  <c i="5" r="O25"/>
  <c i="5" r="P19"/>
  <c i="5" r="P25"/>
  <c i="5" r="Q18"/>
  <c i="5" r="N19"/>
  <c i="5" r="Q19"/>
  <c i="5" r="N18"/>
  <c i="5" r="N22"/>
  <c i="5" r="O22"/>
  <c i="5" r="O23"/>
  <c i="5" r="N24"/>
  <c i="5" r="O24"/>
  <c i="5" r="P24"/>
  <c i="5" r="Q24"/>
  <c i="5" r="N25"/>
  <c i="5" r="Q25"/>
  <c i="5" r="O18"/>
  <c i="5" r="O17"/>
  <c i="5" r="P18"/>
  <c i="8" r="R12"/>
  <c i="10" r="R12"/>
  <c i="9" r="R12"/>
  <c i="6" r="R12"/>
  <c i="4" r="R12"/>
  <c i="7" r="S11"/>
  <c i="25" r="L24" s="1"/>
  <c i="11" r="U10" s="1"/>
  <c i="7" r="S10"/>
  <c i="25" r="L23" s="1"/>
  <c i="11" r="U9" s="1"/>
  <c i="7" r="S9"/>
  <c i="25" r="L22" s="1"/>
  <c i="11" r="U8" s="1"/>
  <c i="7" r="S8"/>
  <c i="25" r="L21" s="1"/>
  <c i="11" r="U7" s="1"/>
  <c i="7" r="S7"/>
  <c i="25" r="L20" s="1"/>
  <c i="11" r="U6" s="1"/>
  <c i="7" r="S6"/>
  <c i="25" r="L19" s="1"/>
  <c i="11" r="U5" s="1"/>
  <c i="7" r="S5"/>
  <c i="25" r="L18" s="1"/>
  <c i="11" r="U4" s="1"/>
  <c i="4" l="1" r="N17"/>
  <c i="4" r="N23"/>
  <c i="4" r="P17"/>
  <c i="4" r="Q18"/>
  <c i="4" r="O17"/>
  <c i="4" r="O23"/>
  <c i="4" r="P23"/>
  <c i="4" r="P18"/>
  <c i="4" r="Q24"/>
  <c i="4" r="P24"/>
  <c i="4" r="Q17"/>
  <c i="4" r="Q23"/>
  <c i="4" r="O24"/>
  <c i="4" r="N18"/>
  <c i="4" r="N24"/>
  <c i="4" r="O18"/>
  <c i="4" r="P19"/>
  <c i="4" r="P25"/>
  <c i="4" r="Q19"/>
  <c i="4" r="Q25"/>
  <c i="4" r="P20"/>
  <c i="4" r="Q20"/>
  <c i="4" r="O22"/>
  <c i="4" r="N22"/>
  <c i="4" r="O19"/>
  <c i="4" r="P22"/>
  <c i="4" r="Q22"/>
  <c i="4" r="N19"/>
  <c i="4" r="N25"/>
  <c i="4" r="O25"/>
  <c i="4" r="P21"/>
  <c i="4" r="N20"/>
  <c i="4" r="O21"/>
  <c i="4" r="O20"/>
  <c i="4" r="N21"/>
  <c i="4" r="Q21"/>
  <c i="10" r="N17"/>
  <c i="10" r="N23"/>
  <c i="10" r="P23"/>
  <c i="10" r="O17"/>
  <c i="10" r="O23"/>
  <c i="10" r="P17"/>
  <c i="10" r="Q24"/>
  <c i="10" r="P24"/>
  <c i="10" r="Q17"/>
  <c i="10" r="Q23"/>
  <c i="10" r="O24"/>
  <c i="10" r="N18"/>
  <c i="10" r="N24"/>
  <c i="10" r="O18"/>
  <c i="10" r="P18"/>
  <c i="10" r="Q18"/>
  <c i="10" r="P19"/>
  <c i="10" r="P25"/>
  <c i="10" r="Q19"/>
  <c i="10" r="Q25"/>
  <c i="10" r="N20"/>
  <c i="10" r="P20"/>
  <c i="10" r="Q20"/>
  <c i="10" r="O22"/>
  <c i="10" r="P22"/>
  <c i="10" r="N25"/>
  <c i="10" r="N19"/>
  <c i="10" r="O19"/>
  <c i="10" r="O20"/>
  <c i="10" r="N21"/>
  <c i="10" r="O21"/>
  <c i="10" r="P21"/>
  <c i="10" r="Q21"/>
  <c i="10" r="N22"/>
  <c i="10" r="Q22"/>
  <c i="10" r="O25"/>
  <c i="9" r="N20"/>
  <c i="9" r="P21"/>
  <c i="9" r="O20"/>
  <c i="9" r="P20"/>
  <c i="9" r="Q20"/>
  <c i="9" r="Q21"/>
  <c i="9" r="N21"/>
  <c i="9" r="O21"/>
  <c i="9" r="P22"/>
  <c i="9" r="Q22"/>
  <c i="9" r="N17"/>
  <c i="9" r="N23"/>
  <c i="9" r="P17"/>
  <c i="9" r="P23"/>
  <c i="9" r="Q17"/>
  <c i="9" r="Q23"/>
  <c i="9" r="O19"/>
  <c i="9" r="O25"/>
  <c i="9" r="P19"/>
  <c i="9" r="P25"/>
  <c i="9" r="O17"/>
  <c i="9" r="N18"/>
  <c i="9" r="O18"/>
  <c i="9" r="Q24"/>
  <c i="9" r="P18"/>
  <c i="9" r="Q18"/>
  <c i="9" r="N19"/>
  <c i="9" r="Q19"/>
  <c i="9" r="N22"/>
  <c i="9" r="O22"/>
  <c i="9" r="O23"/>
  <c i="9" r="N24"/>
  <c i="9" r="O24"/>
  <c i="9" r="P24"/>
  <c i="9" r="N25"/>
  <c i="9" r="Q25"/>
  <c i="6" r="N17"/>
  <c i="6" r="N23"/>
  <c i="6" r="P23"/>
  <c i="6" r="P24"/>
  <c i="6" r="O17"/>
  <c i="6" r="O23"/>
  <c i="6" r="P17"/>
  <c i="6" r="Q24"/>
  <c i="6" r="Q17"/>
  <c i="6" r="Q23"/>
  <c i="6" r="N18"/>
  <c i="6" r="N24"/>
  <c i="6" r="O18"/>
  <c i="6" r="O24"/>
  <c i="6" r="P18"/>
  <c i="6" r="Q18"/>
  <c i="6" r="P19"/>
  <c i="6" r="P25"/>
  <c i="6" r="Q19"/>
  <c i="6" r="Q25"/>
  <c i="6" r="N20"/>
  <c i="6" r="P20"/>
  <c i="6" r="Q20"/>
  <c i="6" r="O22"/>
  <c i="6" r="P22"/>
  <c i="6" r="N21"/>
  <c i="6" r="O21"/>
  <c i="6" r="P21"/>
  <c i="6" r="Q21"/>
  <c i="6" r="N22"/>
  <c i="6" r="Q22"/>
  <c i="6" r="N25"/>
  <c i="6" r="O25"/>
  <c i="6" r="N19"/>
  <c i="6" r="O19"/>
  <c i="6" r="O20"/>
  <c i="8" r="N20"/>
  <c i="8" r="O20"/>
  <c i="8" r="P20"/>
  <c i="8" r="P21"/>
  <c i="8" r="Q21"/>
  <c i="8" r="Q20"/>
  <c i="8" r="N21"/>
  <c i="8" r="O21"/>
  <c i="8" r="P22"/>
  <c i="8" r="Q22"/>
  <c i="8" r="N17"/>
  <c i="8" r="N23"/>
  <c i="8" r="P17"/>
  <c i="8" r="P23"/>
  <c i="8" r="Q17"/>
  <c i="8" r="Q23"/>
  <c i="8" r="O19"/>
  <c i="8" r="O25"/>
  <c i="8" r="P19"/>
  <c i="8" r="P25"/>
  <c i="8" r="Q24"/>
  <c i="8" r="N25"/>
  <c i="8" r="Q25"/>
  <c i="8" r="N24"/>
  <c i="8" r="Q18"/>
  <c i="8" r="P24"/>
  <c i="8" r="O17"/>
  <c i="8" r="N18"/>
  <c i="8" r="O18"/>
  <c i="8" r="P18"/>
  <c i="8" r="N19"/>
  <c i="8" r="Q19"/>
  <c i="8" r="N22"/>
  <c i="8" r="O22"/>
  <c i="8" r="O23"/>
  <c i="8" r="O24"/>
  <c i="7" r="S12"/>
  <c i="11" r="U11" s="1"/>
  <c i="11" r="U12" s="1"/>
  <c i="9" r="C12"/>
  <c i="9" r="B12"/>
  <c i="6" r="C12"/>
  <c i="6" r="B12"/>
  <c i="8" r="C12"/>
  <c i="8" r="B12"/>
  <c i="10" r="C12"/>
  <c i="10" r="B12"/>
  <c i="5" r="C12"/>
  <c i="5" r="B12"/>
  <c i="4" r="C12"/>
  <c i="4" r="B12"/>
  <c i="4" r="R11"/>
  <c i="21" r="L25" s="1"/>
  <c i="11" r="R11" s="1"/>
  <c i="4" r="R10"/>
  <c i="21" r="L24" s="1"/>
  <c i="11" r="R10" s="1"/>
  <c i="4" r="R9"/>
  <c i="21" r="L23" s="1"/>
  <c i="11" r="R9" s="1"/>
  <c i="4" r="R8"/>
  <c i="21" r="L22" s="1"/>
  <c i="4" r="R7"/>
  <c i="21" r="L21" s="1"/>
  <c i="11" r="R7" s="1"/>
  <c i="4" r="R6"/>
  <c i="21" r="L20" s="1"/>
  <c i="11" r="R6" s="1"/>
  <c i="4" r="R5"/>
  <c i="21" r="L19" s="1"/>
  <c i="11" r="R5" s="1"/>
  <c i="4" r="R4"/>
  <c i="5" r="R11"/>
  <c i="23" r="L25" s="1"/>
  <c i="11" r="S11" s="1"/>
  <c i="5" r="R10"/>
  <c i="23" r="L24" s="1"/>
  <c i="11" r="S10" s="1"/>
  <c i="5" r="R9"/>
  <c i="23" r="L23" s="1"/>
  <c i="11" r="S9" s="1"/>
  <c i="5" r="R8"/>
  <c i="23" r="L22" s="1"/>
  <c i="11" r="S8" s="1"/>
  <c i="5" r="R7"/>
  <c i="23" r="L21" s="1"/>
  <c i="11" r="S7" s="1"/>
  <c i="5" r="R6"/>
  <c i="23" r="L20" s="1"/>
  <c i="11" r="S6" s="1"/>
  <c i="5" r="R5"/>
  <c i="23" r="L19" s="1"/>
  <c i="11" r="S5" s="1"/>
  <c i="5" r="R4"/>
  <c i="23" r="L18" s="1"/>
  <c i="11" r="S4" s="1"/>
  <c i="10" r="R11"/>
  <c i="10" r="R10"/>
  <c i="10" r="R9"/>
  <c i="10" r="R8"/>
  <c i="10" r="R7"/>
  <c i="10" r="R6"/>
  <c i="10" r="R5"/>
  <c i="10" r="R4"/>
  <c i="8" r="R11"/>
  <c i="8" r="R10"/>
  <c i="8" r="R9"/>
  <c i="8" r="R8"/>
  <c i="8" r="R7"/>
  <c i="8" r="R6"/>
  <c i="8" r="R5"/>
  <c i="8" r="R4"/>
  <c i="6" r="R11"/>
  <c i="6" r="R10"/>
  <c i="6" r="R9"/>
  <c i="6" r="R8"/>
  <c i="6" r="R7"/>
  <c i="6" r="R6"/>
  <c i="6" r="R5"/>
  <c i="6" r="R4"/>
  <c i="9" r="R11"/>
  <c i="9" r="R10"/>
  <c i="9" r="R9"/>
  <c i="9" r="R8"/>
  <c i="9" r="R7"/>
  <c i="9" r="R6"/>
  <c i="9" r="R5"/>
  <c i="9" r="R4"/>
  <c i="7" r="H12"/>
  <c i="7" r="G12"/>
  <c i="7" r="F12"/>
  <c i="7" r="E12"/>
  <c i="7" r="D12"/>
  <c i="7" r="C12"/>
  <c i="7" r="B12"/>
  <c i="1" r="R11"/>
  <c i="1" r="R10"/>
  <c i="1" r="R9"/>
  <c i="1" r="R8"/>
  <c i="1" r="R7"/>
  <c i="1" r="R6"/>
  <c i="1" r="R5"/>
  <c i="1" r="R4"/>
  <c i="1" r="C12"/>
  <c i="1" r="B12"/>
  <c i="11" l="1" r="U22"/>
  <c i="8" r="I7"/>
  <c i="8" r="J7" s="1"/>
  <c i="8" r="I8"/>
  <c i="8" r="J8" s="1"/>
  <c i="11" r="E11"/>
  <c i="7" r="I5"/>
  <c i="7" r="I10"/>
  <c i="7" r="I7"/>
  <c i="7" r="I11"/>
  <c i="7" r="I6"/>
  <c i="4" r="I6"/>
  <c i="4" r="I9"/>
  <c i="4" r="I11"/>
  <c i="4" r="I5"/>
  <c i="4" r="I10"/>
  <c i="4" r="I4"/>
  <c i="5" r="I10"/>
  <c i="5" r="I5"/>
  <c i="5" r="I4"/>
  <c i="5" r="I6"/>
  <c i="5" r="I11"/>
  <c i="5" r="I9"/>
  <c i="6" r="I7"/>
  <c i="6" r="J7" s="1"/>
  <c i="6" r="I8"/>
  <c i="6" r="J8" s="1"/>
  <c i="10" r="I8"/>
  <c i="10" r="J8" s="1"/>
  <c i="10" r="I7"/>
  <c i="10" r="J7" s="1"/>
  <c i="1" r="I11"/>
  <c i="1" r="I10"/>
  <c i="1" r="I9"/>
  <c i="1" r="I6"/>
  <c i="1" r="I5"/>
  <c i="1" r="I4"/>
  <c i="9" r="I8"/>
  <c i="9" r="J8" s="1"/>
  <c i="9" r="I7"/>
  <c i="9" r="J7" s="1"/>
  <c i="11" r="R8"/>
  <c i="24" r="L22"/>
  <c i="20" r="L23"/>
  <c i="11" r="Q9" s="1"/>
  <c i="11" r="E9"/>
  <c i="24" r="L25"/>
  <c i="11" r="T11" s="1"/>
  <c i="24" r="L23"/>
  <c i="11" r="T9" s="1"/>
  <c i="20" r="L25"/>
  <c i="11" r="Q11" s="1"/>
  <c i="24" r="L19"/>
  <c i="11" r="T5" s="1"/>
  <c i="24" r="L24"/>
  <c i="11" r="T10" s="1"/>
  <c i="20" r="L20"/>
  <c i="11" r="Q6" s="1"/>
  <c i="11" r="E6"/>
  <c i="24" r="L21"/>
  <c i="11" r="T7" s="1"/>
  <c i="11" r="E10"/>
  <c i="20" r="L24"/>
  <c i="11" r="Q10" s="1"/>
  <c i="24" r="L20"/>
  <c i="11" r="T6" s="1"/>
  <c i="20" r="L19"/>
  <c i="11" r="Q5" s="1"/>
  <c i="11" r="E5"/>
  <c i="20" r="L21"/>
  <c i="11" r="E7"/>
  <c i="20" r="L22"/>
  <c i="11" r="E8"/>
  <c i="25" r="L26"/>
  <c i="25" r="L31" s="1"/>
  <c i="11" r="M7"/>
  <c i="11" r="U21"/>
  <c i="11" r="U19"/>
  <c i="11" r="S12"/>
  <c i="11" r="U25"/>
  <c i="11" r="U24"/>
  <c i="11" r="U17"/>
  <c i="11" r="U23"/>
  <c i="11" r="U18"/>
  <c i="11" r="U20"/>
  <c i="24" r="L18"/>
  <c i="11" r="T4" s="1"/>
  <c i="23" r="L26"/>
  <c i="23" r="L39" s="1"/>
  <c i="21" r="L18"/>
  <c i="11" r="R4" s="1"/>
  <c i="20" r="L18"/>
  <c i="11" r="Q4" s="1"/>
  <c i="1" r="R12"/>
  <c i="6" r="M24"/>
  <c i="9" r="I12"/>
  <c i="11" r="E4"/>
  <c i="8" r="R18"/>
  <c i="8" r="V31" s="1"/>
  <c i="7" r="I12"/>
  <c i="7" l="1" r="J6"/>
  <c i="7" r="J11"/>
  <c i="11" r="M10" s="1"/>
  <c i="7" r="J7"/>
  <c i="7" r="J10"/>
  <c i="7" r="J5"/>
  <c i="4" r="J9"/>
  <c i="4" r="J10"/>
  <c i="4" r="J5"/>
  <c i="11" r="J5" s="1"/>
  <c i="8" r="I10"/>
  <c i="6" r="I11"/>
  <c i="8" r="I4"/>
  <c i="11" r="S25"/>
  <c i="11" r="V5"/>
  <c i="9" r="I11"/>
  <c i="8" r="I9"/>
  <c i="11" r="V11"/>
  <c i="9" r="I10"/>
  <c i="9" r="J10" s="1"/>
  <c i="11" r="B7"/>
  <c i="6" r="I4"/>
  <c i="6" r="I5"/>
  <c i="8" r="I6"/>
  <c i="11" r="B8"/>
  <c i="10" r="I9"/>
  <c i="10" r="I4"/>
  <c i="11" r="L7"/>
  <c i="9" r="I4"/>
  <c i="10" r="I11"/>
  <c i="10" r="I5"/>
  <c i="6" r="I9"/>
  <c i="4" r="I12"/>
  <c i="4" r="F22" s="1"/>
  <c i="4" r="P35" s="1"/>
  <c i="6" r="I10"/>
  <c i="10" r="I10"/>
  <c i="6" r="I6"/>
  <c i="9" r="I9"/>
  <c i="8" r="I5"/>
  <c i="5" r="I12"/>
  <c i="5" r="I24" s="1"/>
  <c i="5" r="U37" s="1"/>
  <c i="10" r="I6"/>
  <c i="9" r="I6"/>
  <c i="9" r="I5"/>
  <c i="8" r="I11"/>
  <c i="25" r="L37"/>
  <c i="11" r="Q8"/>
  <c i="11" r="T8"/>
  <c i="11" r="T12" s="1"/>
  <c i="11" r="T25" s="1"/>
  <c i="11" r="Q7"/>
  <c i="11" r="V7" s="1"/>
  <c i="11" r="V10"/>
  <c i="11" r="V6"/>
  <c i="25" r="L38"/>
  <c i="25" r="L34"/>
  <c i="25" r="L36"/>
  <c i="25" r="L33"/>
  <c i="25" r="L32"/>
  <c i="25" r="L35"/>
  <c i="25" r="L39"/>
  <c i="11" r="V9"/>
  <c i="11" r="S23"/>
  <c i="11" r="S24"/>
  <c i="9" r="H19"/>
  <c i="9" r="H18"/>
  <c i="9" r="H23"/>
  <c i="9" r="H17"/>
  <c i="9" r="H20"/>
  <c i="9" r="H22"/>
  <c i="9" r="H21"/>
  <c i="9" r="H24"/>
  <c i="9" r="H25"/>
  <c i="11" r="S22"/>
  <c i="11" r="S21"/>
  <c i="11" r="S20"/>
  <c i="23" r="L32"/>
  <c i="23" r="L35"/>
  <c i="23" r="L34"/>
  <c i="11" r="S18"/>
  <c i="11" r="V4"/>
  <c i="23" r="L31"/>
  <c i="23" r="L38"/>
  <c i="11" r="S17"/>
  <c i="11" r="S19"/>
  <c i="23" r="L36"/>
  <c i="11" r="R12"/>
  <c i="24" r="L26"/>
  <c i="24" r="L39" s="1"/>
  <c i="23" r="L33"/>
  <c i="23" r="L37"/>
  <c i="21" r="L26"/>
  <c i="21" r="L39" s="1"/>
  <c i="20" r="L26"/>
  <c i="20" r="L31" s="1"/>
  <c i="1" r="N20"/>
  <c i="1" r="P20"/>
  <c i="1" r="O20"/>
  <c i="1" r="Q20"/>
  <c i="1" r="P21"/>
  <c i="1" r="N21"/>
  <c i="1" r="O21"/>
  <c i="1" r="Q21"/>
  <c i="1" r="P22"/>
  <c i="1" r="Q22"/>
  <c i="1" r="P17"/>
  <c i="1" r="P23"/>
  <c i="1" r="Q17"/>
  <c i="1" r="Q23"/>
  <c i="1" r="O19"/>
  <c i="1" r="O22"/>
  <c i="1" r="N18"/>
  <c i="1" r="P19"/>
  <c i="1" r="N23"/>
  <c i="1" r="P18"/>
  <c i="1" r="O23"/>
  <c i="1" r="Q18"/>
  <c i="1" r="N24"/>
  <c i="1" r="O24"/>
  <c i="1" r="P24"/>
  <c i="1" r="Q24"/>
  <c i="1" r="Q25"/>
  <c i="1" r="O18"/>
  <c i="1" r="P25"/>
  <c i="1" r="O17"/>
  <c i="1" r="N19"/>
  <c i="1" r="N17"/>
  <c i="1" r="Q19"/>
  <c i="1" r="N22"/>
  <c i="1" r="N25"/>
  <c i="1" r="O25"/>
  <c i="9" r="C19"/>
  <c i="9" r="D17"/>
  <c i="9" r="N30" s="1"/>
  <c i="9" r="D23"/>
  <c i="9" r="N36" s="1"/>
  <c i="9" r="G18"/>
  <c i="9" r="Q31" s="1"/>
  <c i="9" r="E17"/>
  <c i="9" r="O30" s="1"/>
  <c i="9" r="E23"/>
  <c i="9" r="O36" s="1"/>
  <c i="9" r="F18"/>
  <c i="9" r="P31" s="1"/>
  <c i="9" r="G24"/>
  <c i="9" r="Q37" s="1"/>
  <c i="9" r="F17"/>
  <c i="9" r="P30" s="1"/>
  <c i="9" r="F23"/>
  <c i="9" r="P36" s="1"/>
  <c i="9" r="G17"/>
  <c i="9" r="Q30" s="1"/>
  <c i="9" r="G23"/>
  <c i="9" r="Q36" s="1"/>
  <c i="9" r="F24"/>
  <c i="9" r="P37" s="1"/>
  <c i="9" r="D18"/>
  <c i="9" r="N31" s="1"/>
  <c i="9" r="D24"/>
  <c i="9" r="N37" s="1"/>
  <c i="9" r="E18"/>
  <c i="9" r="O31" s="1"/>
  <c i="9" r="E24"/>
  <c i="9" r="O37" s="1"/>
  <c i="9" r="F19"/>
  <c i="9" r="P32" s="1"/>
  <c i="9" r="F25"/>
  <c i="9" r="P38" s="1"/>
  <c i="9" r="G19"/>
  <c i="9" r="Q32" s="1"/>
  <c i="9" r="G25"/>
  <c i="9" r="Q38" s="1"/>
  <c i="9" r="D20"/>
  <c i="9" r="N33" s="1"/>
  <c i="9" r="F20"/>
  <c i="9" r="P33" s="1"/>
  <c i="9" r="G20"/>
  <c i="9" r="Q33" s="1"/>
  <c i="9" r="E22"/>
  <c i="9" r="O35" s="1"/>
  <c i="9" r="F22"/>
  <c i="9" r="P35" s="1"/>
  <c i="9" r="G21"/>
  <c i="9" r="Q34" s="1"/>
  <c i="9" r="D22"/>
  <c i="9" r="N35" s="1"/>
  <c i="9" r="G22"/>
  <c i="9" r="Q35" s="1"/>
  <c i="9" r="D25"/>
  <c i="9" r="N38" s="1"/>
  <c i="9" r="E25"/>
  <c i="9" r="O38" s="1"/>
  <c i="9" r="D19"/>
  <c i="9" r="N32" s="1"/>
  <c i="9" r="E19"/>
  <c i="9" r="O32" s="1"/>
  <c i="9" r="E20"/>
  <c i="9" r="O33" s="1"/>
  <c i="9" r="D21"/>
  <c i="9" r="N34" s="1"/>
  <c i="9" r="E21"/>
  <c i="9" r="O34" s="1"/>
  <c i="9" r="F21"/>
  <c i="9" r="P34" s="1"/>
  <c i="7" r="I22"/>
  <c i="9" r="C25"/>
  <c i="9" r="B17"/>
  <c i="9" r="B22"/>
  <c i="9" r="B18"/>
  <c i="7" r="S23"/>
  <c i="7" r="N21"/>
  <c i="7" r="R21"/>
  <c i="7" r="M21"/>
  <c i="7" r="O21"/>
  <c i="7" r="S21"/>
  <c i="7" r="L21"/>
  <c i="7" r="P21"/>
  <c i="7" r="Q21"/>
  <c i="4" r="M25"/>
  <c i="5" r="L22"/>
  <c i="8" r="R22"/>
  <c i="8" r="V35" s="1"/>
  <c i="10" r="L25"/>
  <c i="9" r="M25"/>
  <c i="6" r="M20"/>
  <c i="6" r="M25"/>
  <c i="6" r="L17"/>
  <c i="6" r="R17"/>
  <c i="6" r="V30" s="1"/>
  <c i="6" r="L19"/>
  <c i="1" r="R22"/>
  <c i="1" r="V35" s="1"/>
  <c i="9" r="B24"/>
  <c i="9" r="I20"/>
  <c i="9" r="U33" s="1"/>
  <c i="9" r="I23"/>
  <c i="9" r="U36" s="1"/>
  <c i="9" r="B20"/>
  <c i="9" r="C24"/>
  <c i="9" r="C23"/>
  <c i="9" r="C20"/>
  <c i="9" r="B23"/>
  <c i="9" r="I21"/>
  <c i="9" r="U34" s="1"/>
  <c i="9" r="C22"/>
  <c i="9" r="C18"/>
  <c i="9" r="I25"/>
  <c i="9" r="U38" s="1"/>
  <c i="9" r="B25"/>
  <c i="9" r="B21"/>
  <c i="9" r="B19"/>
  <c i="9" r="C21"/>
  <c i="9" r="C17"/>
  <c i="6" r="M21"/>
  <c i="6" r="M22"/>
  <c i="6" r="R18"/>
  <c i="6" r="V31" s="1"/>
  <c i="6" r="M23"/>
  <c i="6" r="L18"/>
  <c i="8" r="R21"/>
  <c i="8" r="V34" s="1"/>
  <c i="8" r="L17"/>
  <c i="8" r="R24"/>
  <c i="8" r="V37" s="1"/>
  <c i="8" r="R25"/>
  <c i="8" r="V38" s="1"/>
  <c i="8" r="R20"/>
  <c i="8" r="V33" s="1"/>
  <c i="8" r="M17"/>
  <c i="8" r="M22"/>
  <c i="8" r="M20"/>
  <c i="8" r="L24"/>
  <c i="8" r="M19"/>
  <c i="8" r="L21"/>
  <c i="8" r="M25"/>
  <c i="8" r="R17"/>
  <c i="8" r="V30" s="1"/>
  <c i="8" r="L23"/>
  <c i="8" r="L20"/>
  <c i="8" r="M18"/>
  <c i="8" r="R23"/>
  <c i="8" r="V36" s="1"/>
  <c i="8" r="L25"/>
  <c i="8" r="L19"/>
  <c i="8" r="M24"/>
  <c i="8" r="M21"/>
  <c i="8" r="R19"/>
  <c i="8" r="V32" s="1"/>
  <c i="8" r="L18"/>
  <c i="10" r="M22"/>
  <c i="10" r="M18"/>
  <c i="10" r="L17"/>
  <c i="10" r="M23"/>
  <c i="10" r="R25"/>
  <c i="10" r="V38" s="1"/>
  <c i="10" r="M20"/>
  <c i="10" r="M24"/>
  <c i="10" r="M17"/>
  <c i="10" r="M21"/>
  <c i="10" r="M25"/>
  <c i="10" r="M19"/>
  <c i="8" r="L22"/>
  <c i="8" r="M23"/>
  <c i="6" r="R21"/>
  <c i="10" r="L21"/>
  <c i="6" r="R23"/>
  <c i="6" r="V36" s="1"/>
  <c i="6" r="L20"/>
  <c i="10" r="L18"/>
  <c i="10" r="L19"/>
  <c i="10" r="R19"/>
  <c i="10" r="V32" s="1"/>
  <c i="10" r="L22"/>
  <c i="10" r="R22"/>
  <c i="10" r="V35" s="1"/>
  <c i="6" r="L25"/>
  <c i="6" r="R19"/>
  <c i="6" r="V32" s="1"/>
  <c i="10" r="R17"/>
  <c i="6" r="L21"/>
  <c i="6" r="L23"/>
  <c i="6" r="L24"/>
  <c i="6" r="R24"/>
  <c i="6" r="V37" s="1"/>
  <c i="10" r="L23"/>
  <c i="6" r="R25"/>
  <c i="6" r="V38" s="1"/>
  <c i="10" r="R18"/>
  <c i="10" r="V31" s="1"/>
  <c i="6" r="R22"/>
  <c i="6" r="V35" s="1"/>
  <c i="10" r="R23"/>
  <c i="10" r="V36" s="1"/>
  <c i="6" r="M17"/>
  <c i="10" r="L24"/>
  <c i="6" r="M18"/>
  <c i="6" r="R20"/>
  <c i="6" r="V33" s="1"/>
  <c i="6" r="L22"/>
  <c i="10" r="L20"/>
  <c i="10" r="R20"/>
  <c i="10" r="V33" s="1"/>
  <c i="10" r="R21"/>
  <c i="10" r="V34" s="1"/>
  <c i="10" r="R24"/>
  <c i="10" r="V37" s="1"/>
  <c i="6" r="M19"/>
  <c i="1" r="M17"/>
  <c i="1" r="L17"/>
  <c i="9" r="R23"/>
  <c i="9" r="V36" s="1"/>
  <c i="1" r="M20"/>
  <c i="11" r="E12"/>
  <c i="1" r="R24"/>
  <c i="1" r="V37" s="1"/>
  <c i="1" r="L22"/>
  <c i="5" r="M24"/>
  <c i="1" r="M22"/>
  <c i="5" r="L25"/>
  <c i="4" r="R22"/>
  <c i="4" r="V35" s="1"/>
  <c i="5" r="M25"/>
  <c i="5" r="M20"/>
  <c i="5" r="L18"/>
  <c i="9" r="R17"/>
  <c i="9" r="V30" s="1"/>
  <c i="5" r="L19"/>
  <c i="5" r="R19"/>
  <c i="5" r="V32" s="1"/>
  <c i="9" r="L24"/>
  <c i="5" r="R24"/>
  <c i="5" r="V37" s="1"/>
  <c i="5" r="M21"/>
  <c i="1" r="R20"/>
  <c i="1" r="V33" s="1"/>
  <c i="1" r="L20"/>
  <c i="1" r="M18"/>
  <c i="1" r="R23"/>
  <c i="1" r="V36" s="1"/>
  <c i="1" r="M23"/>
  <c i="1" r="L23"/>
  <c i="1" r="M25"/>
  <c i="5" r="R25"/>
  <c i="5" r="V38" s="1"/>
  <c i="5" r="L24"/>
  <c i="5" r="L21"/>
  <c i="5" r="M19"/>
  <c i="9" r="L19"/>
  <c i="9" r="R18"/>
  <c i="9" r="V31" s="1"/>
  <c i="1" r="R21"/>
  <c i="1" r="V34" s="1"/>
  <c i="1" r="L24"/>
  <c i="1" r="L21"/>
  <c i="1" r="M19"/>
  <c i="1" r="L19"/>
  <c i="1" r="R25"/>
  <c i="1" r="V38" s="1"/>
  <c i="1" r="R18"/>
  <c i="1" r="V31" s="1"/>
  <c i="5" r="R18"/>
  <c i="5" r="V31" s="1"/>
  <c i="5" r="R17"/>
  <c i="5" r="L23"/>
  <c i="5" r="L20"/>
  <c i="5" r="M18"/>
  <c i="5" r="R23"/>
  <c i="5" r="V36" s="1"/>
  <c i="5" r="M23"/>
  <c i="9" r="R20"/>
  <c i="9" r="V33" s="1"/>
  <c i="9" r="L17"/>
  <c i="1" r="L25"/>
  <c i="1" r="M21"/>
  <c i="1" r="R19"/>
  <c i="1" r="V32" s="1"/>
  <c i="1" r="L18"/>
  <c i="1" r="R17"/>
  <c i="1" r="V30" s="1"/>
  <c i="1" r="M24"/>
  <c i="5" r="R22"/>
  <c i="5" r="V35" s="1"/>
  <c i="5" r="R20"/>
  <c i="5" r="V33" s="1"/>
  <c i="5" r="R21"/>
  <c i="5" r="M17"/>
  <c i="5" r="L17"/>
  <c i="5" r="M22"/>
  <c i="9" r="M23"/>
  <c i="7" r="S25"/>
  <c i="7" r="O24"/>
  <c i="7" r="O23"/>
  <c i="7" r="O22"/>
  <c i="7" r="O20"/>
  <c i="7" r="O19"/>
  <c i="7" r="O18"/>
  <c i="7" r="P25"/>
  <c i="7" r="L25"/>
  <c i="7" r="P24"/>
  <c i="7" r="L24"/>
  <c i="7" r="P23"/>
  <c i="7" r="L23"/>
  <c i="7" r="P22"/>
  <c i="7" r="L22"/>
  <c i="7" r="P20"/>
  <c i="7" r="L20"/>
  <c i="7" r="P19"/>
  <c i="7" r="L19"/>
  <c i="7" r="P18"/>
  <c i="7" r="L18"/>
  <c i="7" r="Q25"/>
  <c i="7" r="M25"/>
  <c i="7" r="Q24"/>
  <c i="7" r="M24"/>
  <c i="7" r="Q23"/>
  <c i="7" r="M23"/>
  <c i="7" r="Q22"/>
  <c i="7" r="M22"/>
  <c i="7" r="Q20"/>
  <c i="7" r="M20"/>
  <c i="7" r="Q19"/>
  <c i="7" r="M19"/>
  <c i="7" r="Q18"/>
  <c i="7" r="M18"/>
  <c i="7" r="R25"/>
  <c i="7" r="N25"/>
  <c i="7" r="R24"/>
  <c i="7" r="N24"/>
  <c i="7" r="R23"/>
  <c i="7" r="N23"/>
  <c i="7" r="R22"/>
  <c i="7" r="N22"/>
  <c i="7" r="R20"/>
  <c i="7" r="N20"/>
  <c i="7" r="R19"/>
  <c i="7" r="N19"/>
  <c i="7" r="R18"/>
  <c i="7" r="N18"/>
  <c i="7" r="O25"/>
  <c i="7" r="S20"/>
  <c i="7" r="S18"/>
  <c i="7" r="S24"/>
  <c i="7" r="S22"/>
  <c i="7" r="S19"/>
  <c i="9" r="M17"/>
  <c i="9" r="R25"/>
  <c i="9" r="M19"/>
  <c i="9" r="M24"/>
  <c i="9" r="M22"/>
  <c i="9" r="R22"/>
  <c i="9" r="V35" s="1"/>
  <c i="9" r="L18"/>
  <c i="9" r="L25"/>
  <c i="9" r="R21"/>
  <c i="9" r="M21"/>
  <c i="9" r="L21"/>
  <c i="9" r="R19"/>
  <c i="9" r="R24"/>
  <c i="9" r="L23"/>
  <c i="9" r="L22"/>
  <c i="9" r="M20"/>
  <c i="9" r="L20"/>
  <c i="9" r="M18"/>
  <c i="4" r="L24"/>
  <c i="4" r="M18"/>
  <c i="4" r="R24"/>
  <c i="4" r="M22"/>
  <c i="4" r="L17"/>
  <c i="4" r="M23"/>
  <c i="4" r="M19"/>
  <c i="4" r="R18"/>
  <c i="4" r="R25"/>
  <c i="4" r="V38" s="1"/>
  <c i="4" r="R20"/>
  <c i="4" r="L22"/>
  <c i="4" r="R17"/>
  <c i="4" r="M24"/>
  <c i="4" r="M20"/>
  <c i="4" r="L25"/>
  <c i="4" r="R23"/>
  <c i="4" r="L23"/>
  <c i="4" r="L20"/>
  <c i="4" r="R21"/>
  <c i="4" r="M21"/>
  <c i="4" r="M17"/>
  <c i="4" r="L21"/>
  <c i="4" r="R19"/>
  <c i="4" r="V32" s="1"/>
  <c i="4" r="L19"/>
  <c i="4" r="L18"/>
  <c i="7" r="I18"/>
  <c i="7" r="F25"/>
  <c i="7" r="D25"/>
  <c i="7" r="E25"/>
  <c i="7" r="I19"/>
  <c i="7" r="I24"/>
  <c i="7" r="C25"/>
  <c i="7" r="I25"/>
  <c i="7" r="E24"/>
  <c i="7" r="E23"/>
  <c i="7" r="E22"/>
  <c i="7" r="E21"/>
  <c i="7" r="E20"/>
  <c i="7" r="E19"/>
  <c i="7" r="E18"/>
  <c i="7" r="F24"/>
  <c i="7" r="B24"/>
  <c i="7" r="F23"/>
  <c i="7" r="B23"/>
  <c i="7" r="F22"/>
  <c i="7" r="B22"/>
  <c i="7" r="F21"/>
  <c i="7" r="B21"/>
  <c i="7" r="F20"/>
  <c i="7" r="B20"/>
  <c i="7" r="F19"/>
  <c i="7" r="B19"/>
  <c i="7" r="F18"/>
  <c i="7" r="B18"/>
  <c i="7" r="C24"/>
  <c i="7" r="G23"/>
  <c i="7" r="C23"/>
  <c i="7" r="C22"/>
  <c i="7" r="G21"/>
  <c i="7" r="G20"/>
  <c i="7" r="G19"/>
  <c i="7" r="G18"/>
  <c i="7" r="H24"/>
  <c i="7" r="H23"/>
  <c i="7" r="H22"/>
  <c i="7" r="D22"/>
  <c i="7" r="D21"/>
  <c i="7" r="D20"/>
  <c i="7" r="D19"/>
  <c i="7" r="D18"/>
  <c i="7" r="G24"/>
  <c i="7" r="G22"/>
  <c i="7" r="C21"/>
  <c i="7" r="C20"/>
  <c i="7" r="C19"/>
  <c i="7" r="C18"/>
  <c i="7" r="D24"/>
  <c i="7" r="D23"/>
  <c i="7" r="H21"/>
  <c i="7" r="H20"/>
  <c i="7" r="H19"/>
  <c i="7" r="H18"/>
  <c i="7" r="I21"/>
  <c i="7" r="G25"/>
  <c i="7" r="H25"/>
  <c i="7" r="I20"/>
  <c i="7" r="B25"/>
  <c i="7" r="I23"/>
  <c i="9" l="1" r="I18"/>
  <c i="9" r="U31" s="1"/>
  <c i="9" r="J5"/>
  <c i="9" r="I19"/>
  <c i="9" r="U32" s="1"/>
  <c i="9" r="J6"/>
  <c i="11" r="J10"/>
  <c i="11" r="J9"/>
  <c i="9" r="I22"/>
  <c i="9" r="U35" s="1"/>
  <c i="9" r="J9"/>
  <c i="5" r="J6"/>
  <c i="11" r="K6" s="1"/>
  <c i="6" r="J6"/>
  <c i="6" r="J10"/>
  <c i="7" r="J12"/>
  <c i="6" r="J9"/>
  <c i="10" r="J5"/>
  <c i="4" r="J11"/>
  <c i="11" r="J11" s="1"/>
  <c i="10" r="J11"/>
  <c i="5" r="J5"/>
  <c i="11" r="K5" s="1"/>
  <c i="9" r="I17"/>
  <c i="9" r="U30" s="1"/>
  <c i="9" r="J4"/>
  <c i="9" r="J12" s="1"/>
  <c i="10" r="J4"/>
  <c i="11" r="M9"/>
  <c i="10" r="J9"/>
  <c i="4" r="J4"/>
  <c i="8" r="J6"/>
  <c i="11" r="M6"/>
  <c i="6" r="J5"/>
  <c i="5" r="J11"/>
  <c i="11" r="K11" s="1"/>
  <c i="6" r="J4"/>
  <c i="6" r="J12" s="1"/>
  <c i="5" r="J9"/>
  <c i="11" r="K9" s="1"/>
  <c i="9" r="I24"/>
  <c i="9" r="U37" s="1"/>
  <c i="9" r="J11"/>
  <c i="11" r="M5"/>
  <c i="5" r="J10"/>
  <c i="11" r="K10" s="1"/>
  <c i="6" r="J11"/>
  <c i="5" r="J4"/>
  <c i="4" r="J6"/>
  <c i="4" r="I22"/>
  <c i="4" r="U35" s="1"/>
  <c i="4" r="C17"/>
  <c i="4" r="M30" s="1"/>
  <c i="4" r="B25"/>
  <c i="4" r="I20"/>
  <c i="4" r="U33" s="1"/>
  <c i="4" r="B18"/>
  <c i="4" r="L31" s="1"/>
  <c i="4" r="B19"/>
  <c i="4" r="L32" s="1"/>
  <c i="4" r="C18"/>
  <c i="4" r="F19"/>
  <c i="4" r="P32" s="1"/>
  <c i="4" r="D19"/>
  <c i="4" r="N32" s="1"/>
  <c i="4" r="F25"/>
  <c i="4" r="P38" s="1"/>
  <c i="4" r="D24"/>
  <c i="4" r="N37" s="1"/>
  <c i="4" r="E22"/>
  <c i="4" r="O35" s="1"/>
  <c i="4" r="G18"/>
  <c i="4" r="Q31" s="1"/>
  <c i="4" r="G24"/>
  <c i="4" r="Q37" s="1"/>
  <c i="4" r="F18"/>
  <c i="4" r="P31" s="1"/>
  <c i="4" r="E18"/>
  <c i="4" r="O31" s="1"/>
  <c i="4" r="D23"/>
  <c i="4" r="N36" s="1"/>
  <c i="11" r="R25"/>
  <c i="11" r="L8"/>
  <c i="24" r="D26"/>
  <c i="24" r="P35" s="1"/>
  <c i="24" r="P48" s="1"/>
  <c i="24" r="P60" s="1"/>
  <c i="24" r="P83" s="1"/>
  <c i="24" r="V33" s="1"/>
  <c i="24" r="AD7" s="1"/>
  <c i="11" r="N7"/>
  <c i="24" r="C26"/>
  <c i="24" r="C34" s="1"/>
  <c i="6" r="I12"/>
  <c i="6" r="D17" s="1"/>
  <c i="6" r="N30" s="1"/>
  <c i="4" r="D18"/>
  <c i="4" r="N31" s="1"/>
  <c i="4" r="E17"/>
  <c i="4" r="O30" s="1"/>
  <c i="5" r="B24"/>
  <c i="5" r="L37" s="1"/>
  <c i="4" r="F21"/>
  <c i="4" r="P34" s="1"/>
  <c i="5" r="I25"/>
  <c i="5" r="U38" s="1"/>
  <c i="5" r="W38" s="1"/>
  <c i="4" r="I24"/>
  <c i="4" r="U37" s="1"/>
  <c i="4" r="G21"/>
  <c i="4" r="Q34" s="1"/>
  <c i="4" r="I17"/>
  <c i="4" r="U30" s="1"/>
  <c i="4" r="E21"/>
  <c i="4" r="O34" s="1"/>
  <c i="4" r="C23"/>
  <c i="4" r="M36" s="1"/>
  <c i="4" r="D21"/>
  <c i="4" r="N34" s="1"/>
  <c i="4" r="I19"/>
  <c i="4" r="U32" s="1"/>
  <c i="4" r="G20"/>
  <c i="4" r="Q33" s="1"/>
  <c i="4" r="C19"/>
  <c i="4" r="B21"/>
  <c i="4" r="L34" s="1"/>
  <c i="4" r="E20"/>
  <c i="4" r="O33" s="1"/>
  <c i="4" r="C24"/>
  <c i="4" r="M37" s="1"/>
  <c i="4" r="F20"/>
  <c i="4" r="P33" s="1"/>
  <c i="4" r="B23"/>
  <c i="4" r="L36" s="1"/>
  <c i="4" r="C25"/>
  <c i="4" r="M38" s="1"/>
  <c i="4" r="D20"/>
  <c i="4" r="N33" s="1"/>
  <c i="4" r="C21"/>
  <c i="4" r="M34" s="1"/>
  <c i="4" r="B17"/>
  <c i="4" r="L30" s="1"/>
  <c i="4" r="I21"/>
  <c i="4" r="U34" s="1"/>
  <c i="4" r="I23"/>
  <c i="4" r="U36" s="1"/>
  <c i="4" r="C20"/>
  <c i="4" r="M33" s="1"/>
  <c i="4" r="B20"/>
  <c i="4" r="L33" s="1"/>
  <c i="4" r="I25"/>
  <c i="4" r="U38" s="1"/>
  <c i="4" r="W38" s="1"/>
  <c i="4" r="B22"/>
  <c i="4" r="L35" s="1"/>
  <c i="4" r="I18"/>
  <c i="4" r="U31" s="1"/>
  <c i="5" r="C22"/>
  <c i="5" r="M35" s="1"/>
  <c i="5" r="D25"/>
  <c i="5" r="N38" s="1"/>
  <c i="5" r="G21"/>
  <c i="5" r="Q34" s="1"/>
  <c i="5" r="E21"/>
  <c i="5" r="O34" s="1"/>
  <c i="5" r="E20"/>
  <c i="5" r="O33" s="1"/>
  <c i="5" r="E19"/>
  <c i="5" r="O32" s="1"/>
  <c i="5" r="D19"/>
  <c i="5" r="N32" s="1"/>
  <c i="5" r="D22"/>
  <c i="5" r="N35" s="1"/>
  <c i="5" r="F21"/>
  <c i="5" r="P34" s="1"/>
  <c i="5" r="B22"/>
  <c i="5" r="L35" s="1"/>
  <c i="5" r="G22"/>
  <c i="5" r="Q35" s="1"/>
  <c i="5" r="B21"/>
  <c i="5" r="L34" s="1"/>
  <c i="5" r="F22"/>
  <c i="5" r="P35" s="1"/>
  <c i="5" r="C19"/>
  <c i="5" r="M32" s="1"/>
  <c i="5" r="I17"/>
  <c i="5" r="U30" s="1"/>
  <c i="5" r="D21"/>
  <c i="5" r="N34" s="1"/>
  <c i="5" r="B19"/>
  <c i="5" r="L32" s="1"/>
  <c i="4" r="D25"/>
  <c i="4" r="N38" s="1"/>
  <c i="4" r="E24"/>
  <c i="4" r="O37" s="1"/>
  <c i="5" r="C25"/>
  <c i="5" r="M38" s="1"/>
  <c i="4" r="D22"/>
  <c i="4" r="N35" s="1"/>
  <c i="5" r="C21"/>
  <c i="4" r="G19"/>
  <c i="4" r="Q32" s="1"/>
  <c i="5" r="E25"/>
  <c i="5" r="O38" s="1"/>
  <c i="8" r="I12"/>
  <c i="8" r="B23" s="1"/>
  <c i="8" r="L36" s="1"/>
  <c i="5" r="E22"/>
  <c i="5" r="O35" s="1"/>
  <c i="5" r="G20"/>
  <c i="5" r="Q33" s="1"/>
  <c i="5" r="F20"/>
  <c i="5" r="P33" s="1"/>
  <c i="5" r="D20"/>
  <c i="5" r="N33" s="1"/>
  <c i="5" r="F24"/>
  <c i="5" r="P37" s="1"/>
  <c i="5" r="D23"/>
  <c i="5" r="N36" s="1"/>
  <c i="5" r="D17"/>
  <c i="5" r="N30" s="1"/>
  <c i="5" r="I23"/>
  <c i="5" r="U36" s="1"/>
  <c i="5" r="W36" s="1"/>
  <c i="4" r="B24"/>
  <c i="4" r="L37" s="1"/>
  <c i="4" r="D17"/>
  <c i="4" r="N30" s="1"/>
  <c i="8" r="I24"/>
  <c i="8" r="U37" s="1"/>
  <c i="8" r="W37" s="1"/>
  <c i="5" r="I20"/>
  <c i="5" r="U33" s="1"/>
  <c i="5" r="W33" s="1"/>
  <c i="4" r="C22"/>
  <c i="4" r="M35" s="1"/>
  <c i="4" r="E23"/>
  <c i="4" r="O36" s="1"/>
  <c i="5" r="I21"/>
  <c i="5" r="U34" s="1"/>
  <c i="4" r="F24"/>
  <c i="4" r="P37" s="1"/>
  <c i="5" r="F17"/>
  <c i="5" r="P30" s="1"/>
  <c i="5" r="B23"/>
  <c i="5" r="L36" s="1"/>
  <c i="4" r="G25"/>
  <c i="4" r="Q38" s="1"/>
  <c i="5" r="I18"/>
  <c i="5" r="U31" s="1"/>
  <c i="5" r="W31" s="1"/>
  <c i="4" r="E25"/>
  <c i="4" r="O38" s="1"/>
  <c i="5" r="I19"/>
  <c i="5" r="U32" s="1"/>
  <c i="5" r="W32" s="1"/>
  <c i="4" r="E19"/>
  <c i="4" r="O32" s="1"/>
  <c i="5" r="B18"/>
  <c i="5" r="L31" s="1"/>
  <c i="4" r="G23"/>
  <c i="4" r="Q36" s="1"/>
  <c i="5" r="C20"/>
  <c i="5" r="M33" s="1"/>
  <c i="5" r="B17"/>
  <c i="5" r="L30" s="1"/>
  <c i="4" r="G17"/>
  <c i="4" r="Q30" s="1"/>
  <c i="5" r="C23"/>
  <c i="5" r="M36" s="1"/>
  <c i="4" r="F23"/>
  <c i="4" r="P36" s="1"/>
  <c i="5" r="C18"/>
  <c i="5" r="M31" s="1"/>
  <c i="4" r="F17"/>
  <c i="4" r="P30" s="1"/>
  <c i="5" r="C17"/>
  <c i="5" r="M30" s="1"/>
  <c i="4" r="G22"/>
  <c i="4" r="Q35" s="1"/>
  <c i="11" r="Q12"/>
  <c i="5" r="H20"/>
  <c i="5" r="H21"/>
  <c i="5" r="H22"/>
  <c i="5" r="H18"/>
  <c i="5" r="H19"/>
  <c i="5" r="H17"/>
  <c i="5" r="H25"/>
  <c i="5" r="H23"/>
  <c i="5" r="H24"/>
  <c i="5" r="G25"/>
  <c i="5" r="Q38" s="1"/>
  <c i="4" r="H22"/>
  <c i="4" r="H25"/>
  <c i="4" r="H17"/>
  <c i="4" r="H18"/>
  <c i="4" r="H19"/>
  <c i="4" r="H23"/>
  <c i="4" r="H24"/>
  <c i="4" r="H20"/>
  <c i="4" r="H21"/>
  <c i="5" r="B20"/>
  <c i="5" r="L33" s="1"/>
  <c i="5" r="C24"/>
  <c i="5" r="M37" s="1"/>
  <c i="5" r="G19"/>
  <c i="5" r="Q32" s="1"/>
  <c i="5" r="F25"/>
  <c i="5" r="P38" s="1"/>
  <c i="5" r="F19"/>
  <c i="5" r="P32" s="1"/>
  <c i="5" r="B25"/>
  <c i="5" r="L38" s="1"/>
  <c i="5" r="F18"/>
  <c i="5" r="P31" s="1"/>
  <c i="5" r="E24"/>
  <c i="5" r="O37" s="1"/>
  <c i="5" r="D24"/>
  <c i="5" r="N37" s="1"/>
  <c i="5" r="D18"/>
  <c i="5" r="N31" s="1"/>
  <c i="5" r="E18"/>
  <c i="5" r="O31" s="1"/>
  <c i="5" r="G23"/>
  <c i="5" r="Q36" s="1"/>
  <c i="5" r="G17"/>
  <c i="5" r="Q30" s="1"/>
  <c i="5" r="I22"/>
  <c i="5" r="U35" s="1"/>
  <c i="5" r="W35" s="1"/>
  <c i="5" r="G24"/>
  <c i="5" r="Q37" s="1"/>
  <c i="10" r="I12"/>
  <c i="10" r="J6" s="1"/>
  <c i="5" r="G18"/>
  <c i="5" r="Q31" s="1"/>
  <c i="5" r="F23"/>
  <c i="5" r="P36" s="1"/>
  <c i="5" r="E23"/>
  <c i="5" r="O36" s="1"/>
  <c i="5" r="E17"/>
  <c i="5" r="O30" s="1"/>
  <c i="11" r="V8"/>
  <c i="11" r="V12" s="1"/>
  <c i="11" r="V21" s="1"/>
  <c i="24" r="L35"/>
  <c i="24" r="L38"/>
  <c i="9" r="M32"/>
  <c i="24" r="L31"/>
  <c i="11" r="T17"/>
  <c i="21" r="L34"/>
  <c i="11" r="T18"/>
  <c i="7" r="S35"/>
  <c i="11" r="T23"/>
  <c i="11" r="T20"/>
  <c i="11" r="T21"/>
  <c i="11" r="R21"/>
  <c i="11" r="R24"/>
  <c i="11" r="T24"/>
  <c i="11" r="R17"/>
  <c i="11" r="T19"/>
  <c i="11" r="R22"/>
  <c i="11" r="R20"/>
  <c i="11" r="T22"/>
  <c i="24" r="L37"/>
  <c i="11" r="R23"/>
  <c i="11" r="R19"/>
  <c i="11" r="R18"/>
  <c i="21" r="L33"/>
  <c i="23" r="P79"/>
  <c i="23" r="V38" s="1"/>
  <c i="23" r="AD14" s="1"/>
  <c i="23" r="AE14" s="1"/>
  <c i="23" r="O80"/>
  <c i="23" r="V35" s="1"/>
  <c i="23" r="P80"/>
  <c i="23" r="V36" s="1"/>
  <c i="23" r="AD12" s="1"/>
  <c i="23" r="AE12" s="1"/>
  <c i="23" r="P84"/>
  <c i="23" r="V41" s="1"/>
  <c i="23" r="AD17" s="1"/>
  <c i="23" r="AE17" s="1"/>
  <c i="23" r="O84"/>
  <c i="23" r="V40" s="1"/>
  <c i="24" r="L32"/>
  <c i="24" r="L34"/>
  <c i="24" r="L36"/>
  <c i="24" r="L33"/>
  <c i="20" r="L32"/>
  <c i="21" r="L32"/>
  <c i="21" r="L37"/>
  <c i="21" r="L31"/>
  <c i="21" r="L38"/>
  <c i="21" r="L36"/>
  <c i="21" r="L35"/>
  <c i="20" r="L37"/>
  <c i="20" r="L39"/>
  <c i="20" r="L36"/>
  <c i="20" r="L38"/>
  <c i="20" r="L34"/>
  <c i="20" r="L35"/>
  <c i="20" r="L33"/>
  <c i="9" r="L35"/>
  <c i="7" r="S36"/>
  <c i="9" r="M36"/>
  <c i="9" r="W35"/>
  <c i="9" r="M38"/>
  <c i="9" r="W31"/>
  <c i="7" r="Q34"/>
  <c i="7" r="P34"/>
  <c i="7" r="L34"/>
  <c i="7" r="S34"/>
  <c i="7" r="O34"/>
  <c i="7" r="M34"/>
  <c i="7" r="R34"/>
  <c i="7" r="N34"/>
  <c i="9" r="M31"/>
  <c i="9" r="M35"/>
  <c i="9" r="M37"/>
  <c i="9" r="L31"/>
  <c i="9" r="L37"/>
  <c i="9" r="L34"/>
  <c i="7" r="L33"/>
  <c i="9" r="W33"/>
  <c i="7" r="L35"/>
  <c i="9" r="M33"/>
  <c i="11" r="E17"/>
  <c i="7" r="R33"/>
  <c i="9" r="L33"/>
  <c i="9" r="M30"/>
  <c i="9" r="L38"/>
  <c i="9" r="W36"/>
  <c i="9" r="L36"/>
  <c i="9" r="M34"/>
  <c i="9" r="L30"/>
  <c i="9" r="L32"/>
  <c i="9" r="W30"/>
  <c i="5" r="W37"/>
  <c i="4" r="M31"/>
  <c i="4" r="L38"/>
  <c i="4" r="W35"/>
  <c i="4" r="W32"/>
  <c i="4" r="M32"/>
  <c i="5" r="M34"/>
  <c i="4" r="R35"/>
  <c i="7" r="N33"/>
  <c i="7" r="N35"/>
  <c i="7" r="N31"/>
  <c i="9" r="R31"/>
  <c i="10" r="V30"/>
  <c i="6" r="V34"/>
  <c i="7" r="M37"/>
  <c i="7" r="L31"/>
  <c i="9" r="R35"/>
  <c i="7" r="O35"/>
  <c i="7" r="L37"/>
  <c i="7" r="O31"/>
  <c i="7" r="N37"/>
  <c i="7" r="M33"/>
  <c i="7" r="Q35"/>
  <c i="7" r="Q33"/>
  <c i="7" r="M31"/>
  <c i="7" r="M35"/>
  <c i="9" r="R36"/>
  <c i="9" r="R33"/>
  <c i="11" r="E20"/>
  <c i="11" r="E18"/>
  <c i="11" r="E25"/>
  <c i="11" r="E23"/>
  <c i="11" r="E24"/>
  <c i="11" r="E21"/>
  <c i="11" r="E22"/>
  <c i="11" r="E19"/>
  <c i="5" r="R37"/>
  <c i="4" r="V36"/>
  <c i="4" r="V30"/>
  <c i="4" r="V31"/>
  <c i="4" r="V37"/>
  <c i="9" r="R38"/>
  <c i="9" r="V38"/>
  <c i="9" r="W38" s="1"/>
  <c i="4" r="R33"/>
  <c i="4" r="V33"/>
  <c i="4" r="W33" s="1"/>
  <c i="9" r="R37"/>
  <c i="9" r="V37"/>
  <c i="9" r="W37" s="1"/>
  <c i="9" r="R34"/>
  <c i="9" r="V34"/>
  <c i="9" r="W34" s="1"/>
  <c i="9" r="R32"/>
  <c i="9" r="V32"/>
  <c i="9" r="W32" s="1"/>
  <c i="4" r="V34"/>
  <c i="5" r="V34"/>
  <c i="5" r="V30"/>
  <c i="7" r="L38"/>
  <c i="7" r="Q37"/>
  <c i="7" r="R37"/>
  <c i="7" r="O32"/>
  <c i="7" r="O36"/>
  <c i="7" r="S33"/>
  <c i="7" r="R31"/>
  <c i="7" r="N36"/>
  <c i="7" r="Q31"/>
  <c i="7" r="O33"/>
  <c i="7" r="O37"/>
  <c i="7" r="S31"/>
  <c i="7" r="M32"/>
  <c i="7" r="S32"/>
  <c i="7" r="P32"/>
  <c i="7" r="P36"/>
  <c i="7" r="S37"/>
  <c i="7" r="P38"/>
  <c i="7" r="Q38"/>
  <c i="7" r="R36"/>
  <c i="7" r="Q36"/>
  <c i="7" r="L32"/>
  <c i="7" r="L36"/>
  <c i="7" r="M38"/>
  <c i="7" r="N38"/>
  <c i="7" r="R38"/>
  <c i="7" r="R32"/>
  <c i="7" r="N32"/>
  <c i="7" r="R35"/>
  <c i="7" r="Q32"/>
  <c i="7" r="M36"/>
  <c i="7" r="P31"/>
  <c i="7" r="P33"/>
  <c i="7" r="P35"/>
  <c i="7" r="P37"/>
  <c i="7" r="S38"/>
  <c i="7" r="O38"/>
  <c i="4" l="1" r="J12"/>
  <c i="11" r="M4"/>
  <c i="25" r="F26"/>
  <c i="10" r="J10"/>
  <c i="8" r="J5"/>
  <c i="11" r="L5" s="1"/>
  <c i="11" r="J6"/>
  <c i="8" r="J10"/>
  <c i="9" r="R30"/>
  <c i="5" r="J12"/>
  <c i="24" r="E26"/>
  <c i="24" r="E34" s="1"/>
  <c i="8" r="J4"/>
  <c i="4" r="R32"/>
  <c i="8" r="J9"/>
  <c i="11" r="L9" s="1"/>
  <c i="8" r="J11"/>
  <c i="11" r="L11" s="1"/>
  <c i="8" r="F25"/>
  <c i="8" r="P38" s="1"/>
  <c i="8" r="F19"/>
  <c i="8" r="P32" s="1"/>
  <c i="8" r="E18"/>
  <c i="8" r="O31" s="1"/>
  <c i="8" r="E24"/>
  <c i="8" r="O37" s="1"/>
  <c i="8" r="C18"/>
  <c i="8" r="M31" s="1"/>
  <c i="8" r="D24"/>
  <c i="8" r="N37" s="1"/>
  <c i="8" r="D18"/>
  <c i="8" r="N31" s="1"/>
  <c i="8" r="G18"/>
  <c i="8" r="Q31" s="1"/>
  <c i="8" r="I21"/>
  <c i="8" r="R34" s="1"/>
  <c i="8" r="I18"/>
  <c i="8" r="R31" s="1"/>
  <c i="8" r="I19"/>
  <c i="8" r="U32" s="1"/>
  <c i="8" r="W32" s="1"/>
  <c i="8" r="I22"/>
  <c i="8" r="R35" s="1"/>
  <c i="6" r="G22"/>
  <c i="6" r="Q35" s="1"/>
  <c i="8" r="B25"/>
  <c i="8" r="L38" s="1"/>
  <c i="8" r="B20"/>
  <c i="8" r="L33" s="1"/>
  <c i="6" r="I23"/>
  <c i="6" r="U36" s="1"/>
  <c i="6" r="W36" s="1"/>
  <c i="6" r="I17"/>
  <c i="6" r="U30" s="1"/>
  <c i="6" r="W30" s="1"/>
  <c i="6" r="F22"/>
  <c i="6" r="P35" s="1"/>
  <c i="4" r="W34"/>
  <c i="6" r="E18"/>
  <c i="6" r="O31" s="1"/>
  <c i="6" r="H19"/>
  <c i="6" r="G21"/>
  <c i="6" r="Q34" s="1"/>
  <c i="8" r="D23"/>
  <c i="8" r="N36" s="1"/>
  <c i="8" r="D17"/>
  <c i="8" r="N30" s="1"/>
  <c i="8" r="U31"/>
  <c i="8" r="W31" s="1"/>
  <c i="6" r="H22"/>
  <c i="6" r="H17"/>
  <c i="4" r="R36"/>
  <c i="8" r="B17"/>
  <c i="8" r="L30" s="1"/>
  <c i="8" r="I20"/>
  <c i="8" r="H22"/>
  <c i="6" r="H23"/>
  <c i="4" r="W36"/>
  <c i="6" r="H21"/>
  <c i="8" r="C21"/>
  <c i="8" r="M34" s="1"/>
  <c i="8" r="C17"/>
  <c i="8" r="M30" s="1"/>
  <c i="6" r="F21"/>
  <c i="6" r="P34" s="1"/>
  <c i="8" r="H17"/>
  <c i="6" r="H24"/>
  <c i="6" r="E20"/>
  <c i="6" r="O33" s="1"/>
  <c i="8" r="H25"/>
  <c i="6" r="G18"/>
  <c i="6" r="Q31" s="1"/>
  <c i="6" r="B20"/>
  <c i="6" r="L33" s="1"/>
  <c i="6" r="C23"/>
  <c i="6" r="M36" s="1"/>
  <c i="6" r="E19"/>
  <c i="6" r="O32" s="1"/>
  <c i="6" r="I18"/>
  <c i="6" r="U31" s="1"/>
  <c i="6" r="W31" s="1"/>
  <c i="6" r="C22"/>
  <c i="6" r="M35" s="1"/>
  <c i="6" r="B18"/>
  <c i="6" r="L31" s="1"/>
  <c i="6" r="E21"/>
  <c i="6" r="O34" s="1"/>
  <c i="6" r="C24"/>
  <c i="6" r="M37" s="1"/>
  <c i="6" r="I25"/>
  <c i="6" r="U38" s="1"/>
  <c i="6" r="W38" s="1"/>
  <c i="6" r="E17"/>
  <c i="6" r="O30" s="1"/>
  <c i="6" r="B22"/>
  <c i="6" r="L35" s="1"/>
  <c i="6" r="I22"/>
  <c i="6" r="B17"/>
  <c i="6" r="L30" s="1"/>
  <c i="6" r="F18"/>
  <c i="6" r="P31" s="1"/>
  <c i="6" r="D22"/>
  <c i="6" r="N35" s="1"/>
  <c i="6" r="B19"/>
  <c i="6" r="L32" s="1"/>
  <c i="6" r="D18"/>
  <c i="6" r="N31" s="1"/>
  <c i="6" r="C18"/>
  <c i="6" r="M31" s="1"/>
  <c i="6" r="F25"/>
  <c i="6" r="P38" s="1"/>
  <c i="6" r="B23"/>
  <c i="6" r="L36" s="1"/>
  <c i="6" r="F19"/>
  <c i="6" r="P32" s="1"/>
  <c i="6" r="C20"/>
  <c i="6" r="M33" s="1"/>
  <c i="6" r="E25"/>
  <c i="6" r="O38" s="1"/>
  <c i="4" r="W30"/>
  <c i="6" r="D20"/>
  <c i="6" r="N33" s="1"/>
  <c i="6" r="C21"/>
  <c i="6" r="M34" s="1"/>
  <c i="6" r="B25"/>
  <c i="6" r="L38" s="1"/>
  <c i="6" r="B24"/>
  <c i="6" r="L37" s="1"/>
  <c i="6" r="H25"/>
  <c i="6" r="G23"/>
  <c i="6" r="Q36" s="1"/>
  <c i="6" r="D25"/>
  <c i="6" r="N38" s="1"/>
  <c i="6" r="G20"/>
  <c i="6" r="Q33" s="1"/>
  <c i="6" r="C19"/>
  <c i="6" r="M32" s="1"/>
  <c i="6" r="I21"/>
  <c i="6" r="U34" s="1"/>
  <c i="6" r="W34" s="1"/>
  <c i="5" r="W30"/>
  <c i="6" r="G24"/>
  <c i="6" r="Q37" s="1"/>
  <c i="6" r="B21"/>
  <c i="6" r="L34" s="1"/>
  <c i="11" r="N8"/>
  <c i="5" r="R30"/>
  <c i="6" r="F24"/>
  <c i="6" r="P37" s="1"/>
  <c i="6" r="G17"/>
  <c i="6" r="Q30" s="1"/>
  <c i="6" r="E24"/>
  <c i="6" r="O37" s="1"/>
  <c i="6" r="F23"/>
  <c i="6" r="P36" s="1"/>
  <c i="6" r="F20"/>
  <c i="6" r="P33" s="1"/>
  <c i="6" r="I19"/>
  <c i="6" r="U32" s="1"/>
  <c i="6" r="W32" s="1"/>
  <c i="6" r="I24"/>
  <c i="6" r="U37" s="1"/>
  <c i="6" r="W37" s="1"/>
  <c i="6" r="F17"/>
  <c i="6" r="P30" s="1"/>
  <c i="6" r="D24"/>
  <c i="6" r="N37" s="1"/>
  <c i="6" r="H20"/>
  <c i="4" r="R30"/>
  <c i="5" r="R35"/>
  <c i="6" r="H18"/>
  <c i="6" r="C17"/>
  <c i="6" r="M30" s="1"/>
  <c i="5" r="R38"/>
  <c i="4" r="R31"/>
  <c i="6" r="E23"/>
  <c i="6" r="O36" s="1"/>
  <c i="6" r="D23"/>
  <c i="6" r="N36" s="1"/>
  <c i="8" r="H18"/>
  <c i="4" r="R38"/>
  <c i="6" r="E22"/>
  <c i="6" r="O35" s="1"/>
  <c i="6" r="D21"/>
  <c i="6" r="N34" s="1"/>
  <c i="8" r="H24"/>
  <c i="4" r="W37"/>
  <c i="6" r="G19"/>
  <c i="6" r="Q32" s="1"/>
  <c i="6" r="I20"/>
  <c i="6" r="U33" s="1"/>
  <c i="6" r="W33" s="1"/>
  <c i="11" r="Q20"/>
  <c i="4" r="R37"/>
  <c i="6" r="D19"/>
  <c i="6" r="N32" s="1"/>
  <c i="6" r="C25"/>
  <c i="6" r="M38" s="1"/>
  <c i="6" r="G25"/>
  <c i="6" r="Q38" s="1"/>
  <c i="8" r="H21"/>
  <c i="8" r="H23"/>
  <c i="8" r="U34"/>
  <c i="8" r="W34" s="1"/>
  <c i="5" r="R31"/>
  <c i="24" r="C35"/>
  <c i="24" r="O35" s="1"/>
  <c i="24" r="O48" s="1"/>
  <c i="24" r="O60" s="1"/>
  <c i="24" r="O83" s="1"/>
  <c i="24" r="V32" s="1"/>
  <c i="24" r="AD6" s="1"/>
  <c i="24" r="AE6" s="1"/>
  <c i="5" r="W34"/>
  <c i="5" r="R32"/>
  <c i="5" r="R34"/>
  <c i="4" r="R34"/>
  <c i="8" r="F20"/>
  <c i="8" r="P33" s="1"/>
  <c i="8" r="D20"/>
  <c i="8" r="N33" s="1"/>
  <c i="8" r="G25"/>
  <c i="8" r="Q38" s="1"/>
  <c i="8" r="G19"/>
  <c i="8" r="Q32" s="1"/>
  <c i="8" r="G23"/>
  <c i="8" r="Q36" s="1"/>
  <c i="8" r="H19"/>
  <c i="8" r="H20"/>
  <c i="8" r="I17"/>
  <c i="8" r="R30" s="1"/>
  <c i="8" r="G17"/>
  <c i="8" r="Q30" s="1"/>
  <c i="8" r="B21"/>
  <c i="8" r="L34" s="1"/>
  <c i="8" r="C22"/>
  <c i="8" r="M35" s="1"/>
  <c i="8" r="C23"/>
  <c i="8" r="M36" s="1"/>
  <c i="8" r="F24"/>
  <c i="8" r="P37" s="1"/>
  <c i="5" r="R36"/>
  <c i="8" r="B19"/>
  <c i="8" r="L32" s="1"/>
  <c i="8" r="C19"/>
  <c i="8" r="M32" s="1"/>
  <c i="8" r="F17"/>
  <c i="8" r="P30" s="1"/>
  <c i="11" r="Q21"/>
  <c i="8" r="D22"/>
  <c i="8" r="N35" s="1"/>
  <c i="8" r="B22"/>
  <c i="8" r="L35" s="1"/>
  <c i="8" r="G21"/>
  <c i="8" r="Q34" s="1"/>
  <c i="8" r="E23"/>
  <c i="8" r="O36" s="1"/>
  <c i="8" r="F21"/>
  <c i="8" r="P34" s="1"/>
  <c i="8" r="I23"/>
  <c i="8" r="R36" s="1"/>
  <c i="8" r="E21"/>
  <c i="8" r="O34" s="1"/>
  <c i="8" r="C20"/>
  <c i="8" r="M33" s="1"/>
  <c i="8" r="D21"/>
  <c i="8" r="N34" s="1"/>
  <c i="8" r="E17"/>
  <c i="8" r="O30" s="1"/>
  <c i="5" r="R33"/>
  <c i="8" r="E20"/>
  <c i="8" r="O33" s="1"/>
  <c i="8" r="I25"/>
  <c i="8" r="E19"/>
  <c i="8" r="O32" s="1"/>
  <c i="8" r="B24"/>
  <c i="8" r="L37" s="1"/>
  <c i="8" r="R32"/>
  <c i="8" r="D19"/>
  <c i="8" r="N32" s="1"/>
  <c i="8" r="G24"/>
  <c i="8" r="Q37" s="1"/>
  <c i="8" r="E25"/>
  <c i="8" r="O38" s="1"/>
  <c i="8" r="C24"/>
  <c i="8" r="M37" s="1"/>
  <c i="8" r="F22"/>
  <c i="8" r="P35" s="1"/>
  <c i="8" r="F18"/>
  <c i="8" r="P31" s="1"/>
  <c i="8" r="R37"/>
  <c i="8" r="D25"/>
  <c i="8" r="N38" s="1"/>
  <c i="8" r="C25"/>
  <c i="8" r="M38" s="1"/>
  <c i="8" r="E22"/>
  <c i="8" r="O35" s="1"/>
  <c i="8" r="B18"/>
  <c i="8" r="L31" s="1"/>
  <c i="8" r="G22"/>
  <c i="8" r="Q35" s="1"/>
  <c i="8" r="F23"/>
  <c i="8" r="P36" s="1"/>
  <c i="8" r="G20"/>
  <c i="8" r="Q33" s="1"/>
  <c i="11" r="Q22"/>
  <c i="6" r="R30"/>
  <c i="11" r="Q18"/>
  <c i="11" r="Q17"/>
  <c i="8" r="U35"/>
  <c i="8" r="W35" s="1"/>
  <c i="11" r="Q19"/>
  <c i="11" r="Q24"/>
  <c i="11" r="Q23"/>
  <c i="11" r="Q25"/>
  <c i="24" r="P36"/>
  <c i="24" r="P49" s="1"/>
  <c i="24" r="P61" s="1"/>
  <c i="24" r="P84" s="1"/>
  <c i="24" r="V44" s="1"/>
  <c i="24" r="AD28" s="1"/>
  <c i="24" r="AE28" s="1"/>
  <c i="24" r="P37"/>
  <c i="24" r="P50" s="1"/>
  <c i="24" r="P62" s="1"/>
  <c i="24" r="P85" s="1"/>
  <c i="24" r="V47" s="1"/>
  <c i="24" r="AD32" s="1"/>
  <c i="24" r="AE32" s="1"/>
  <c i="24" r="C37"/>
  <c i="24" r="O37" s="1"/>
  <c i="24" r="O50" s="1"/>
  <c i="24" r="O62" s="1"/>
  <c i="24" r="O85" s="1"/>
  <c i="24" r="V46" s="1"/>
  <c i="24" r="AD31" s="1"/>
  <c i="24" r="AE31" s="1"/>
  <c i="24" r="C38"/>
  <c i="24" r="C36"/>
  <c i="24" r="O36" s="1"/>
  <c i="24" r="O49" s="1"/>
  <c i="24" r="O61" s="1"/>
  <c i="24" r="O84" s="1"/>
  <c i="24" r="V43" s="1"/>
  <c i="24" r="AD27" s="1"/>
  <c i="24" r="C33"/>
  <c i="24" r="O33" s="1"/>
  <c i="24" r="O46" s="1"/>
  <c i="24" r="C31"/>
  <c i="24" r="C32"/>
  <c i="11" r="L6"/>
  <c i="6" r="R36"/>
  <c i="4" r="W31"/>
  <c i="11" r="V19"/>
  <c i="11" r="V17"/>
  <c i="11" r="V20"/>
  <c i="11" r="V18"/>
  <c i="11" r="V23"/>
  <c i="11" r="V25"/>
  <c i="11" r="V24"/>
  <c i="11" r="V22"/>
  <c i="23" r="O81"/>
  <c i="23" r="V32" s="1"/>
  <c i="23" r="P81"/>
  <c i="23" r="V33" s="1"/>
  <c i="24" r="AE23"/>
  <c i="24" r="AE9"/>
  <c i="24" r="AE10"/>
  <c i="23" r="P85"/>
  <c i="23" r="V44" s="1"/>
  <c i="23" r="AD22" s="1"/>
  <c i="23" r="AE22" s="1"/>
  <c i="23" r="O85"/>
  <c i="23" r="V43" s="1"/>
  <c i="23" r="AD21" s="1"/>
  <c i="23" r="AE21" s="1"/>
  <c i="24" r="AE33"/>
  <c i="23" r="AD20"/>
  <c i="23" r="AE20" s="1"/>
  <c i="23" r="AD11"/>
  <c i="23" r="AE11" s="1"/>
  <c i="23" r="AD19"/>
  <c i="23" r="AE19" s="1"/>
  <c i="8" l="1" r="J12"/>
  <c i="11" r="K4"/>
  <c i="11" r="K12" s="1"/>
  <c i="11" r="K30" s="1"/>
  <c i="23" r="F26"/>
  <c i="24" r="E38"/>
  <c i="11" r="L10"/>
  <c i="24" r="E32"/>
  <c i="25" r="F35"/>
  <c i="25" r="R35" s="1"/>
  <c i="25" r="R48" s="1"/>
  <c i="25" r="F39"/>
  <c i="25" r="F38"/>
  <c i="25" r="F34"/>
  <c i="25" r="F37"/>
  <c i="25" r="F36"/>
  <c i="25" r="R36" s="1"/>
  <c i="25" r="R49" s="1"/>
  <c i="25" r="R61" s="1"/>
  <c i="25" r="R84" s="1"/>
  <c i="25" r="V35" s="1"/>
  <c i="25" r="AD13" s="1"/>
  <c i="25" r="AE13" s="1"/>
  <c i="25" r="F33"/>
  <c i="25" r="R33" s="1"/>
  <c i="25" r="R46" s="1"/>
  <c i="25" r="F32"/>
  <c i="25" r="R32" s="1"/>
  <c i="25" r="R45" s="1"/>
  <c i="25" r="R57" s="1"/>
  <c i="25" r="R80" s="1"/>
  <c i="25" r="V33" s="1"/>
  <c i="25" r="AD7" s="1"/>
  <c i="25" r="AE7" s="1"/>
  <c i="11" r="M12"/>
  <c i="11" r="M30" s="1"/>
  <c i="25" r="F31"/>
  <c i="25" r="R31" s="1"/>
  <c i="25" r="R44" s="1"/>
  <c i="25" r="R56" s="1"/>
  <c i="25" r="R79" s="1"/>
  <c i="25" r="V34" s="1"/>
  <c i="25" r="AD8" s="1"/>
  <c i="25" r="AE8" s="1"/>
  <c i="24" r="E36"/>
  <c i="24" r="E39"/>
  <c i="24" r="E35"/>
  <c i="10" r="J12"/>
  <c i="24" r="E31"/>
  <c i="11" r="J4"/>
  <c i="21" r="F26"/>
  <c i="24" r="E37"/>
  <c i="24" r="E33"/>
  <c i="24" r="Q33" s="1"/>
  <c i="24" r="Q46" s="1"/>
  <c i="11" r="K34"/>
  <c i="11" r="K33"/>
  <c i="8" r="R33"/>
  <c i="8" r="U33"/>
  <c i="8" r="W33" s="1"/>
  <c i="6" r="R38"/>
  <c i="6" r="R31"/>
  <c i="6" r="R37"/>
  <c i="8" r="U30"/>
  <c i="8" r="W30" s="1"/>
  <c i="6" r="U35"/>
  <c i="6" r="W35" s="1"/>
  <c i="6" r="R35"/>
  <c i="6" r="R34"/>
  <c i="11" r="K31"/>
  <c i="11" r="K35"/>
  <c i="11" r="K36"/>
  <c i="11" r="K37"/>
  <c i="6" r="R32"/>
  <c i="6" r="R33"/>
  <c i="24" r="C39"/>
  <c i="8" r="U38"/>
  <c i="8" r="W38" s="1"/>
  <c i="8" r="R38"/>
  <c i="8" r="U36"/>
  <c i="8" r="W36" s="1"/>
  <c i="24" r="O32"/>
  <c i="24" r="O45" s="1"/>
  <c i="24" r="O57" s="1"/>
  <c i="24" r="O80" s="1"/>
  <c i="24" r="V38" s="1"/>
  <c i="24" r="AD18" s="1"/>
  <c i="24" r="D39"/>
  <c i="24" r="P31"/>
  <c i="24" r="P44" s="1"/>
  <c i="24" r="P56" s="1"/>
  <c i="24" r="P79" s="1"/>
  <c i="24" r="V41" s="1"/>
  <c i="24" r="AE16"/>
  <c i="24" r="AE15"/>
  <c i="20" r="AE17"/>
  <c i="23" r="AD16"/>
  <c i="23" r="AE16" s="1"/>
  <c i="23" r="AD9"/>
  <c i="23" r="AE9" s="1"/>
  <c i="23" r="AD8"/>
  <c i="23" r="AE8" s="1"/>
  <c i="24" r="AE27"/>
  <c i="24" r="AE26"/>
  <c i="21" r="AE9"/>
  <c i="21" r="AE29"/>
  <c i="11" l="1" r="K32"/>
  <c i="25" r="R58"/>
  <c i="25" r="R81" s="1"/>
  <c i="25" r="V32" s="1"/>
  <c i="25" r="AD6" s="1"/>
  <c i="25" r="AE6" s="1"/>
  <c i="21" r="D26"/>
  <c i="11" r="J12"/>
  <c i="11" r="J30" s="1"/>
  <c i="21" r="C26"/>
  <c i="21" r="C31" s="1"/>
  <c i="11" r="L4"/>
  <c i="11" r="L12" s="1"/>
  <c i="11" r="L34" s="1"/>
  <c i="24" r="F26"/>
  <c i="25" r="R60"/>
  <c i="25" r="R83" s="1"/>
  <c i="25" r="V31" s="1"/>
  <c i="25" r="AD5" s="1"/>
  <c i="25" r="AE5" s="1"/>
  <c i="24" r="Q32"/>
  <c i="24" r="Q45" s="1"/>
  <c i="24" r="Q57" s="1"/>
  <c i="24" r="Q80" s="1"/>
  <c i="24" r="V39" s="1"/>
  <c i="24" r="AD19" s="1"/>
  <c i="24" r="AE19" s="1"/>
  <c i="21" r="F39"/>
  <c i="21" r="F36"/>
  <c i="21" r="R36" s="1"/>
  <c i="21" r="R49" s="1"/>
  <c i="21" r="R61" s="1"/>
  <c i="21" r="R84" s="1"/>
  <c i="21" r="V45" s="1"/>
  <c i="21" r="AD32" s="1"/>
  <c i="21" r="AE32" s="1"/>
  <c i="21" r="F31"/>
  <c i="21" r="R31" s="1"/>
  <c i="21" r="R44" s="1"/>
  <c i="21" r="R56" s="1"/>
  <c i="21" r="R79" s="1"/>
  <c i="21" r="V43" s="1"/>
  <c i="21" r="AD27" s="1"/>
  <c i="21" r="AE27" s="1"/>
  <c i="21" r="F37"/>
  <c i="21" r="R37" s="1"/>
  <c i="21" r="R50" s="1"/>
  <c i="21" r="R62" s="1"/>
  <c i="21" r="R85" s="1"/>
  <c i="21" r="V48" s="1"/>
  <c i="21" r="AD37" s="1"/>
  <c i="21" r="AE37" s="1"/>
  <c i="21" r="F35"/>
  <c i="21" r="R35" s="1"/>
  <c i="21" r="R48" s="1"/>
  <c i="21" r="R60" s="1"/>
  <c i="21" r="R83" s="1"/>
  <c i="21" r="V34" s="1"/>
  <c i="21" r="AD10" s="1"/>
  <c i="21" r="AE10" s="1"/>
  <c i="21" r="F32"/>
  <c i="21" r="R32" s="1"/>
  <c i="21" r="R45" s="1"/>
  <c i="21" r="R57" s="1"/>
  <c i="21" r="R80" s="1"/>
  <c i="21" r="V40" s="1"/>
  <c i="21" r="AD21" s="1"/>
  <c i="21" r="AE21" s="1"/>
  <c i="21" r="F38"/>
  <c i="21" r="R38" s="1"/>
  <c i="21" r="R51" s="1"/>
  <c i="21" r="R63" s="1"/>
  <c i="21" r="R86" s="1"/>
  <c i="21" r="V31" s="1"/>
  <c i="21" r="AD5" s="1"/>
  <c i="21" r="AE5" s="1"/>
  <c i="21" r="F34"/>
  <c i="21" r="R34" s="1"/>
  <c i="21" r="R47" s="1"/>
  <c i="21" r="F33"/>
  <c i="21" r="R33" s="1"/>
  <c i="21" r="R46" s="1"/>
  <c i="21" r="R58" s="1"/>
  <c i="21" r="R81" s="1"/>
  <c i="21" r="V37" s="1"/>
  <c i="21" r="AD16" s="1"/>
  <c i="21" r="AE16" s="1"/>
  <c i="11" r="M36"/>
  <c i="11" r="M31"/>
  <c i="11" r="M34"/>
  <c i="11" r="M33"/>
  <c i="11" r="M37"/>
  <c i="11" r="M35"/>
  <c i="11" r="M32"/>
  <c i="23" r="F38"/>
  <c i="23" r="F37"/>
  <c i="23" r="R37" s="1"/>
  <c i="23" r="R50" s="1"/>
  <c i="23" r="R62" s="1"/>
  <c i="23" r="R85" s="1"/>
  <c i="23" r="V42" s="1"/>
  <c i="23" r="AD18" s="1"/>
  <c i="23" r="AE18" s="1"/>
  <c i="23" r="F36"/>
  <c i="23" r="R36" s="1"/>
  <c i="23" r="R49" s="1"/>
  <c i="23" r="R61" s="1"/>
  <c i="23" r="R84" s="1"/>
  <c i="23" r="V39" s="1"/>
  <c i="23" r="AD15" s="1"/>
  <c i="23" r="AE15" s="1"/>
  <c i="23" r="F39"/>
  <c i="23" r="F34"/>
  <c i="23" r="R34" s="1"/>
  <c i="23" r="R47" s="1"/>
  <c i="23" r="R82" s="1"/>
  <c i="23" r="AD5" s="1"/>
  <c i="23" r="AE5" s="1"/>
  <c i="23" r="F31"/>
  <c i="23" r="R31" s="1"/>
  <c i="23" r="R44" s="1"/>
  <c i="23" r="R56" s="1"/>
  <c i="23" r="R79" s="1"/>
  <c i="23" r="V37" s="1"/>
  <c i="23" r="AD13" s="1"/>
  <c i="23" r="AE13" s="1"/>
  <c i="23" r="F32"/>
  <c i="23" r="R32" s="1"/>
  <c i="23" r="R45" s="1"/>
  <c i="23" r="R57" s="1"/>
  <c i="23" r="R80" s="1"/>
  <c i="23" r="V34" s="1"/>
  <c i="23" r="AD10" s="1"/>
  <c i="23" r="AE10" s="1"/>
  <c i="23" r="F35"/>
  <c i="23" r="R35" s="1"/>
  <c i="23" r="R48" s="1"/>
  <c i="23" r="R83" s="1"/>
  <c i="23" r="F33"/>
  <c i="23" r="R33" s="1"/>
  <c i="23" r="R46" s="1"/>
  <c i="23" r="R58" s="1"/>
  <c i="23" r="R81" s="1"/>
  <c i="23" r="V31" s="1"/>
  <c i="23" r="AD4" s="1"/>
  <c i="23" r="AE4" s="1"/>
  <c i="11" r="L35"/>
  <c i="11" r="L33"/>
  <c i="21" r="AE14"/>
  <c i="24" r="AD22"/>
  <c i="24" r="AE22" s="1"/>
  <c i="21" r="AE8"/>
  <c i="11" r="L30"/>
  <c i="11" r="K38"/>
  <c i="11" r="K23" s="1"/>
  <c i="11" r="S36" s="1"/>
  <c i="24" r="O58"/>
  <c i="24" r="O81" s="1"/>
  <c i="24" r="V35" s="1"/>
  <c i="24" r="AD13" s="1"/>
  <c i="24" r="AE13" s="1"/>
  <c i="24" r="AE11"/>
  <c i="11" l="1" r="L37"/>
  <c i="11" r="L36"/>
  <c i="11" r="M38"/>
  <c i="11" r="M25" s="1"/>
  <c i="11" r="U38" s="1"/>
  <c i="11" r="L32"/>
  <c i="11" r="L31"/>
  <c i="21" r="C34"/>
  <c i="21" r="O34" s="1"/>
  <c i="21" r="O47" s="1"/>
  <c i="21" r="C38"/>
  <c i="21" r="O38" s="1"/>
  <c i="21" r="O51" s="1"/>
  <c i="21" r="O63" s="1"/>
  <c i="21" r="O86" s="1"/>
  <c i="21" r="V32" s="1"/>
  <c i="21" r="AD6" s="1"/>
  <c i="21" r="AE6" s="1"/>
  <c i="21" r="C35"/>
  <c i="21" r="O35" s="1"/>
  <c i="21" r="O48" s="1"/>
  <c i="21" r="O60" s="1"/>
  <c i="21" r="O83" s="1"/>
  <c i="21" r="V35" s="1"/>
  <c i="21" r="AD11" s="1"/>
  <c i="21" r="AE11" s="1"/>
  <c i="21" r="C37"/>
  <c i="21" r="O37" s="1"/>
  <c i="21" r="O50" s="1"/>
  <c i="21" r="O62" s="1"/>
  <c i="21" r="O85" s="1"/>
  <c i="21" r="V49" s="1"/>
  <c i="21" r="AD38" s="1"/>
  <c i="21" r="AE38" s="1"/>
  <c i="21" r="C32"/>
  <c i="21" r="C36"/>
  <c i="21" r="O36" s="1"/>
  <c i="21" r="O49" s="1"/>
  <c i="21" r="O61" s="1"/>
  <c i="21" r="O84" s="1"/>
  <c i="21" r="V46" s="1"/>
  <c i="21" r="AD34" s="1"/>
  <c i="21" r="AE34" s="1"/>
  <c i="21" r="C33"/>
  <c i="21" r="O33" s="1"/>
  <c i="21" r="O46" s="1"/>
  <c i="11" r="J34"/>
  <c i="11" r="J37"/>
  <c i="11" r="J31"/>
  <c i="11" r="J36"/>
  <c i="11" r="J35"/>
  <c i="11" r="J33"/>
  <c i="11" r="J32"/>
  <c i="21" r="P44"/>
  <c i="21" r="P56" s="1"/>
  <c i="21" r="P79" s="1"/>
  <c i="21" r="V44" s="1"/>
  <c i="21" r="AD28" s="1"/>
  <c i="21" r="AE28" s="1"/>
  <c i="24" r="F32"/>
  <c i="24" r="R32" s="1"/>
  <c i="24" r="R45" s="1"/>
  <c i="24" r="F39"/>
  <c i="24" r="F37"/>
  <c i="24" r="R37" s="1"/>
  <c i="24" r="R50" s="1"/>
  <c i="24" r="R62" s="1"/>
  <c i="24" r="R85" s="1"/>
  <c i="24" r="V45" s="1"/>
  <c i="24" r="AD29" s="1"/>
  <c i="24" r="AE29" s="1"/>
  <c i="24" r="F36"/>
  <c i="24" r="R36" s="1"/>
  <c i="24" r="R49" s="1"/>
  <c i="24" r="F38"/>
  <c i="24" r="F33"/>
  <c i="24" r="R33" s="1"/>
  <c i="24" r="R46" s="1"/>
  <c i="24" r="F35"/>
  <c i="24" r="R35" s="1"/>
  <c i="24" r="R48" s="1"/>
  <c i="24" r="F34"/>
  <c i="24" r="R34" s="1"/>
  <c i="24" r="R47" s="1"/>
  <c i="21" r="C39"/>
  <c i="21" r="P46"/>
  <c i="21" r="P58" s="1"/>
  <c i="21" r="P81" s="1"/>
  <c i="21" r="V38" s="1"/>
  <c i="21" r="AD17" s="1"/>
  <c i="21" r="AE17" s="1"/>
  <c i="21" r="P48"/>
  <c i="21" r="P60" s="1"/>
  <c i="21" r="P83" s="1"/>
  <c i="21" r="V36" s="1"/>
  <c i="21" r="AD12" s="1"/>
  <c i="21" r="AE12" s="1"/>
  <c i="21" r="P51"/>
  <c i="21" r="P63" s="1"/>
  <c i="21" r="P86" s="1"/>
  <c i="21" r="V33" s="1"/>
  <c i="21" r="AD7" s="1"/>
  <c i="21" r="AE7" s="1"/>
  <c i="21" r="P50"/>
  <c i="21" r="P62" s="1"/>
  <c i="21" r="P85" s="1"/>
  <c i="21" r="V50" s="1"/>
  <c i="21" r="AD39" s="1"/>
  <c i="21" r="AE39" s="1"/>
  <c i="21" r="P45"/>
  <c i="21" r="P57" s="1"/>
  <c i="21" r="P80" s="1"/>
  <c i="21" r="V42" s="1"/>
  <c i="21" r="AD23" s="1"/>
  <c i="21" r="AE23" s="1"/>
  <c i="21" r="P49"/>
  <c i="21" r="P61" s="1"/>
  <c i="21" r="P84" s="1"/>
  <c i="21" r="V47" s="1"/>
  <c i="21" r="AD35" s="1"/>
  <c i="21" r="AE35" s="1"/>
  <c i="24" r="Q58"/>
  <c i="24" r="Q81" s="1"/>
  <c i="24" r="V36" s="1"/>
  <c i="24" r="AD14" s="1"/>
  <c i="24" r="AE14" s="1"/>
  <c i="24" r="F31"/>
  <c i="24" r="R31" s="1"/>
  <c i="24" r="R44" s="1"/>
  <c i="24" r="R56" s="1"/>
  <c i="24" r="R79" s="1"/>
  <c i="24" r="V40" s="1"/>
  <c i="24" r="AD21" s="1"/>
  <c i="24" r="AE21" s="1"/>
  <c i="11" r="M22"/>
  <c i="11" r="U35" s="1"/>
  <c i="11" r="M24"/>
  <c i="11" r="U37" s="1"/>
  <c i="11" r="M17"/>
  <c i="11" r="U30" s="1"/>
  <c i="11" r="M20"/>
  <c i="11" r="U33" s="1"/>
  <c i="11" r="M19"/>
  <c i="11" r="U32" s="1"/>
  <c i="11" r="M18"/>
  <c i="11" r="U31" s="1"/>
  <c i="11" r="M23"/>
  <c i="11" r="U36" s="1"/>
  <c i="11" r="M21"/>
  <c i="11" r="U34" s="1"/>
  <c i="11" r="K20"/>
  <c i="11" r="S33" s="1"/>
  <c i="11" r="K21"/>
  <c i="11" r="S34" s="1"/>
  <c i="11" r="K22"/>
  <c i="11" r="S35" s="1"/>
  <c i="11" r="K18"/>
  <c i="11" r="S31" s="1"/>
  <c i="11" r="K25"/>
  <c i="11" r="S38" s="1"/>
  <c i="11" r="K17"/>
  <c i="11" r="S30" s="1"/>
  <c i="11" r="K19"/>
  <c i="11" r="S32" s="1"/>
  <c i="11" r="L38"/>
  <c i="11" r="L19" s="1"/>
  <c i="11" r="T32" s="1"/>
  <c i="11" r="K24"/>
  <c i="11" r="S37" s="1"/>
  <c i="24" r="AE7"/>
  <c i="24" r="AE18"/>
  <c i="10" r="H18"/>
  <c i="10" r="H17"/>
  <c i="10" r="H23"/>
  <c i="10" r="H21"/>
  <c i="10" r="H19"/>
  <c i="10" r="H22"/>
  <c i="10" r="H20"/>
  <c i="10" r="H24"/>
  <c i="10" r="H25"/>
  <c i="10" r="G22"/>
  <c i="10" r="Q35" s="1"/>
  <c i="10" r="E23"/>
  <c i="10" r="O36" s="1"/>
  <c i="10" r="G24"/>
  <c i="10" r="Q37" s="1"/>
  <c i="10" r="F25"/>
  <c i="10" r="P38" s="1"/>
  <c i="10" r="D23"/>
  <c i="10" r="N36" s="1"/>
  <c i="10" r="C18"/>
  <c i="10" r="M31" s="1"/>
  <c i="10" r="C20"/>
  <c i="10" r="M33" s="1"/>
  <c i="10" r="B19"/>
  <c i="10" r="L32" s="1"/>
  <c i="10" r="I17"/>
  <c i="10" r="U30" s="1"/>
  <c i="10" r="W30" s="1"/>
  <c i="10" r="E24"/>
  <c i="10" r="O37" s="1"/>
  <c i="10" r="B20"/>
  <c i="10" r="L33" s="1"/>
  <c i="10" r="D18"/>
  <c i="10" r="N31" s="1"/>
  <c i="10" r="F21"/>
  <c i="10" r="P34" s="1"/>
  <c i="10" r="F22"/>
  <c i="10" r="P35" s="1"/>
  <c i="10" r="F17"/>
  <c i="10" r="P30" s="1"/>
  <c i="10" r="G19"/>
  <c i="10" r="Q32" s="1"/>
  <c i="10" r="D20"/>
  <c i="10" r="N33" s="1"/>
  <c i="10" r="B17"/>
  <c i="10" r="L30" s="1"/>
  <c i="10" r="C22"/>
  <c i="10" r="M35" s="1"/>
  <c i="10" r="F20"/>
  <c i="10" r="P33" s="1"/>
  <c i="10" r="C21"/>
  <c i="10" r="M34" s="1"/>
  <c i="10" r="C23"/>
  <c i="10" r="M36" s="1"/>
  <c i="10" r="B18"/>
  <c i="10" r="L31" s="1"/>
  <c i="10" r="I20"/>
  <c i="10" r="R33" s="1"/>
  <c i="10" r="E18"/>
  <c i="10" r="O31" s="1"/>
  <c i="10" r="E17"/>
  <c i="10" r="O30" s="1"/>
  <c i="10" r="B21"/>
  <c i="10" r="L34" s="1"/>
  <c i="10" r="B22"/>
  <c i="10" r="L35" s="1"/>
  <c i="10" r="D17"/>
  <c i="10" r="N30" s="1"/>
  <c i="10" r="D22"/>
  <c i="10" r="N35" s="1"/>
  <c i="10" r="D19"/>
  <c i="10" r="N32" s="1"/>
  <c i="10" r="E25"/>
  <c i="10" r="O38" s="1"/>
  <c i="10" r="C24"/>
  <c i="10" r="M37" s="1"/>
  <c i="10" r="D21"/>
  <c i="10" r="N34" s="1"/>
  <c i="10" r="D25"/>
  <c i="10" r="N38" s="1"/>
  <c i="10" r="C25"/>
  <c i="10" r="M38" s="1"/>
  <c i="10" r="I19"/>
  <c i="10" r="R32" s="1"/>
  <c i="10" r="E21"/>
  <c i="10" r="O34" s="1"/>
  <c i="10" r="C19"/>
  <c i="10" r="M32" s="1"/>
  <c i="10" r="I21"/>
  <c i="10" r="R34" s="1"/>
  <c i="10" r="D24"/>
  <c i="10" r="N37" s="1"/>
  <c i="10" r="I22"/>
  <c i="10" r="R35" s="1"/>
  <c i="10" r="E19"/>
  <c i="10" r="O32" s="1"/>
  <c i="10" r="F18"/>
  <c i="10" r="P31" s="1"/>
  <c i="10" r="B23"/>
  <c i="10" r="L36" s="1"/>
  <c i="10" r="E20"/>
  <c i="10" r="O33" s="1"/>
  <c i="10" r="I18"/>
  <c i="10" r="R31" s="1"/>
  <c i="10" r="G21"/>
  <c i="10" r="Q34" s="1"/>
  <c i="10" r="G20"/>
  <c i="10" r="Q33" s="1"/>
  <c i="10" r="G18"/>
  <c i="10" r="Q31" s="1"/>
  <c i="10" r="E22"/>
  <c i="10" r="O35" s="1"/>
  <c i="10" r="G25"/>
  <c i="10" r="Q38" s="1"/>
  <c i="10" r="I25"/>
  <c i="10" r="R38" s="1"/>
  <c i="10" r="F19"/>
  <c i="10" r="P32" s="1"/>
  <c i="10" r="I24"/>
  <c i="10" r="U37" s="1"/>
  <c i="10" r="W37" s="1"/>
  <c i="10" r="I23"/>
  <c i="10" r="R36" s="1"/>
  <c i="10" r="G17"/>
  <c i="10" r="Q30" s="1"/>
  <c i="10" r="F24"/>
  <c i="10" r="P37" s="1"/>
  <c i="10" r="B25"/>
  <c i="10" r="L38" s="1"/>
  <c i="10" r="F23"/>
  <c i="10" r="P36" s="1"/>
  <c i="10" r="C17"/>
  <c i="10" r="M30" s="1"/>
  <c i="10" r="G23"/>
  <c i="10" r="Q36" s="1"/>
  <c i="10" r="B24"/>
  <c i="10" r="L37" s="1"/>
  <c i="24" l="1" r="R60"/>
  <c i="24" r="R83" s="1"/>
  <c i="24" r="V31" s="1"/>
  <c i="24" r="AD5" s="1"/>
  <c i="24" r="AE5" s="1"/>
  <c i="24" r="R61"/>
  <c i="24" r="R84" s="1"/>
  <c i="24" r="V42" s="1"/>
  <c i="24" r="AD24" s="1"/>
  <c i="24" r="AE24" s="1"/>
  <c i="24" r="R58"/>
  <c i="24" r="R81" s="1"/>
  <c i="24" r="V34" s="1"/>
  <c i="24" r="AD8" s="1"/>
  <c i="24" r="AE8" s="1"/>
  <c i="21" r="D39"/>
  <c i="11" r="J38"/>
  <c i="11" r="J20" s="1"/>
  <c i="11" r="R33" s="1"/>
  <c i="21" r="O32"/>
  <c i="21" r="O45" s="1"/>
  <c i="21" r="O57" s="1"/>
  <c i="21" r="O80" s="1"/>
  <c i="21" r="V41" s="1"/>
  <c i="21" r="AD22" s="1"/>
  <c i="21" r="AE22" s="1"/>
  <c i="24" r="R57"/>
  <c i="24" r="R80" s="1"/>
  <c i="24" r="V37" s="1"/>
  <c i="24" r="AD17" s="1"/>
  <c i="24" r="AE17" s="1"/>
  <c i="11" r="L20"/>
  <c i="11" r="T33" s="1"/>
  <c i="11" r="L18"/>
  <c i="11" r="T31" s="1"/>
  <c i="11" r="L23"/>
  <c i="11" r="T36" s="1"/>
  <c i="11" r="L25"/>
  <c i="11" r="T38" s="1"/>
  <c i="11" r="L17"/>
  <c i="11" r="T30" s="1"/>
  <c i="11" r="L22"/>
  <c i="11" r="T35" s="1"/>
  <c i="11" r="L21"/>
  <c i="11" r="T34" s="1"/>
  <c i="11" r="L24"/>
  <c i="11" r="T37" s="1"/>
  <c i="10" r="R30"/>
  <c i="10" r="U34"/>
  <c i="10" r="W34" s="1"/>
  <c i="10" r="U33"/>
  <c i="10" r="W33" s="1"/>
  <c i="10" r="U31"/>
  <c i="10" r="W31" s="1"/>
  <c i="10" r="U35"/>
  <c i="10" r="W35" s="1"/>
  <c i="10" r="U36"/>
  <c i="10" r="W36" s="1"/>
  <c i="10" r="R37"/>
  <c i="10" r="U38"/>
  <c i="10" r="W38" s="1"/>
  <c i="10" r="U32"/>
  <c i="10" r="W32" s="1"/>
  <c i="11" l="1" r="J21"/>
  <c i="11" r="R34" s="1"/>
  <c i="21" r="O58"/>
  <c i="21" r="O81" s="1"/>
  <c i="21" r="V39" s="1"/>
  <c i="21" r="AD18" s="1"/>
  <c i="21" r="AE18" s="1"/>
  <c i="11" r="J17"/>
  <c i="11" r="R30" s="1"/>
  <c i="11" r="J25"/>
  <c i="11" r="R38" s="1"/>
  <c i="11" r="J18"/>
  <c i="11" r="R31" s="1"/>
  <c i="11" r="J23"/>
  <c i="11" r="R36" s="1"/>
  <c i="11" r="J19"/>
  <c i="11" r="R32" s="1"/>
  <c i="11" r="J24"/>
  <c i="11" r="R37" s="1"/>
  <c i="11" r="J22"/>
  <c i="11" r="R35" s="1"/>
  <c i="1" r="I12"/>
  <c i="1" l="1" r="G25"/>
  <c i="1" r="Q38" s="1"/>
  <c i="1" r="J5"/>
  <c i="1" r="J9"/>
  <c i="1" r="J4"/>
  <c i="1" r="J6"/>
  <c i="1" r="J11"/>
  <c i="11" r="I11" s="1"/>
  <c i="1" r="J10"/>
  <c i="1" r="E20"/>
  <c i="1" r="O33" s="1"/>
  <c i="1" r="D19"/>
  <c i="1" r="N32" s="1"/>
  <c i="1" r="I20"/>
  <c i="1" r="U33" s="1"/>
  <c i="1" r="W33" s="1"/>
  <c i="1" r="D23"/>
  <c i="1" r="N36" s="1"/>
  <c i="1" r="B21"/>
  <c i="1" r="L34" s="1"/>
  <c i="1" r="E17"/>
  <c i="1" r="O30" s="1"/>
  <c i="1" r="E19"/>
  <c i="1" r="O32" s="1"/>
  <c i="1" r="G23"/>
  <c i="1" r="Q36" s="1"/>
  <c i="1" r="B18"/>
  <c i="1" r="L31" s="1"/>
  <c i="1" r="F20"/>
  <c i="1" r="P33" s="1"/>
  <c i="1" r="D17"/>
  <c i="1" r="N30" s="1"/>
  <c i="1" r="E18"/>
  <c i="1" r="O31" s="1"/>
  <c i="1" r="D21"/>
  <c i="1" r="N34" s="1"/>
  <c i="1" r="I24"/>
  <c i="1" r="R37" s="1"/>
  <c i="1" r="G20"/>
  <c i="1" r="Q33" s="1"/>
  <c i="1" r="G24"/>
  <c i="1" r="Q37" s="1"/>
  <c i="1" r="G19"/>
  <c i="1" r="Q32" s="1"/>
  <c i="1" r="C20"/>
  <c i="1" r="M33" s="1"/>
  <c i="1" r="G18"/>
  <c i="1" r="Q31" s="1"/>
  <c i="1" r="F22"/>
  <c i="1" r="P35" s="1"/>
  <c i="1" r="I22"/>
  <c i="1" r="U35" s="1"/>
  <c i="1" r="W35" s="1"/>
  <c i="1" r="C25"/>
  <c i="1" r="M38" s="1"/>
  <c i="1" r="B24"/>
  <c i="1" r="L37" s="1"/>
  <c i="1" r="F23"/>
  <c i="1" r="P36" s="1"/>
  <c i="1" r="B23"/>
  <c i="1" r="L36" s="1"/>
  <c i="1" r="E22"/>
  <c i="1" r="O35" s="1"/>
  <c i="1" r="R33"/>
  <c i="1" r="B20"/>
  <c i="1" r="L33" s="1"/>
  <c i="1" r="I17"/>
  <c i="1" r="B19"/>
  <c i="1" r="L32" s="1"/>
  <c i="1" r="H23"/>
  <c i="1" r="D22"/>
  <c i="1" r="N35" s="1"/>
  <c i="1" r="H18"/>
  <c i="1" r="H22"/>
  <c i="1" r="C23"/>
  <c i="1" r="M36" s="1"/>
  <c i="1" r="E24"/>
  <c i="1" r="O37" s="1"/>
  <c i="1" r="H17"/>
  <c i="1" r="B22"/>
  <c i="1" r="L35" s="1"/>
  <c i="1" r="H21"/>
  <c i="1" r="C21"/>
  <c i="1" r="M34" s="1"/>
  <c i="1" r="H20"/>
  <c i="1" r="C19"/>
  <c i="1" r="M32" s="1"/>
  <c i="1" r="G22"/>
  <c i="1" r="Q35" s="1"/>
  <c i="1" r="H25"/>
  <c i="1" r="H24"/>
  <c i="1" r="G21"/>
  <c i="1" r="Q34" s="1"/>
  <c i="1" r="C17"/>
  <c i="1" r="M30" s="1"/>
  <c i="1" r="C24"/>
  <c i="1" r="M37" s="1"/>
  <c i="1" r="E21"/>
  <c i="1" r="O34" s="1"/>
  <c i="1" r="D20"/>
  <c i="1" r="N33" s="1"/>
  <c i="1" r="I25"/>
  <c i="1" r="F19"/>
  <c i="1" r="P32" s="1"/>
  <c i="1" r="B25"/>
  <c i="1" r="L38" s="1"/>
  <c i="1" r="I23"/>
  <c i="11" r="B11"/>
  <c i="1" r="F25"/>
  <c i="1" r="P38" s="1"/>
  <c i="1" r="D24"/>
  <c i="1" r="N37" s="1"/>
  <c i="1" r="F24"/>
  <c i="1" r="P37" s="1"/>
  <c i="1" r="D25"/>
  <c i="1" r="N38" s="1"/>
  <c i="1" r="F17"/>
  <c i="1" r="P30" s="1"/>
  <c i="1" r="F21"/>
  <c i="1" r="P34" s="1"/>
  <c i="11" r="B10"/>
  <c i="1" r="C22"/>
  <c i="1" r="M35" s="1"/>
  <c i="1" r="I19"/>
  <c i="1" r="E23"/>
  <c i="1" r="O36" s="1"/>
  <c i="1" r="I18"/>
  <c i="1" r="I21"/>
  <c i="1" r="F18"/>
  <c i="1" r="P31" s="1"/>
  <c i="1" r="D18"/>
  <c i="1" r="N31" s="1"/>
  <c i="1" r="H19"/>
  <c i="1" r="B17"/>
  <c i="1" r="L30" s="1"/>
  <c i="1" r="C18"/>
  <c i="1" r="M31" s="1"/>
  <c i="1" r="G17"/>
  <c i="1" r="Q30" s="1"/>
  <c i="1" r="E25"/>
  <c i="1" r="O38" s="1"/>
  <c i="11" l="1" r="I10"/>
  <c i="11" r="N10" s="1"/>
  <c i="11" r="I6"/>
  <c i="11" r="N6" s="1"/>
  <c i="11" r="B6"/>
  <c i="1" r="J12"/>
  <c i="1" r="R35"/>
  <c i="11" r="I9"/>
  <c i="11" r="N9" s="1"/>
  <c i="11" r="B9"/>
  <c i="11" r="I5"/>
  <c i="11" r="N5" s="1"/>
  <c i="11" r="B5"/>
  <c i="20" r="AE22"/>
  <c i="1" r="U37"/>
  <c i="1" r="W37" s="1"/>
  <c i="1" r="R30"/>
  <c i="1" r="U30"/>
  <c i="1" r="W30" s="1"/>
  <c i="1" r="U32"/>
  <c i="1" r="W32" s="1"/>
  <c i="1" r="R32"/>
  <c i="1" r="R31"/>
  <c i="1" r="U31"/>
  <c i="1" r="W31" s="1"/>
  <c i="1" r="U34"/>
  <c i="1" r="W34" s="1"/>
  <c i="1" r="R34"/>
  <c i="11" r="N11"/>
  <c i="1" r="U38"/>
  <c i="1" r="W38" s="1"/>
  <c i="1" r="R38"/>
  <c i="1" r="U36"/>
  <c i="1" r="W36" s="1"/>
  <c i="1" r="R36"/>
  <c i="20" l="1" r="C26"/>
  <c i="20" r="C32" s="1"/>
  <c i="11" r="I4"/>
  <c i="11" r="B4"/>
  <c i="11" r="B12" s="1"/>
  <c i="11" r="B25" s="1"/>
  <c i="11" r="E38" s="1"/>
  <c i="20" r="F26"/>
  <c i="20" l="1" r="C37"/>
  <c i="20" r="O37" s="1"/>
  <c i="20" r="O50" s="1"/>
  <c i="20" r="O62" s="1"/>
  <c i="20" r="O85" s="1"/>
  <c i="20" r="V49" s="1"/>
  <c i="20" r="AD33" s="1"/>
  <c i="20" r="AE33" s="1"/>
  <c i="20" r="C36"/>
  <c i="20" r="O36" s="1"/>
  <c i="20" r="O49" s="1"/>
  <c i="20" r="O61" s="1"/>
  <c i="20" r="O84" s="1"/>
  <c i="20" r="V46" s="1"/>
  <c i="20" r="AD29" s="1"/>
  <c i="20" r="AE29" s="1"/>
  <c i="20" r="F39"/>
  <c i="20" r="F32"/>
  <c i="20" r="R32" s="1"/>
  <c i="20" r="R45" s="1"/>
  <c i="20" r="R57" s="1"/>
  <c i="20" r="R80" s="1"/>
  <c i="20" r="V40" s="1"/>
  <c i="20" r="AD19" s="1"/>
  <c i="20" r="AE19" s="1"/>
  <c i="20" r="F38"/>
  <c i="20" r="F37"/>
  <c i="20" r="R37" s="1"/>
  <c i="20" r="R50" s="1"/>
  <c i="20" r="R62" s="1"/>
  <c i="20" r="R85" s="1"/>
  <c i="20" r="V48" s="1"/>
  <c i="20" r="AD31" s="1"/>
  <c i="20" r="AE31" s="1"/>
  <c i="20" r="F36"/>
  <c i="20" r="R36" s="1"/>
  <c i="20" r="R49" s="1"/>
  <c i="20" r="R61" s="1"/>
  <c i="20" r="R84" s="1"/>
  <c i="20" r="V45" s="1"/>
  <c i="20" r="AD26" s="1"/>
  <c i="20" r="AE26" s="1"/>
  <c i="20" r="F34"/>
  <c i="20" r="R34" s="1"/>
  <c i="20" r="R47" s="1"/>
  <c i="20" r="R59" s="1"/>
  <c i="20" r="R82" s="1"/>
  <c i="20" r="V31" s="1"/>
  <c i="20" r="AD5" s="1"/>
  <c i="20" r="AE5" s="1"/>
  <c i="20" r="F35"/>
  <c i="20" r="R35" s="1"/>
  <c i="20" r="R48" s="1"/>
  <c i="20" r="R60" s="1"/>
  <c i="20" r="R83" s="1"/>
  <c i="20" r="V34" s="1"/>
  <c i="20" r="AD8" s="1"/>
  <c i="20" r="AE8" s="1"/>
  <c i="20" r="F33"/>
  <c i="20" r="R33" s="1"/>
  <c i="20" r="R46" s="1"/>
  <c i="20" r="R58" s="1"/>
  <c i="20" r="R81" s="1"/>
  <c i="20" r="V37" s="1"/>
  <c i="20" r="AD11" s="1"/>
  <c i="20" r="AE11" s="1"/>
  <c i="11" r="N4"/>
  <c i="11" r="N12" s="1"/>
  <c i="11" r="I12"/>
  <c i="20" r="D26"/>
  <c i="20" r="F31"/>
  <c i="20" r="R31" s="1"/>
  <c i="20" r="R44" s="1"/>
  <c i="20" r="R56" s="1"/>
  <c i="20" r="R79" s="1"/>
  <c i="20" r="V43" s="1"/>
  <c i="20" r="AD23" s="1"/>
  <c i="20" r="AE23" s="1"/>
  <c i="20" r="E26"/>
  <c i="20" r="C33"/>
  <c i="20" r="O33" s="1"/>
  <c i="20" r="O46" s="1"/>
  <c i="20" r="C38"/>
  <c i="20" r="C34"/>
  <c i="20" r="O34" s="1"/>
  <c i="20" r="O47" s="1"/>
  <c i="20" r="O59" s="1"/>
  <c i="20" r="O82" s="1"/>
  <c i="20" r="V32" s="1"/>
  <c i="20" r="AD6" s="1"/>
  <c i="20" r="AE6" s="1"/>
  <c i="20" r="C35"/>
  <c i="20" r="O35" s="1"/>
  <c i="20" r="O48" s="1"/>
  <c i="20" r="O60" s="1"/>
  <c i="20" r="O83" s="1"/>
  <c i="20" r="V35" s="1"/>
  <c i="20" r="AD9" s="1"/>
  <c i="20" r="AE9" s="1"/>
  <c i="20" r="C31"/>
  <c i="20" r="C39" s="1"/>
  <c i="11" l="1" r="I34"/>
  <c i="11" r="N34" s="1"/>
  <c i="11" r="I35"/>
  <c i="11" r="N35" s="1"/>
  <c i="11" r="I31"/>
  <c i="11" r="N31" s="1"/>
  <c i="11" r="I33"/>
  <c i="11" r="I30"/>
  <c i="11" r="N30" s="1"/>
  <c i="11" r="I37"/>
  <c i="11" r="N37" s="1"/>
  <c i="11" r="I36"/>
  <c i="11" r="N36" s="1"/>
  <c i="11" r="I32"/>
  <c i="11" r="N32" s="1"/>
  <c i="20" r="O32"/>
  <c i="20" r="O45" s="1"/>
  <c i="20" r="O57" s="1"/>
  <c i="20" r="O80" s="1"/>
  <c i="20" r="V41" s="1"/>
  <c i="20" r="AD20" s="1"/>
  <c i="20" r="AE20" s="1"/>
  <c i="20" r="E39"/>
  <c i="20" r="E38"/>
  <c i="20" r="E34"/>
  <c i="20" r="Q34" s="1"/>
  <c i="20" r="Q47" s="1"/>
  <c i="20" r="Q59" s="1"/>
  <c i="20" r="Q82" s="1"/>
  <c i="20" r="V33" s="1"/>
  <c i="20" r="AD7" s="1"/>
  <c i="20" r="AE7" s="1"/>
  <c i="20" r="E35"/>
  <c i="20" r="E33"/>
  <c i="20" r="E32"/>
  <c i="20" r="E37"/>
  <c i="20" r="E36"/>
  <c i="20" r="E31"/>
  <c i="20" r="Q31" s="1"/>
  <c i="20" r="Q44" s="1"/>
  <c i="20" r="Q56" s="1"/>
  <c i="20" r="Q79" s="1"/>
  <c i="20" r="V44" s="1"/>
  <c i="20" r="AD24" s="1"/>
  <c i="20" r="AE24" s="1"/>
  <c i="20" r="P35"/>
  <c i="20" r="P48" s="1"/>
  <c i="20" r="P60" s="1"/>
  <c i="20" r="P83" s="1"/>
  <c i="20" r="V36" s="1"/>
  <c i="20" r="AD10" s="1"/>
  <c i="20" r="AE10" s="1"/>
  <c i="20" r="P37"/>
  <c i="20" r="P50" s="1"/>
  <c i="20" r="P62" s="1"/>
  <c i="20" r="P85" s="1"/>
  <c i="20" r="V50" s="1"/>
  <c i="20" r="AD34" s="1"/>
  <c i="20" r="AE34" s="1"/>
  <c i="20" r="P36"/>
  <c i="20" r="P49" s="1"/>
  <c i="20" r="P61" s="1"/>
  <c i="20" r="P84" s="1"/>
  <c i="20" r="V47" s="1"/>
  <c i="20" r="AD30" s="1"/>
  <c i="20" r="AE30" s="1"/>
  <c i="20" r="P33"/>
  <c i="20" r="P46" s="1"/>
  <c i="11" r="I38"/>
  <c i="11" r="I20" s="1"/>
  <c i="11" r="Q33" s="1"/>
  <c i="11" r="N33"/>
  <c i="20" l="1" r="P32"/>
  <c i="20" r="P45" s="1"/>
  <c i="20" r="P57" s="1"/>
  <c i="20" r="P80" s="1"/>
  <c i="20" r="V42" s="1"/>
  <c i="20" r="AD21" s="1"/>
  <c i="20" r="AE21" s="1"/>
  <c i="20" r="O58"/>
  <c i="20" r="O81" s="1"/>
  <c i="20" r="V38" s="1"/>
  <c i="20" r="AD15" s="1"/>
  <c i="20" r="AE15" s="1"/>
  <c i="20" r="D39"/>
  <c i="11" r="I17"/>
  <c i="11" r="Q30" s="1"/>
  <c i="11" r="I25"/>
  <c i="11" r="Q38" s="1"/>
  <c i="11" r="I18"/>
  <c i="11" r="Q31" s="1"/>
  <c i="11" r="I22"/>
  <c i="11" r="Q35" s="1"/>
  <c i="11" r="I24"/>
  <c i="11" r="Q37" s="1"/>
  <c i="11" r="I21"/>
  <c i="11" r="Q34" s="1"/>
  <c i="11" r="N38"/>
  <c i="11" r="I23"/>
  <c i="11" r="Q36" s="1"/>
  <c i="11" r="I19"/>
  <c i="11" r="Q32" s="1"/>
  <c i="20" l="1" r="P58"/>
  <c i="20" r="P81" s="1"/>
  <c i="20" r="V39" s="1"/>
  <c i="20" r="AD16" s="1"/>
  <c i="20" r="AE16" s="1"/>
  <c i="11" r="N22"/>
  <c i="11" r="N19"/>
  <c i="11" r="N21"/>
  <c i="11" r="N17"/>
  <c i="11" r="N25"/>
  <c i="11" r="V38" s="1"/>
  <c i="11" r="N23"/>
  <c i="11" r="N18"/>
  <c i="11" r="N24"/>
  <c i="11" r="N20"/>
  <c i="11" l="1" r="V36"/>
  <c i="11" r="B23"/>
  <c i="11" r="E36" s="1"/>
  <c i="11" r="B20"/>
  <c i="11" r="E33" s="1"/>
  <c i="11" r="V33"/>
  <c i="11" r="B19"/>
  <c i="11" r="E32" s="1"/>
  <c i="11" r="V32"/>
  <c i="11" r="V37"/>
  <c i="11" r="B24"/>
  <c i="11" r="E37" s="1"/>
  <c i="11" r="B18"/>
  <c i="11" r="E31" s="1"/>
  <c i="11" r="V31"/>
  <c i="11" r="B17"/>
  <c i="11" r="E30" s="1"/>
  <c i="11" r="V30"/>
  <c i="11" r="V34"/>
  <c i="11" r="B21"/>
  <c i="11" r="E34" s="1"/>
  <c i="11" r="B22"/>
  <c i="11" r="E35" s="1"/>
  <c i="11" r="V35"/>
</calcChain>
</file>

<file path=xl/sharedStrings.xml><?xml version="1.0" encoding="utf-8"?>
<sst xmlns="http://schemas.openxmlformats.org/spreadsheetml/2006/main" count="3064" uniqueCount="347">
  <si>
    <t>Mode</t>
  </si>
  <si>
    <t>Drive Alone</t>
  </si>
  <si>
    <t>Shared Ride 2</t>
  </si>
  <si>
    <t>Shared Ride 3+</t>
  </si>
  <si>
    <t>Drive-Transit</t>
  </si>
  <si>
    <t>Walk-Transit</t>
  </si>
  <si>
    <t>Bike</t>
  </si>
  <si>
    <t>Walk</t>
  </si>
  <si>
    <t>School Bus</t>
  </si>
  <si>
    <t>0-veh HHs</t>
  </si>
  <si>
    <t>&gt;0-veh HHs</t>
  </si>
  <si>
    <t>Table X. Estimated Work Tour Modes:DaySim</t>
  </si>
  <si>
    <t>Table X. Estimated School Tour Modes:DaySim</t>
  </si>
  <si>
    <t>Table X. Estimated Escort Tour Modes:DaySim</t>
  </si>
  <si>
    <t>Table X. Estimated Meal Tour Modes:DaySim</t>
  </si>
  <si>
    <t>Table X. Estimated Shop Tour Modes:DaySim</t>
  </si>
  <si>
    <t>Table X. Estimated Social/Recreational Tour Modes:DaySim</t>
  </si>
  <si>
    <t>Table X. Estimated Personal Business Tour Modes:DaySim</t>
  </si>
  <si>
    <t>Work Tour Mode</t>
  </si>
  <si>
    <t>Total</t>
  </si>
  <si>
    <t>Table X. Estimated-Observed Different Work Tour Modes</t>
  </si>
  <si>
    <t>Table X. Estimated-Observed Workbased Tour Mode Share Difference</t>
  </si>
  <si>
    <t>Table X. Estimated SocRec Tour Modes:DaySim</t>
  </si>
  <si>
    <t>Table X. Estimated-Observed Different SocRec Tour Modes</t>
  </si>
  <si>
    <t>Table X. Estimated Tour Modes All Purposes:DaySim</t>
  </si>
  <si>
    <t>Table X. Estimated Tour Mode Shares All Purposes:DaySim</t>
  </si>
  <si>
    <t>Table X. Estimated-Observed Different Tour Mode Shares</t>
  </si>
  <si>
    <t>Table X. Estimated-Observed Different School Tour Modes</t>
  </si>
  <si>
    <t>Table X. Estimated-Observed Different Escort Tour Modes</t>
  </si>
  <si>
    <t>Table X. Estimated Personal Busines Tour Modes:DaySim</t>
  </si>
  <si>
    <t>Table X. Estimated-Observed Different Personal Busines Tour Modes</t>
  </si>
  <si>
    <t>Table X. Estimated-Observed Different Shop Tour Modes</t>
  </si>
  <si>
    <t>Table X. Estimated-Observed Different Meal Tour Modes</t>
  </si>
  <si>
    <t>DaySim</t>
  </si>
  <si>
    <t>Diff</t>
  </si>
  <si>
    <t>WORK TOUR MODE</t>
  </si>
  <si>
    <t>SCHOOL TOUR MODE</t>
  </si>
  <si>
    <t>ESCORT TOUR MODE</t>
  </si>
  <si>
    <t>PERSONAL BUSINESS TOUR MODE</t>
  </si>
  <si>
    <t>SHOP TOUR MODE</t>
  </si>
  <si>
    <t>MEAL TOUR MODE</t>
  </si>
  <si>
    <t>SOCIAL/RECREATIONAL TOUR MODE</t>
  </si>
  <si>
    <t>This set of summaries is just a crosstabulations from the tour file based on HH vehicle availability</t>
  </si>
  <si>
    <t>For work-based tours, it is based on Work tour mode</t>
  </si>
  <si>
    <t>Table X. Observed Tour Mode Shares All Purposes: Survey</t>
  </si>
  <si>
    <t>Survey</t>
  </si>
  <si>
    <t>Table X. Observed Workbased Tour Modes: Survey</t>
  </si>
  <si>
    <t>Table X. Estimated Workbased Tour Modes: Survey</t>
  </si>
  <si>
    <t>Table X. Observed Workbased Tour Mode Shares: Survey</t>
  </si>
  <si>
    <t>Table X. Estimated Workbased Tour Mode Shares: Survey</t>
  </si>
  <si>
    <t>Index</t>
  </si>
  <si>
    <t>Name</t>
  </si>
  <si>
    <t>Descr</t>
  </si>
  <si>
    <t>costutil</t>
  </si>
  <si>
    <t>F</t>
  </si>
  <si>
    <t>timeutil</t>
  </si>
  <si>
    <t>sb-const</t>
  </si>
  <si>
    <t>sb-chun5</t>
  </si>
  <si>
    <t>sb-univtr</t>
  </si>
  <si>
    <t>wt-const</t>
  </si>
  <si>
    <t>wt-nocars</t>
  </si>
  <si>
    <t>wt-carsltd</t>
  </si>
  <si>
    <t>wt-chun5</t>
  </si>
  <si>
    <t>T</t>
  </si>
  <si>
    <t>wt-univtr</t>
  </si>
  <si>
    <t>wt-ch1617</t>
  </si>
  <si>
    <t>s3-const</t>
  </si>
  <si>
    <t>s3-twophh</t>
  </si>
  <si>
    <t>s2-onephh</t>
  </si>
  <si>
    <t>s2-const</t>
  </si>
  <si>
    <t>sr-nocars</t>
  </si>
  <si>
    <t>sr-incu25</t>
  </si>
  <si>
    <t>sr-inc2550</t>
  </si>
  <si>
    <t>sr-chun5</t>
  </si>
  <si>
    <t>da-const</t>
  </si>
  <si>
    <t>da-carsltd</t>
  </si>
  <si>
    <t>da-incu25</t>
  </si>
  <si>
    <t>da-inco75</t>
  </si>
  <si>
    <t>da-ch1617</t>
  </si>
  <si>
    <t>bi-const</t>
  </si>
  <si>
    <t>bi-male</t>
  </si>
  <si>
    <t>bi-univtr</t>
  </si>
  <si>
    <t>wk-univtr</t>
  </si>
  <si>
    <t>tr-ologts</t>
  </si>
  <si>
    <t>tr-dmixed</t>
  </si>
  <si>
    <t>da-escsptr</t>
  </si>
  <si>
    <t>da-othsptr</t>
  </si>
  <si>
    <t>sr-escsptr</t>
  </si>
  <si>
    <t>sr-othsptr</t>
  </si>
  <si>
    <t>bi-class1</t>
  </si>
  <si>
    <t>bi-class2</t>
  </si>
  <si>
    <t>bi-gauntl</t>
  </si>
  <si>
    <t>bi-omixed</t>
  </si>
  <si>
    <t>bi-dempdn</t>
  </si>
  <si>
    <t>bi-dmixed</t>
  </si>
  <si>
    <t>wk-dmixed</t>
  </si>
  <si>
    <t>modenest</t>
  </si>
  <si>
    <t>noCarsInHouseholdFlag</t>
  </si>
  <si>
    <t>carsLessThanDriversFlag</t>
  </si>
  <si>
    <t>childUnder5Flag</t>
  </si>
  <si>
    <t>adultFlag</t>
  </si>
  <si>
    <t>drivingAgeStudentFlag</t>
  </si>
  <si>
    <t>destinationParcel.MixedUse2Index1()</t>
  </si>
  <si>
    <t>Log(originParcel.StopsTransitBuffer1 + 1)</t>
  </si>
  <si>
    <t>destinationParkingCost * tour.CostCoefficient / ChoiceModelUtility.CPFACT3)</t>
  </si>
  <si>
    <t>twoPersonHouseholdFlag</t>
  </si>
  <si>
    <t>onePersonHouseholdFlag</t>
  </si>
  <si>
    <t>income0To25KFlag</t>
  </si>
  <si>
    <t>income25To50KFlag</t>
  </si>
  <si>
    <t>escortPercentage</t>
  </si>
  <si>
    <t>nonEscortPercentage</t>
  </si>
  <si>
    <t>destinationParkingCost * tour.CostCoefficient / ChoiceModelUtility.CPFACT2</t>
  </si>
  <si>
    <t>destinationParkingCost * tour.CostCoefficient</t>
  </si>
  <si>
    <t>income75KPlusFlag</t>
  </si>
  <si>
    <t>maleFlag</t>
  </si>
  <si>
    <t>destinationParcel.MixedUse4Index1()</t>
  </si>
  <si>
    <t>destinationParcel.TotalEmploymentDensity1()</t>
  </si>
  <si>
    <t>originParcel.MixedUse4Index1()</t>
  </si>
  <si>
    <t>(class1Dist &gt; 0).ToFlag()</t>
  </si>
  <si>
    <t>(class2Dist &gt; 0).ToFlag()</t>
  </si>
  <si>
    <t>(worstDist &gt; 0).ToFlag()</t>
  </si>
  <si>
    <t>generalizedTimeLogsumExtra * tour.TimeCoefficient</t>
  </si>
  <si>
    <t>Walk to transit</t>
  </si>
  <si>
    <t>s3-hhcu5</t>
  </si>
  <si>
    <t>s3-hh515</t>
  </si>
  <si>
    <t>s3-hhdas</t>
  </si>
  <si>
    <t>sr-carsltd</t>
  </si>
  <si>
    <t>hov-const</t>
  </si>
  <si>
    <t>wk-ageo50</t>
  </si>
  <si>
    <t>wk-dintd</t>
  </si>
  <si>
    <t>wk-hhcu5</t>
  </si>
  <si>
    <t>wk-hh515</t>
  </si>
  <si>
    <t>wk-hhdas</t>
  </si>
  <si>
    <t>generalizedTimeLogsum * tour.TimeCoefficient</t>
  </si>
  <si>
    <t>childrenUnder5</t>
  </si>
  <si>
    <t>childrenAge5Through15</t>
  </si>
  <si>
    <t>drivingAgeStudents</t>
  </si>
  <si>
    <t>ageBetween51And98Flag</t>
  </si>
  <si>
    <t>destinationParcel.NetIntersectionDensity1()</t>
  </si>
  <si>
    <t>dt-const</t>
  </si>
  <si>
    <t>dt-nocars</t>
  </si>
  <si>
    <t>dt-carsltw</t>
  </si>
  <si>
    <t>sr-hhcu5</t>
  </si>
  <si>
    <t>sr-hh515</t>
  </si>
  <si>
    <t>sr-lndist</t>
  </si>
  <si>
    <t>s3-onephh</t>
  </si>
  <si>
    <t>da-carsltw</t>
  </si>
  <si>
    <t>bi-ageo50</t>
  </si>
  <si>
    <t>wk-male</t>
  </si>
  <si>
    <t>tr-omixed</t>
  </si>
  <si>
    <t>tr-dintdn</t>
  </si>
  <si>
    <t>tr-dempdn</t>
  </si>
  <si>
    <t>WorkTourModeCoefficients_SACOG-v1.5.F12</t>
  </si>
  <si>
    <t>carsLessThanWorkersFlag</t>
  </si>
  <si>
    <t>Park and Ride</t>
  </si>
  <si>
    <t>originParcel.MixedUse2Index1()</t>
  </si>
  <si>
    <t>destinationParkingCost * tour.CostCoefficient / Global.Configuration.Coefficients_HOV3CostDivisor_Work</t>
  </si>
  <si>
    <t>pathTypeModel.PathDistance.AlmostEquals(0) ? 0 : Math.Log(pathTypeModel.PathDistance)</t>
  </si>
  <si>
    <t>destinationParkingCost * tour.CostCoefficient / Global.Configuration.Coefficients_HOV2CostDivisor_Work</t>
  </si>
  <si>
    <t>(destinationParkingCost) * tour.CostCoefficient</t>
  </si>
  <si>
    <t>sr-hhnwa</t>
  </si>
  <si>
    <t>sr-carsltw</t>
  </si>
  <si>
    <t>inc0to25k</t>
  </si>
  <si>
    <t>tr-shop</t>
  </si>
  <si>
    <t>sr-shop</t>
  </si>
  <si>
    <t>sr-meal</t>
  </si>
  <si>
    <t>sr-socrec</t>
  </si>
  <si>
    <t>bi-socrec</t>
  </si>
  <si>
    <t>bi-ohhddn</t>
  </si>
  <si>
    <t>wk-meal</t>
  </si>
  <si>
    <t>wk-socrec</t>
  </si>
  <si>
    <t>wk-ohhddn</t>
  </si>
  <si>
    <t>wk-dempdn</t>
  </si>
  <si>
    <t>shoppingTourFlag</t>
  </si>
  <si>
    <t>destinationParkingCost * tour.CostCoefficient / ChoiceModelUtility.CPFACT3</t>
  </si>
  <si>
    <t>nonworkingAdults + retiredAdults</t>
  </si>
  <si>
    <t>mealTourFlag</t>
  </si>
  <si>
    <t>socialOrRecreationTourFlag</t>
  </si>
  <si>
    <t>originParcel.HouseholdDensity1()</t>
  </si>
  <si>
    <t>destinationParcel.HouseholdDensity1()</t>
  </si>
  <si>
    <t>generalizedTime * tour.TimeCoefficient</t>
  </si>
  <si>
    <t>Escort</t>
  </si>
  <si>
    <t>Other</t>
  </si>
  <si>
    <t>da-inc2550</t>
  </si>
  <si>
    <t>da-dtowork</t>
  </si>
  <si>
    <t>da-stowork</t>
  </si>
  <si>
    <t>bi-btowork</t>
  </si>
  <si>
    <t>wk-wtowork</t>
  </si>
  <si>
    <t>sr-dtowork</t>
  </si>
  <si>
    <t>sr-stowork</t>
  </si>
  <si>
    <t>destinationParkingCost * subtour.CostCoefficient / ChoiceModelUtility.CPFACT3</t>
  </si>
  <si>
    <t>sovTourFlag</t>
  </si>
  <si>
    <t>hov2TourFlag</t>
  </si>
  <si>
    <t>destinationParkingCost * subtour.CostCoefficient / ChoiceModelUtility.CPFACT2</t>
  </si>
  <si>
    <t>destinationParkingCost * subtour.CostCoefficient</t>
  </si>
  <si>
    <t>bikeTourFlag</t>
  </si>
  <si>
    <t>walkTourFlag</t>
  </si>
  <si>
    <t>generalizedTimeLogsum * subtour.TimeCoefficient</t>
  </si>
  <si>
    <t>Coeff Adjustment</t>
  </si>
  <si>
    <t>Old Coeff</t>
  </si>
  <si>
    <t>New Coeff</t>
  </si>
  <si>
    <t>Instructions:</t>
  </si>
  <si>
    <t>By: nagendra.dhakar@rsginc.com</t>
  </si>
  <si>
    <t>Select all(ctrl+A)</t>
  </si>
  <si>
    <t>Paste in cell A8</t>
  </si>
  <si>
    <t>Go to "Data" --&gt;Text to Columns - Select "Delimited" ---&gt; "Space" ---&gt; Finish</t>
  </si>
  <si>
    <t>Work</t>
  </si>
  <si>
    <t>tour</t>
  </si>
  <si>
    <t>mode</t>
  </si>
  <si>
    <t>choice</t>
  </si>
  <si>
    <t>Created</t>
  </si>
  <si>
    <t>by</t>
  </si>
  <si>
    <t>ALOGIT</t>
  </si>
  <si>
    <t>version</t>
  </si>
  <si>
    <t>on</t>
  </si>
  <si>
    <t>Apr</t>
  </si>
  <si>
    <t>END</t>
  </si>
  <si>
    <t>School</t>
  </si>
  <si>
    <t>HB</t>
  </si>
  <si>
    <t>work-based</t>
  </si>
  <si>
    <t>subtour</t>
  </si>
  <si>
    <t>Old</t>
  </si>
  <si>
    <t>New</t>
  </si>
  <si>
    <t>Coeff Index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</si>
  <si>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</si>
  <si>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</si>
  <si>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</si>
  <si>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</si>
  <si>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</si>
  <si>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</si>
  <si>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</si>
  <si>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</si>
  <si>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Choose column mode and select 4th columns from line 4 to line 50</t>
  </si>
  <si>
    <t>Hold Alt and using mouse select the 4th column from line line 4 to line 50</t>
  </si>
  <si>
    <t>cars &lt; adults</t>
  </si>
  <si>
    <t>cars &gt;= adults</t>
  </si>
  <si>
    <t>cars &gt;= workers</t>
  </si>
  <si>
    <t>cars &lt; workers</t>
  </si>
  <si>
    <t>Table X. Observed Tour Modes All Purposes: Survey</t>
  </si>
  <si>
    <t>nocars</t>
  </si>
  <si>
    <t>constant</t>
  </si>
  <si>
    <t>41, 36</t>
  </si>
  <si>
    <t>42, 37</t>
  </si>
  <si>
    <t>Calibration coefficients for work purpose</t>
  </si>
  <si>
    <t>Ratio (Observed/Estimated)</t>
  </si>
  <si>
    <t>Frequency</t>
  </si>
  <si>
    <t>Damp</t>
  </si>
  <si>
    <t>s3-nocars</t>
  </si>
  <si>
    <t>s3-carsltd</t>
  </si>
  <si>
    <t>bi-nocars</t>
  </si>
  <si>
    <t>bi-carsltd</t>
  </si>
  <si>
    <t>wk-const</t>
  </si>
  <si>
    <t>wk-nocars</t>
  </si>
  <si>
    <t>wk-carsltd</t>
  </si>
  <si>
    <t>014:02:09</t>
  </si>
  <si>
    <t>Share (Observed)</t>
  </si>
  <si>
    <t>Share (Estimated)</t>
  </si>
  <si>
    <t>LN(Ratio)</t>
  </si>
  <si>
    <t>Coeff</t>
  </si>
  <si>
    <t>Coeff Index (from the above table)</t>
  </si>
  <si>
    <t>Note: The marked SR2 ratios are for combined sr2 and sr3</t>
  </si>
  <si>
    <t>Note: SR3 coeff are calculated by deducting SR2 (=SR2+SR3) coeffi</t>
  </si>
  <si>
    <t>014:17:24</t>
  </si>
  <si>
    <t>015:26:24</t>
  </si>
  <si>
    <t>43, 37</t>
  </si>
  <si>
    <t>015:24:16</t>
  </si>
  <si>
    <t>Calibration coefficients for school tour purpose</t>
  </si>
  <si>
    <t>Calibration coefficients for escort tour purpose</t>
  </si>
  <si>
    <t>Calibration coefficients for other tour purpose</t>
  </si>
  <si>
    <t>Survey (adjusted for transit)</t>
  </si>
  <si>
    <t>015:55:36</t>
  </si>
  <si>
    <t>WorkBased</t>
  </si>
  <si>
    <t>ABM</t>
  </si>
  <si>
    <t>Count</t>
  </si>
  <si>
    <t>ABM (share) -Survey (share)</t>
  </si>
  <si>
    <t>Refer to "Transit Calibration Targets.xlsx"</t>
  </si>
  <si>
    <t>row percent for scaling the OBS targets total</t>
  </si>
  <si>
    <t>Table X. Observed Work Tour Modes: HH Survey</t>
  </si>
  <si>
    <t>On-Board Survey</t>
  </si>
  <si>
    <t>Table X. Observed School Tour Modes: HH Survey</t>
  </si>
  <si>
    <t>Table X. Observed Escort Tour Modes: HH Survey</t>
  </si>
  <si>
    <t>Table X. Observed Personal Business Tour Modes: HH Survey</t>
  </si>
  <si>
    <t>Table X. Observed Personal Busines Tour Modes: HH Survey</t>
  </si>
  <si>
    <t>Table X. Observed Shop Tour Modes: HH Survey</t>
  </si>
  <si>
    <t>Table X. Observed Meal Tour Modes: HH Survey</t>
  </si>
  <si>
    <t>Table X. Observed Social/Recreational Tour Modes: HH Survey</t>
  </si>
  <si>
    <t>Table X. Observed SocRecTour Modes: HH Survey</t>
  </si>
  <si>
    <t>HH Survey</t>
  </si>
  <si>
    <t>EscortTourModeCoefficients_model</t>
  </si>
  <si>
    <t>SchoolTourModeCoefficients_model</t>
  </si>
  <si>
    <t>WorkTourModeCoefficients_model</t>
  </si>
  <si>
    <t>OtherHomeBasedTourModeCoefficients_model</t>
  </si>
  <si>
    <t>WorkBasedSubtourModeCoefficients_model</t>
  </si>
  <si>
    <t>Open "WorkTourModeCoefficients_model" ini Notepad+</t>
  </si>
  <si>
    <t>Open "SchoolTourModeCoefficients_model" ini Notepad+</t>
  </si>
  <si>
    <t>Open "EscortTourModeCoefficients_model" ini Notepad+</t>
  </si>
  <si>
    <t>Open "OtherHomeBasedTourModeCoefficients_model" ini Notepad+</t>
  </si>
  <si>
    <t>Open "WorkBasedSubtourModeCoefficients_model" in Notepad+</t>
  </si>
  <si>
    <t>Open "WorkTourModeCoefficients_model" in UltraEdit</t>
  </si>
  <si>
    <t>Open "WorkTourModeCoefficients_model"</t>
  </si>
  <si>
    <t>Copy (Ctrl-c) cells AD3:AD38</t>
  </si>
  <si>
    <t>Open "SchoolTourModeCoefficients_model" in UltraEdit</t>
  </si>
  <si>
    <t>Open "SchoolTourModeCoefficients_model"</t>
  </si>
  <si>
    <t>Copy (Ctrl-c) cells AD3:AD44</t>
  </si>
  <si>
    <t>Open "EscortTourModeCoefficients_model" in UltraEdit</t>
  </si>
  <si>
    <t>Open "EscortTourModeCoefficients_model"</t>
  </si>
  <si>
    <t>Copy (Ctrl-c) cells AD3:AD25</t>
  </si>
  <si>
    <t>Open "OtherHomeBasedTourModeCoefficients_model" in UltraEdit</t>
  </si>
  <si>
    <t>Open "OtherHomeBasedTourModeCoefficients_model"</t>
  </si>
  <si>
    <t>Copy (Ctrl-c) cells AD3:AD47</t>
  </si>
  <si>
    <t>Open "WorkBasedSubtourModeCoefficients_model" in UltraEdit</t>
  </si>
  <si>
    <t>Open "WorkBasedSubtourModeCoefficients_model"</t>
  </si>
  <si>
    <t>Copy (Ctrl-c) cells AD3:AD19</t>
  </si>
  <si>
    <t>Note: same for all other purposes, factored in total</t>
  </si>
  <si>
    <t>wt-inc75p</t>
  </si>
  <si>
    <t>sb-nocars</t>
  </si>
  <si>
    <t>sb-carsltd</t>
  </si>
  <si>
    <t>s2-carsltd</t>
  </si>
  <si>
    <t>s3-carsltw</t>
  </si>
  <si>
    <t>Flag</t>
  </si>
  <si>
    <t>Scaled Survey</t>
  </si>
  <si>
    <t>Scaled Share</t>
  </si>
  <si>
    <t>Drive Transit</t>
  </si>
  <si>
    <t>Walk Transit</t>
  </si>
  <si>
    <t>work</t>
  </si>
  <si>
    <t>school</t>
  </si>
  <si>
    <t>other</t>
  </si>
  <si>
    <t>workbased</t>
  </si>
  <si>
    <t>drive</t>
  </si>
  <si>
    <t>walk</t>
  </si>
  <si>
    <t>total</t>
  </si>
  <si>
    <t>Scaled</t>
  </si>
  <si>
    <t>Table X. Observed Work Tour Modes: Survey</t>
  </si>
  <si>
    <t>Survey Original Targets</t>
  </si>
  <si>
    <t>Survey Revised Targets</t>
  </si>
  <si>
    <t>share</t>
  </si>
  <si>
    <t>adj transit</t>
  </si>
  <si>
    <t>scaled total</t>
  </si>
  <si>
    <t>Workbased</t>
  </si>
  <si>
    <t>Adjusted Work Tour Modes: Survey</t>
  </si>
  <si>
    <t>Table X. Observed School Tour Modes: Survey</t>
  </si>
  <si>
    <t>Adjusted School Tour Modes: Survey</t>
  </si>
  <si>
    <t>Table X. Observed Escort Tour Modes: Survey</t>
  </si>
  <si>
    <t>Table X. Observed Other Tour Modes: Survey</t>
  </si>
  <si>
    <t>Table X. Estimated Other Tour Modes:DaySim</t>
  </si>
  <si>
    <t>Adjusted Other Tour Modes: Survey</t>
  </si>
  <si>
    <t>Adjusted Workbased Tour Modes: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</si>
</sst>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(* #,##0.00_);_(* \(#,##0.00\);_(* &quot;-&quot;??_);_(@_)"/>
    <numFmt numFmtId="164" formatCode="0.0%"/>
    <numFmt numFmtId="165" formatCode="mm/dd/yyyy\ hh:mm:ss"/>
    <numFmt numFmtId="166" formatCode="0.000000"/>
    <numFmt numFmtId="167" formatCode="0.000000000000"/>
    <numFmt numFmtId="168" formatCode="0.000"/>
    <numFmt numFmtId="169" formatCode="_(* #,##0_);_(* \(#,##0\);_(* &quot;-&quot;??_);_(@_)"/>
    <numFmt numFmtId="170" formatCode="_(* #,##0.0000_);_(* \(#,##0.0000\);_(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Verdana"/>
      <family val="2"/>
    </font>
    <font>
      <b/>
      <u/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10">
    <xf borderId="0" fillId="0" fontId="0" numFmtId="0"/>
    <xf borderId="0" fillId="0" fontId="2" numFmtId="0">
      <alignment wrapText="1"/>
    </xf>
    <xf borderId="0" fillId="5" fontId="4" numFmtId="0">
      <alignment wrapText="1"/>
    </xf>
    <xf borderId="0" fillId="0" fontId="4" numFmtId="165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165">
      <alignment wrapText="1"/>
    </xf>
    <xf applyAlignment="0" applyBorder="0" applyFill="0" applyFont="0" applyProtection="0" borderId="0" fillId="0" fontId="4" numFmtId="9"/>
    <xf applyAlignment="0" applyBorder="0" applyFill="0" applyFont="0" applyProtection="0" borderId="0" fillId="0" fontId="4" numFmtId="43"/>
  </cellStyleXfs>
  <cellXfs count="182">
    <xf borderId="0" fillId="0" fontId="0" numFmtId="0" xfId="0"/>
    <xf applyBorder="1" applyFont="1" borderId="1" fillId="0" fontId="1" numFmtId="0" xfId="0"/>
    <xf applyBorder="1" borderId="2" fillId="0" fontId="0" numFmtId="0" xfId="0"/>
    <xf applyBorder="1" borderId="1" fillId="0" fontId="0" numFmtId="0" xfId="0"/>
    <xf applyAlignment="1" applyBorder="1" borderId="2" fillId="0" fontId="0" numFmtId="0" xfId="0">
      <alignment horizontal="center"/>
    </xf>
    <xf applyBorder="1" applyFont="1" borderId="0" fillId="0" fontId="1" numFmtId="0" xfId="0"/>
    <xf applyBorder="1" borderId="3" fillId="0" fontId="0" numFmtId="0" xfId="0"/>
    <xf applyAlignment="1" applyBorder="1" borderId="3" fillId="0" fontId="0" numFmtId="0" xfId="0">
      <alignment horizontal="center"/>
    </xf>
    <xf applyAlignment="1" borderId="0" fillId="0" fontId="2" numFmtId="0" xfId="1"/>
    <xf applyNumberFormat="1" borderId="0" fillId="0" fontId="0" numFmtId="3" xfId="0"/>
    <xf applyBorder="1" applyNumberFormat="1" borderId="1" fillId="0" fontId="0" numFmtId="3" xfId="0"/>
    <xf applyAlignment="1" applyBorder="1" borderId="0" fillId="0" fontId="0" numFmtId="0" xfId="0">
      <alignment horizontal="center"/>
    </xf>
    <xf applyBorder="1" applyNumberFormat="1" borderId="0" fillId="0" fontId="0" numFmtId="3" xfId="0"/>
    <xf applyBorder="1" applyFill="1" applyNumberFormat="1" borderId="1" fillId="0" fontId="0" numFmtId="3" xfId="0"/>
    <xf applyBorder="1" applyNumberFormat="1" borderId="3" fillId="0" fontId="0" numFmtId="3" xfId="0"/>
    <xf applyBorder="1" applyFill="1" borderId="4" fillId="0" fontId="0" numFmtId="0" xfId="0"/>
    <xf applyNumberFormat="1" borderId="0" fillId="0" fontId="0" numFmtId="164" xfId="0"/>
    <xf applyBorder="1" applyNumberFormat="1" borderId="3" fillId="0" fontId="0" numFmtId="164" xfId="0"/>
    <xf applyBorder="1" applyNumberFormat="1" borderId="4" fillId="0" fontId="0" numFmtId="164" xfId="0"/>
    <xf applyBorder="1" applyNumberFormat="1" borderId="4" fillId="0" fontId="0" numFmtId="3" xfId="0"/>
    <xf applyBorder="1" applyNumberFormat="1" borderId="0" fillId="0" fontId="0" numFmtId="164" xfId="0"/>
    <xf applyBorder="1" applyFill="1" applyFont="1" borderId="1" fillId="2" fontId="1" numFmtId="0" xfId="0"/>
    <xf applyBorder="1" applyFill="1" borderId="1" fillId="2" fontId="0" numFmtId="0" xfId="0"/>
    <xf applyFill="1" applyNumberFormat="1" borderId="0" fillId="2" fontId="0" numFmtId="3" xfId="0"/>
    <xf applyFill="1" applyNumberFormat="1" borderId="0" fillId="2" fontId="0" numFmtId="164" xfId="0"/>
    <xf applyBorder="1" applyFill="1" applyNumberFormat="1" borderId="1" fillId="2" fontId="0" numFmtId="3" xfId="0"/>
    <xf applyBorder="1" applyFill="1" applyNumberFormat="1" borderId="4" fillId="2" fontId="0" numFmtId="164" xfId="0"/>
    <xf applyBorder="1" applyFill="1" applyFont="1" borderId="2" fillId="3" fontId="3" numFmtId="0" xfId="0"/>
    <xf applyAlignment="1" applyBorder="1" applyFill="1" applyFont="1" borderId="2" fillId="3" fontId="3" numFmtId="0" xfId="0">
      <alignment horizontal="center"/>
    </xf>
    <xf applyAlignment="1" applyBorder="1" applyFill="1" applyFont="1" borderId="3" fillId="3" fontId="3" numFmtId="0" xfId="0">
      <alignment horizontal="center"/>
    </xf>
    <xf applyFill="1" applyNumberFormat="1" borderId="0" fillId="4" fontId="0" numFmtId="3" xfId="0"/>
    <xf applyFill="1" applyNumberFormat="1" borderId="0" fillId="4" fontId="0" numFmtId="164" xfId="0"/>
    <xf applyBorder="1" applyFill="1" applyNumberFormat="1" borderId="3" fillId="4" fontId="0" numFmtId="3" xfId="0"/>
    <xf applyBorder="1" applyFill="1" applyNumberFormat="1" borderId="3" fillId="4" fontId="0" numFmtId="164" xfId="0"/>
    <xf applyAlignment="1" borderId="0" fillId="0" fontId="0" numFmtId="0" xfId="0">
      <alignment horizontal="left"/>
    </xf>
    <xf applyNumberFormat="1" borderId="0" fillId="0" fontId="0" numFmtId="11" xfId="0"/>
    <xf applyFont="1" borderId="0" fillId="0" fontId="6" numFmtId="0" xfId="0"/>
    <xf applyFont="1" borderId="0" fillId="0" fontId="5" numFmtId="0" xfId="0"/>
    <xf applyBorder="1" borderId="5" fillId="0" fontId="0" numFmtId="0" xfId="0"/>
    <xf applyBorder="1" applyFill="1" applyNumberFormat="1" borderId="0" fillId="0" fontId="0" numFmtId="3" xfId="0"/>
    <xf applyNumberFormat="1" borderId="0" fillId="0" fontId="0" numFmtId="9" xfId="0"/>
    <xf applyBorder="1" borderId="0" fillId="0" fontId="0" numFmtId="0" xfId="0"/>
    <xf applyBorder="1" applyNumberFormat="1" borderId="0" fillId="0" fontId="0" numFmtId="9" xfId="0"/>
    <xf applyNumberFormat="1" borderId="0" fillId="0" fontId="0" numFmtId="21" xfId="0"/>
    <xf applyAlignment="1" applyFont="1" borderId="0" fillId="0" fontId="1" numFmtId="0" xfId="0">
      <alignment horizontal="right"/>
    </xf>
    <xf applyFill="1" borderId="0" fillId="6" fontId="0" numFmtId="0" xfId="0"/>
    <xf applyNumberFormat="1" borderId="0" fillId="0" fontId="0" numFmtId="166" xfId="0"/>
    <xf applyFill="1" borderId="0" fillId="0" fontId="0" numFmtId="0" xfId="0"/>
    <xf applyFill="1" applyFont="1" borderId="0" fillId="6" fontId="6" numFmtId="0" xfId="0"/>
    <xf applyFont="1" borderId="0" fillId="0" fontId="7" numFmtId="0" xfId="0"/>
    <xf applyFont="1" borderId="0" fillId="0" fontId="8" numFmtId="0" xfId="0"/>
    <xf applyFont="1" borderId="0" fillId="0" fontId="9" numFmtId="0" xfId="0"/>
    <xf applyAlignment="1" applyNumberFormat="1" borderId="0" fillId="0" fontId="0" numFmtId="0" xfId="0">
      <alignment horizontal="center"/>
    </xf>
    <xf applyAlignment="1" applyBorder="1" borderId="0" fillId="0" fontId="0" numFmtId="0" xfId="0">
      <alignment horizontal="center"/>
    </xf>
    <xf applyFont="1" borderId="0" fillId="0" fontId="0" numFmtId="9" xfId="8"/>
    <xf applyAlignment="1" applyBorder="1" applyNumberFormat="1" borderId="0" fillId="0" fontId="0" numFmtId="0" xfId="0">
      <alignment horizontal="center"/>
    </xf>
    <xf applyAlignment="1" applyBorder="1" borderId="0" fillId="0" fontId="0" numFmtId="0" xfId="0">
      <alignment horizontal="right"/>
    </xf>
    <xf applyBorder="1" applyFill="1" applyFont="1" applyNumberFormat="1" borderId="0" fillId="0" fontId="1" numFmtId="3" xfId="0"/>
    <xf applyAlignment="1" borderId="0" fillId="0" fontId="0" numFmtId="0" xfId="0">
      <alignment horizontal="center"/>
    </xf>
    <xf applyBorder="1" applyFont="1" borderId="2" fillId="0" fontId="1" numFmtId="0" xfId="0"/>
    <xf applyAlignment="1" applyBorder="1" applyFont="1" borderId="2" fillId="0" fontId="1" numFmtId="0" xfId="0">
      <alignment horizontal="right"/>
    </xf>
    <xf applyFont="1" borderId="0" fillId="0" fontId="1" numFmtId="0" xfId="0"/>
    <xf applyAlignment="1" applyBorder="1" applyFill="1" applyNumberFormat="1" borderId="5" fillId="0" fontId="0" numFmtId="2" xfId="0">
      <alignment horizontal="center"/>
    </xf>
    <xf applyAlignment="1" applyBorder="1" applyFill="1" applyNumberFormat="1" borderId="0" fillId="0" fontId="0" numFmtId="2" xfId="0">
      <alignment horizontal="center"/>
    </xf>
    <xf applyAlignment="1" applyBorder="1" applyFill="1" applyNumberFormat="1" borderId="3" fillId="0" fontId="0" numFmtId="2" xfId="0">
      <alignment horizontal="center"/>
    </xf>
    <xf applyBorder="1" applyNumberFormat="1" borderId="0" fillId="0" fontId="0" numFmtId="0" xfId="0"/>
    <xf applyBorder="1" applyFill="1" applyFont="1" applyNumberFormat="1" borderId="4" fillId="0" fontId="1" numFmtId="3" xfId="0"/>
    <xf applyBorder="1" applyFont="1" applyNumberFormat="1" borderId="4" fillId="0" fontId="1" numFmtId="3" xfId="0"/>
    <xf applyBorder="1" applyFont="1" borderId="4" fillId="0" fontId="1" numFmtId="9" xfId="8"/>
    <xf applyBorder="1" applyFont="1" applyNumberFormat="1" borderId="4" fillId="0" fontId="1" numFmtId="9" xfId="0"/>
    <xf applyBorder="1" applyFont="1" borderId="0" fillId="0" fontId="6" numFmtId="0" xfId="0"/>
    <xf applyAlignment="1" applyBorder="1" applyNumberFormat="1" borderId="0" fillId="0" fontId="0" numFmtId="0" xfId="0">
      <alignment horizontal="center" vertical="center"/>
    </xf>
    <xf applyAlignment="1" applyBorder="1" applyNumberFormat="1" borderId="5" fillId="0" fontId="0" numFmtId="166" xfId="0">
      <alignment horizontal="right"/>
    </xf>
    <xf applyAlignment="1" applyBorder="1" applyNumberFormat="1" borderId="0" fillId="0" fontId="0" numFmtId="166" xfId="0">
      <alignment horizontal="right"/>
    </xf>
    <xf applyAlignment="1" applyBorder="1" applyNumberFormat="1" borderId="3" fillId="0" fontId="0" numFmtId="166" xfId="0">
      <alignment horizontal="right"/>
    </xf>
    <xf applyAlignment="1" applyBorder="1" borderId="5" fillId="0" fontId="0" numFmtId="0" xfId="0">
      <alignment horizontal="center"/>
    </xf>
    <xf applyAlignment="1" applyBorder="1" applyFill="1" applyNumberFormat="1" borderId="5" fillId="0" fontId="0" numFmtId="166" xfId="0">
      <alignment horizontal="center"/>
    </xf>
    <xf applyAlignment="1" applyBorder="1" applyFill="1" applyNumberFormat="1" borderId="0" fillId="0" fontId="0" numFmtId="166" xfId="0">
      <alignment horizontal="center"/>
    </xf>
    <xf applyAlignment="1" applyBorder="1" applyFill="1" applyNumberFormat="1" borderId="3" fillId="0" fontId="0" numFmtId="166" xfId="0">
      <alignment horizontal="center"/>
    </xf>
    <xf applyFill="1" borderId="0" fillId="8" fontId="0" numFmtId="0" xfId="0"/>
    <xf applyBorder="1" applyNumberFormat="1" borderId="3" fillId="0" fontId="0" numFmtId="166" xfId="0"/>
    <xf applyNumberFormat="1" borderId="0" fillId="0" fontId="0" numFmtId="167" xfId="0"/>
    <xf applyFill="1" applyNumberFormat="1" borderId="0" fillId="7" fontId="0" numFmtId="167" xfId="0"/>
    <xf applyFill="1" applyNumberFormat="1" borderId="0" fillId="6" fontId="0" numFmtId="167" xfId="0"/>
    <xf applyFill="1" applyNumberFormat="1" borderId="0" fillId="0" fontId="0" numFmtId="167" xfId="0"/>
    <xf applyAlignment="1" applyBorder="1" applyFill="1" applyNumberFormat="1" borderId="6" fillId="0" fontId="0" numFmtId="2" xfId="0">
      <alignment horizontal="center"/>
    </xf>
    <xf applyAlignment="1" applyBorder="1" applyFill="1" applyNumberFormat="1" borderId="7" fillId="0" fontId="0" numFmtId="2" xfId="0">
      <alignment horizontal="center"/>
    </xf>
    <xf applyAlignment="1" applyBorder="1" applyNumberFormat="1" borderId="6" fillId="0" fontId="0" numFmtId="166" xfId="0">
      <alignment horizontal="right"/>
    </xf>
    <xf applyAlignment="1" applyBorder="1" borderId="0" fillId="0" fontId="0" numFmtId="0" xfId="0">
      <alignment horizontal="center"/>
    </xf>
    <xf applyAlignment="1" applyBorder="1" applyFill="1" applyNumberFormat="1" borderId="8" fillId="0" fontId="0" numFmtId="2" xfId="0">
      <alignment horizontal="center"/>
    </xf>
    <xf applyBorder="1" applyNumberFormat="1" borderId="0" fillId="0" fontId="0" numFmtId="166" xfId="0"/>
    <xf applyAlignment="1" applyBorder="1" applyNumberFormat="1" borderId="9" fillId="0" fontId="0" numFmtId="166" xfId="0">
      <alignment horizontal="right"/>
    </xf>
    <xf applyAlignment="1" applyBorder="1" applyFont="1" borderId="10" fillId="0" fontId="1" numFmtId="0" xfId="0">
      <alignment horizontal="right"/>
    </xf>
    <xf applyFill="1" borderId="0" fillId="2" fontId="0" numFmtId="0" xfId="0"/>
    <xf applyBorder="1" applyFill="1" applyFont="1" borderId="3" fillId="2" fontId="1" numFmtId="0" xfId="0"/>
    <xf applyAlignment="1" applyBorder="1" applyFill="1" applyFont="1" borderId="3" fillId="2" fontId="1" numFmtId="0" xfId="0">
      <alignment horizontal="right"/>
    </xf>
    <xf applyFill="1" applyFont="1" applyNumberFormat="1" borderId="0" fillId="2" fontId="1" numFmtId="3" xfId="0"/>
    <xf applyBorder="1" applyFill="1" borderId="3" fillId="2" fontId="0" numFmtId="0" xfId="0"/>
    <xf applyBorder="1" applyFill="1" applyFont="1" applyNumberFormat="1" borderId="3" fillId="2" fontId="1" numFmtId="3" xfId="0"/>
    <xf applyBorder="1" applyFill="1" applyFont="1" borderId="4" fillId="2" fontId="1" numFmtId="0" xfId="0"/>
    <xf applyBorder="1" applyFill="1" applyFont="1" applyNumberFormat="1" borderId="4" fillId="2" fontId="1" numFmtId="3" xfId="0"/>
    <xf applyFill="1" applyFont="1" borderId="0" fillId="2" fontId="0" numFmtId="9" xfId="8"/>
    <xf applyFill="1" applyFont="1" applyNumberFormat="1" borderId="0" fillId="2" fontId="1" numFmtId="164" xfId="8"/>
    <xf applyBorder="1" applyFill="1" applyFont="1" borderId="3" fillId="2" fontId="0" numFmtId="9" xfId="8"/>
    <xf applyBorder="1" applyFill="1" applyFont="1" applyNumberFormat="1" borderId="3" fillId="2" fontId="1" numFmtId="164" xfId="8"/>
    <xf applyBorder="1" applyFill="1" applyFont="1" borderId="4" fillId="2" fontId="1" numFmtId="9" xfId="8"/>
    <xf applyFill="1" applyFont="1" applyNumberFormat="1" borderId="0" fillId="2" fontId="0" numFmtId="164" xfId="8"/>
    <xf applyBorder="1" applyFill="1" applyFont="1" applyNumberFormat="1" borderId="3" fillId="2" fontId="0" numFmtId="164" xfId="8"/>
    <xf applyBorder="1" applyFill="1" applyFont="1" applyNumberFormat="1" borderId="4" fillId="2" fontId="1" numFmtId="164" xfId="8"/>
    <xf applyAlignment="1" applyBorder="1" borderId="0" fillId="0" fontId="0" numFmtId="0" xfId="0">
      <alignment horizontal="center"/>
    </xf>
    <xf applyAlignment="1" applyBorder="1" applyFill="1" borderId="3" fillId="9" fontId="0" numFmtId="0" xfId="0">
      <alignment horizontal="center"/>
    </xf>
    <xf applyFill="1" applyNumberFormat="1" borderId="0" fillId="9" fontId="0" numFmtId="3" xfId="0"/>
    <xf applyBorder="1" applyFill="1" applyNumberFormat="1" borderId="3" fillId="9" fontId="0" numFmtId="3" xfId="0"/>
    <xf applyBorder="1" applyFill="1" applyNumberFormat="1" borderId="1" fillId="9" fontId="0" numFmtId="3" xfId="0"/>
    <xf applyFont="1" applyNumberFormat="1" borderId="0" fillId="0" fontId="0" numFmtId="10" xfId="8"/>
    <xf applyNumberFormat="1" borderId="0" fillId="0" fontId="0" numFmtId="10" xfId="0"/>
    <xf applyNumberFormat="1" borderId="0" fillId="0" fontId="0" numFmtId="168" xfId="0"/>
    <xf applyNumberFormat="1" borderId="0" fillId="0" fontId="0" numFmtId="2" xfId="0"/>
    <xf applyBorder="1" applyNumberFormat="1" borderId="5" fillId="0" fontId="0" numFmtId="3" xfId="0"/>
    <xf applyFill="1" applyNumberFormat="1" borderId="0" fillId="8" fontId="0" numFmtId="3" xfId="0"/>
    <xf applyFont="1" applyNumberFormat="1" borderId="0" fillId="0" fontId="0" numFmtId="164" xfId="8"/>
    <xf applyAlignment="1" borderId="0" fillId="0" fontId="0" numFmtId="0" xfId="0">
      <alignment horizontal="right"/>
    </xf>
    <xf applyFill="1" applyFont="1" applyNumberFormat="1" borderId="0" fillId="2" fontId="0" numFmtId="2" xfId="8"/>
    <xf applyFill="1" applyFont="1" applyNumberFormat="1" borderId="0" fillId="2" fontId="0" numFmtId="10" xfId="8"/>
    <xf applyFill="1" applyFont="1" applyNumberFormat="1" borderId="0" fillId="2" fontId="1" numFmtId="10" xfId="8"/>
    <xf applyFont="1" applyNumberFormat="1" borderId="0" fillId="0" fontId="0" numFmtId="169" xfId="9"/>
    <xf applyBorder="1" applyNumberFormat="1" borderId="1" fillId="0" fontId="0" numFmtId="166" xfId="0"/>
    <xf applyBorder="1" applyFill="1" borderId="0" fillId="0" fontId="0" numFmtId="0" xfId="0"/>
    <xf applyBorder="1" applyFill="1" borderId="1" fillId="0" fontId="0" numFmtId="0" xfId="0"/>
    <xf applyNumberFormat="1" borderId="0" fillId="0" fontId="0" numFmtId="170" xfId="0"/>
    <xf applyAlignment="1" applyBorder="1" borderId="0" fillId="0" fontId="0" numFmtId="0" xfId="0">
      <alignment horizontal="center"/>
    </xf>
    <xf applyNumberFormat="1" borderId="0" fillId="0" fontId="0" numFmtId="169" xfId="0"/>
    <xf applyNumberFormat="1" borderId="0" fillId="0" fontId="0" numFmtId="43" xfId="0"/>
    <xf applyAlignment="1" applyBorder="1" applyFill="1" borderId="0" fillId="0" fontId="0" numFmtId="0" xfId="0">
      <alignment horizontal="center"/>
    </xf>
    <xf applyAlignment="1" applyBorder="1" applyFill="1" applyFont="1" borderId="0" fillId="2" fontId="1" numFmtId="0" xfId="0">
      <alignment horizontal="center"/>
    </xf>
    <xf applyAlignment="1" applyBorder="1" borderId="0" fillId="0" fontId="0" numFmtId="0" xfId="0">
      <alignment horizontal="center"/>
    </xf>
    <xf applyAlignment="1" applyBorder="1" applyFont="1" borderId="0" fillId="0" fontId="0" numFmtId="0" xfId="0">
      <alignment horizontal="center"/>
    </xf>
    <xf applyAlignment="1" applyFont="1" borderId="0" fillId="0" fontId="6" numFmtId="0" xfId="0">
      <alignment horizontal="center"/>
    </xf>
    <xf applyAlignment="1" applyBorder="1" applyFill="1" applyFont="1" applyNumberFormat="1" borderId="0" fillId="0" fontId="6" numFmtId="3" xfId="0">
      <alignment horizontal="center"/>
    </xf>
    <xf applyAlignment="1" borderId="0" fillId="0" fontId="0" numFmtId="0" xfId="0">
      <alignment horizontal="center" wrapText="1"/>
    </xf>
    <xf applyBorder="1" applyFill="1" applyFont="1" applyNumberFormat="1" borderId="0" fillId="0" fontId="6" numFmtId="3" xfId="0"/>
    <xf applyBorder="1" applyFill="1" applyFont="1" applyNumberFormat="1" borderId="0" fillId="10" fontId="6" numFmtId="3" xfId="0"/>
    <xf applyFill="1" borderId="0" fillId="10" fontId="0" numFmtId="0" xfId="0"/>
    <xf applyAlignment="1" applyBorder="1" applyFont="1" applyNumberFormat="1" borderId="2" fillId="0" fontId="1" numFmtId="169" xfId="9">
      <alignment horizontal="right"/>
    </xf>
    <xf applyAlignment="1" applyBorder="1" applyFont="1" applyNumberFormat="1" borderId="0" fillId="0" fontId="1" numFmtId="169" xfId="9">
      <alignment horizontal="right"/>
    </xf>
    <xf applyAlignment="1" applyBorder="1" applyFont="1" borderId="0" fillId="0" fontId="1" numFmtId="0" xfId="0">
      <alignment horizontal="center"/>
    </xf>
    <xf applyAlignment="1" applyBorder="1" applyFont="1" borderId="2" fillId="0" fontId="1" numFmtId="0" xfId="0">
      <alignment horizontal="center"/>
    </xf>
    <xf applyAlignment="1" applyBorder="1" applyFont="1" borderId="3" fillId="0" fontId="1" numFmtId="0" xfId="0">
      <alignment horizontal="center"/>
    </xf>
    <xf applyBorder="1" applyFill="1" borderId="2" fillId="10" fontId="0" numFmtId="0" xfId="0"/>
    <xf applyFill="1" applyNumberFormat="1" borderId="0" fillId="10" fontId="0" numFmtId="3" xfId="0"/>
    <xf applyFill="1" applyNumberFormat="1" borderId="0" fillId="10" fontId="0" numFmtId="164" xfId="0"/>
    <xf applyFill="1" applyFont="1" applyNumberFormat="1" borderId="0" fillId="11" fontId="0" numFmtId="169" xfId="9"/>
    <xf applyBorder="1" applyFont="1" applyNumberFormat="1" borderId="3" fillId="0" fontId="0" numFmtId="169" xfId="9"/>
    <xf applyBorder="1" applyFill="1" applyNumberFormat="1" borderId="3" fillId="10" fontId="0" numFmtId="3" xfId="0"/>
    <xf applyBorder="1" applyFill="1" applyNumberFormat="1" borderId="3" fillId="10" fontId="0" numFmtId="164" xfId="0"/>
    <xf applyBorder="1" applyFont="1" applyNumberFormat="1" borderId="1" fillId="0" fontId="1" numFmtId="169" xfId="9"/>
    <xf applyFont="1" applyNumberFormat="1" borderId="0" fillId="0" fontId="1" numFmtId="164" xfId="8"/>
    <xf applyBorder="1" applyFont="1" applyNumberFormat="1" borderId="0" fillId="0" fontId="1" numFmtId="169" xfId="9"/>
    <xf applyBorder="1" applyFill="1" applyFont="1" applyNumberFormat="1" borderId="1" fillId="0" fontId="1" numFmtId="3" xfId="0"/>
    <xf applyBorder="1" applyFont="1" applyNumberFormat="1" borderId="1" fillId="0" fontId="1" numFmtId="3" xfId="0"/>
    <xf applyBorder="1" applyFont="1" applyNumberFormat="1" borderId="0" fillId="0" fontId="1" numFmtId="3" xfId="0"/>
    <xf applyFont="1" borderId="0" fillId="0" fontId="1" numFmtId="9" xfId="8"/>
    <xf applyBorder="1" applyFill="1" applyNumberFormat="1" borderId="4" fillId="0" fontId="0" numFmtId="3" xfId="0"/>
    <xf applyBorder="1" applyFill="1" applyNumberFormat="1" borderId="4" fillId="10" fontId="0" numFmtId="3" xfId="0"/>
    <xf applyBorder="1" applyFill="1" applyNumberFormat="1" borderId="4" fillId="10" fontId="0" numFmtId="164" xfId="0"/>
    <xf applyBorder="1" applyFill="1" applyNumberFormat="1" borderId="0" fillId="10" fontId="0" numFmtId="3" xfId="0"/>
    <xf applyBorder="1" applyFill="1" applyNumberFormat="1" borderId="0" fillId="10" fontId="0" numFmtId="164" xfId="0"/>
    <xf applyFont="1" applyNumberFormat="1" borderId="0" fillId="0" fontId="0" numFmtId="43" xfId="9"/>
    <xf applyAlignment="1" applyBorder="1" applyFont="1" applyNumberFormat="1" borderId="2" fillId="0" fontId="1" numFmtId="169" xfId="9">
      <alignment horizontal="center"/>
    </xf>
    <xf applyAlignment="1" applyBorder="1" applyFont="1" applyNumberFormat="1" borderId="3" fillId="0" fontId="1" numFmtId="169" xfId="9">
      <alignment horizontal="center"/>
    </xf>
    <xf applyAlignment="1" applyBorder="1" applyFont="1" borderId="0" fillId="0" fontId="1" numFmtId="0" xfId="0">
      <alignment horizontal="right"/>
    </xf>
    <xf borderId="0" fillId="0" fontId="0" numFmtId="0" quotePrefix="1" xfId="0"/>
    <xf applyFill="1" applyNumberFormat="1" borderId="0" fillId="11" fontId="0" numFmtId="3" xfId="0"/>
    <xf applyFill="1" applyNumberFormat="1" borderId="0" fillId="0" fontId="0" numFmtId="3" xfId="0"/>
    <xf applyAlignment="1" applyBorder="1" borderId="10" fillId="0" fontId="0" numFmtId="0" xfId="0"/>
    <xf applyAlignment="1" applyBorder="1" borderId="0" fillId="0" fontId="0" numFmtId="0" xfId="0"/>
    <xf applyAlignment="1" applyBorder="1" applyFont="1" borderId="0" fillId="0" fontId="0" numFmtId="0" xfId="0"/>
    <xf applyBorder="1" applyFont="1" applyNumberFormat="1" borderId="0" fillId="0" fontId="0" numFmtId="164" xfId="8"/>
    <xf applyBorder="1" applyFill="1" applyNumberFormat="1" borderId="0" fillId="11" fontId="0" numFmtId="3" xfId="0"/>
    <xf applyBorder="1" applyFont="1" applyNumberFormat="1" borderId="0" fillId="0" fontId="1" numFmtId="164" xfId="8"/>
    <xf applyFont="1" applyNumberFormat="1" borderId="0" fillId="0" fontId="1" numFmtId="169" xfId="9"/>
    <xf applyFont="1" applyNumberFormat="1" borderId="0" fillId="0" fontId="1" numFmtId="3" xfId="0"/>
  </cellXfs>
  <cellStyles count="10">
    <cellStyle builtinId="3" name="Comma" xfId="9"/>
    <cellStyle builtinId="0" name="Normal" xfId="0"/>
    <cellStyle builtinId="5" name="Percent" xfId="8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worksheets/sheet17.xml" Type="http://schemas.openxmlformats.org/officeDocument/2006/relationships/worksheet"/>
<Relationship Id="rId18" Target="worksheets/sheet18.xml" Type="http://schemas.openxmlformats.org/officeDocument/2006/relationships/worksheet"/>
<Relationship Id="rId19" Target="worksheets/sheet19.xml" Type="http://schemas.openxmlformats.org/officeDocument/2006/relationships/worksheet"/>
<Relationship Id="rId2" Target="worksheets/sheet2.xml" Type="http://schemas.openxmlformats.org/officeDocument/2006/relationships/worksheet"/>
<Relationship Id="rId20" Target="worksheets/sheet20.xml" Type="http://schemas.openxmlformats.org/officeDocument/2006/relationships/worksheet"/>
<Relationship Id="rId21" Target="worksheets/sheet21.xml" Type="http://schemas.openxmlformats.org/officeDocument/2006/relationships/worksheet"/>
<Relationship Id="rId22" Target="worksheets/sheet22.xml" Type="http://schemas.openxmlformats.org/officeDocument/2006/relationships/worksheet"/>
<Relationship Id="rId23" Target="theme/theme1.xml" Type="http://schemas.openxmlformats.org/officeDocument/2006/relationships/theme"/>
<Relationship Id="rId24" Target="styles.xml" Type="http://schemas.openxmlformats.org/officeDocument/2006/relationships/styles"/>
<Relationship Id="rId25" Target="sharedStrings.xml" Type="http://schemas.openxmlformats.org/officeDocument/2006/relationships/sharedStrings"/>
<Relationship Id="rId26" Target="calcChain.xml" Type="http://schemas.openxmlformats.org/officeDocument/2006/relationships/calcChain"/>
<Relationship Id="rId27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_rels/chart1.xml.rels><?xml version="1.0" encoding="UTF-8" standalone="no"?>
<Relationships xmlns="http://schemas.openxmlformats.org/package/2006/relationships">
<Relationship Id="rId1" Target="style1.xml" Type="http://schemas.microsoft.com/office/2011/relationships/chartStyle"/>
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Tour Mode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AllPurposes!$H$1</c:f>
              <c:strCache>
                <c:ptCount val="1"/>
                <c:pt idx="0">
                  <c:v>HH Survey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AllPurposes!$H$17:$H$24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 Transit</c:v>
                </c:pt>
                <c:pt idx="4">
                  <c:v>Walk 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AllPurposes!$N$17:$N$24</c:f>
              <c:numCache>
                <c:formatCode>0.0%</c:formatCode>
                <c:ptCount val="8"/>
                <c:pt idx="0">
                  <c:v>0.43311776020000176</c:v>
                </c:pt>
                <c:pt idx="1">
                  <c:v>0.27350261714604701</c:v>
                </c:pt>
                <c:pt idx="2">
                  <c:v>0.19745553338439228</c:v>
                </c:pt>
                <c:pt formatCode="0.00%" idx="3">
                  <c:v>1.2204572399655434E-3</c:v>
                </c:pt>
                <c:pt idx="4">
                  <c:v>6.6010687399538307E-3</c:v>
                </c:pt>
                <c:pt idx="5">
                  <c:v>5.2144852700694039E-3</c:v>
                </c:pt>
                <c:pt idx="6">
                  <c:v>3.6139464137238127E-2</c:v>
                </c:pt>
                <c:pt idx="7">
                  <c:v>4.6748613882332042E-2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F3-446D-B5AD-2CDEDB51871E}"/>
            </c:ext>
          </c:extLst>
        </c:ser>
        <c:ser>
          <c:idx val="1"/>
          <c:order val="1"/>
          <c:tx>
            <c:strRef>
              <c:f>AllPurposes!$P$1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AllPurposes!$H$17:$H$24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 Transit</c:v>
                </c:pt>
                <c:pt idx="4">
                  <c:v>Walk 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AllPurposes!$V$17:$V$24</c:f>
              <c:numCache>
                <c:formatCode>0.0%</c:formatCode>
                <c:ptCount val="8"/>
                <c:pt idx="0">
                  <c:v>0.43254582365532507</c:v>
                </c:pt>
                <c:pt idx="1">
                  <c:v>0.27367981109043155</c:v>
                </c:pt>
                <c:pt idx="2">
                  <c:v>0.19723923484336947</c:v>
                </c:pt>
                <c:pt formatCode="0.00%" idx="3">
                  <c:v>1.0352041174070538E-3</c:v>
                </c:pt>
                <c:pt idx="4">
                  <c:v>6.1383463345768665E-3</c:v>
                </c:pt>
                <c:pt idx="5">
                  <c:v>5.4752635905737351E-3</c:v>
                </c:pt>
                <c:pt idx="6">
                  <c:v>3.8128638052336607E-2</c:v>
                </c:pt>
                <c:pt idx="7">
                  <c:v>4.5757678315979634E-2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F3-446D-B5AD-2CDEDB518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774224"/>
        <c:axId val="187776304"/>
      </c:barChart>
      <c:catAx>
        <c:axId val="187774224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Mode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76304"/>
        <c:crosses val="autoZero"/>
        <c:auto val="1"/>
        <c:lblAlgn val="ctr"/>
        <c:lblOffset val="100"/>
        <c:noMultiLvlLbl val="0"/>
      </c:catAx>
      <c:valAx>
        <c:axId val="18777630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74224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114299</xdr:colOff>
      <xdr:row>14</xdr:row>
      <xdr:rowOff>114300</xdr:rowOff>
    </xdr:from>
    <xdr:to>
      <xdr:col>30</xdr:col>
      <xdr:colOff>133350</xdr:colOff>
      <xdr:row>31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18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/Relationships>

</file>

<file path=xl/worksheets/_rels/sheet19.xml.rels><?xml version="1.0" encoding="UTF-8" standalone="no"?>
<Relationships xmlns="http://schemas.openxmlformats.org/package/2006/relationships">
<Relationship Id="rId1" Target="../printerSettings/printerSettings11.bin" Type="http://schemas.openxmlformats.org/officeDocument/2006/relationships/printerSettings"/>
</Relationships>

</file>

<file path=xl/worksheets/_rels/sheet20.xml.rels><?xml version="1.0" encoding="UTF-8" standalone="no"?>
<Relationships xmlns="http://schemas.openxmlformats.org/package/2006/relationships">
<Relationship Id="rId1" Target="../printerSettings/printerSettings12.bin" Type="http://schemas.openxmlformats.org/officeDocument/2006/relationships/printerSettings"/>
</Relationships>

</file>

<file path=xl/worksheets/_rels/sheet21.xml.rels><?xml version="1.0" encoding="UTF-8" standalone="no"?>
<Relationships xmlns="http://schemas.openxmlformats.org/package/2006/relationships">
<Relationship Id="rId1" Target="../printerSettings/printerSettings13.bin" Type="http://schemas.openxmlformats.org/officeDocument/2006/relationships/printerSettings"/>
</Relationships>

</file>

<file path=xl/worksheets/_rels/sheet22.xml.rels><?xml version="1.0" encoding="UTF-8" standalone="no"?>
<Relationships xmlns="http://schemas.openxmlformats.org/package/2006/relationships">
<Relationship Id="rId1" Target="../printerSettings/printerSettings1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AK39"/>
  <sheetViews>
    <sheetView tabSelected="1" topLeftCell="G7" workbookViewId="0">
      <selection activeCell="W36" sqref="W36"/>
    </sheetView>
  </sheetViews>
  <sheetFormatPr defaultRowHeight="15" x14ac:dyDescent="0.25"/>
  <cols>
    <col min="1" max="2" customWidth="true" width="16.7109375" collapsed="true"/>
    <col min="4" max="5" customWidth="true" width="16.7109375" collapsed="true"/>
    <col min="8" max="8" bestFit="true" customWidth="true" width="14.140625" collapsed="true"/>
    <col min="13" max="13" bestFit="true" customWidth="true" width="11.0" collapsed="true"/>
    <col min="14" max="14" bestFit="true" customWidth="true" width="10.5703125" collapsed="true"/>
    <col min="15" max="15" customWidth="true" width="6.28515625" collapsed="true"/>
    <col min="16" max="16" bestFit="true" customWidth="true" width="14.140625" collapsed="true"/>
    <col min="21" max="21" bestFit="true" customWidth="true" width="11.140625" collapsed="true"/>
    <col min="23" max="23" bestFit="true" customWidth="true" width="11.140625" collapsed="true"/>
    <col min="24" max="24" bestFit="true" customWidth="true" width="11.5703125" collapsed="true"/>
    <col min="25" max="25" bestFit="true" customWidth="true" width="10.5703125" collapsed="true"/>
    <col min="28" max="28" bestFit="true" customWidth="true" width="10.5703125" collapsed="true"/>
  </cols>
  <sheetData>
    <row r="1" spans="1:36" x14ac:dyDescent="0.25">
      <c r="H1" s="134" t="s">
        <v>287</v>
      </c>
      <c r="I1" s="134"/>
      <c r="J1" s="134"/>
      <c r="K1" s="134"/>
      <c r="L1" s="134"/>
      <c r="M1" s="134"/>
      <c r="N1" s="134"/>
      <c r="O1" s="93"/>
      <c r="P1" s="134" t="s">
        <v>272</v>
      </c>
      <c r="Q1" s="134"/>
      <c r="R1" s="134"/>
      <c r="S1" s="134"/>
      <c r="T1" s="134"/>
      <c r="U1" s="134"/>
      <c r="V1" s="134"/>
    </row>
    <row ht="15.75" r="2" spans="1:36" thickBot="1" x14ac:dyDescent="0.3">
      <c r="A2" s="1" t="s">
        <v>238</v>
      </c>
      <c r="B2" s="3"/>
      <c r="D2" s="1" t="s">
        <v>24</v>
      </c>
      <c r="E2" s="3"/>
      <c r="H2" s="21" t="s">
        <v>273</v>
      </c>
      <c r="I2" s="22"/>
      <c r="J2" s="22"/>
      <c r="K2" s="22"/>
      <c r="L2" s="22"/>
      <c r="M2" s="22"/>
      <c r="N2" s="22"/>
      <c r="O2" s="93"/>
      <c r="P2" s="21" t="str">
        <f>H2</f>
        <v>Count</v>
      </c>
      <c r="Q2" s="22"/>
      <c r="R2" s="22"/>
      <c r="S2" s="22"/>
      <c r="T2" s="22"/>
      <c r="U2" s="22"/>
      <c r="V2" s="22"/>
      <c r="AF2" t="s">
        <v>324</v>
      </c>
      <c r="AG2" t="s">
        <v>325</v>
      </c>
      <c r="AH2" t="s">
        <v>326</v>
      </c>
      <c r="AI2" t="s">
        <v>327</v>
      </c>
    </row>
    <row r="3" spans="1:36" x14ac:dyDescent="0.25">
      <c r="A3" s="2" t="s">
        <v>0</v>
      </c>
      <c r="B3" s="7" t="s">
        <v>19</v>
      </c>
      <c r="D3" s="2" t="s">
        <v>0</v>
      </c>
      <c r="E3" s="7" t="s">
        <v>19</v>
      </c>
      <c r="H3" s="94" t="str">
        <f>A3</f>
        <v>Mode</v>
      </c>
      <c r="I3" s="95" t="s">
        <v>206</v>
      </c>
      <c r="J3" s="95" t="s">
        <v>217</v>
      </c>
      <c r="K3" s="95" t="s">
        <v>181</v>
      </c>
      <c r="L3" s="95" t="s">
        <v>182</v>
      </c>
      <c r="M3" s="95" t="s">
        <v>271</v>
      </c>
      <c r="N3" s="95" t="s">
        <v>19</v>
      </c>
      <c r="O3" s="93"/>
      <c r="P3" s="94" t="str">
        <f>D3</f>
        <v>Mode</v>
      </c>
      <c r="Q3" s="95" t="str">
        <f>I3</f>
        <v>Work</v>
      </c>
      <c r="R3" s="95" t="str">
        <f ref="R3:U3" si="0" t="shared">J3</f>
        <v>School</v>
      </c>
      <c r="S3" s="95" t="str">
        <f si="0" t="shared"/>
        <v>Escort</v>
      </c>
      <c r="T3" s="95" t="str">
        <f si="0" t="shared"/>
        <v>Other</v>
      </c>
      <c r="U3" s="95" t="str">
        <f si="0" t="shared"/>
        <v>WorkBased</v>
      </c>
      <c r="V3" s="95" t="str">
        <f>N3</f>
        <v>Total</v>
      </c>
      <c r="AE3" t="s">
        <v>328</v>
      </c>
      <c r="AF3" s="111">
        <v>1846.853134395958</v>
      </c>
      <c r="AG3" s="111">
        <v>0</v>
      </c>
      <c r="AH3" s="111">
        <v>0</v>
      </c>
      <c r="AI3" s="111">
        <v>0</v>
      </c>
      <c r="AJ3" s="9">
        <f>SUM(AF3:AI3)</f>
        <v>1846.853134395958</v>
      </c>
    </row>
    <row r="4" spans="1:36" x14ac:dyDescent="0.25">
      <c r="A4" s="9" t="s">
        <v>1</v>
      </c>
      <c r="B4" s="9">
        <f>Calibration_Work!F18+Calibration_School!F18+Calibration_Escort!F18+Calibration_Other!F18+Calibration_WorkBased!F18</f>
        <v>784163.3199946899</v>
      </c>
      <c r="D4" s="9" t="s">
        <v>1</v>
      </c>
      <c r="E4" s="9">
        <f>SUM(Work!R4,Workbased!S5,School!R4,Escort!R4,Personal_Business!R4,Shop!R4,Meal!R4,SocRec!R4)</f>
        <v>783443</v>
      </c>
      <c r="H4" s="93" t="str">
        <f ref="H4:H12" si="1" t="shared">A4</f>
        <v>Drive Alone</v>
      </c>
      <c r="I4" s="23">
        <f>Calibration_Work!F18</f>
        <v>432229.09499956196</v>
      </c>
      <c r="J4" s="23">
        <f>Calibration_School!F18</f>
        <v>18967.69894422299</v>
      </c>
      <c r="K4" s="23">
        <f>Calibration_Escort!F18</f>
        <v>3811.6281719999997</v>
      </c>
      <c r="L4" s="23">
        <f>Calibration_Other!F18</f>
        <v>275997.9309145002</v>
      </c>
      <c r="M4" s="23">
        <f>Calibration_WorkBased!F18</f>
        <v>53156.966964404834</v>
      </c>
      <c r="N4" s="96">
        <f>SUM(I4:M4)</f>
        <v>784163.3199946899</v>
      </c>
      <c r="O4" s="93"/>
      <c r="P4" s="93" t="str">
        <f ref="P4:P12" si="2" t="shared">D4</f>
        <v>Drive Alone</v>
      </c>
      <c r="Q4" s="23">
        <f>Calibration_Work!L18</f>
        <v>433283</v>
      </c>
      <c r="R4" s="23">
        <f>Calibration_School!L18</f>
        <v>18781</v>
      </c>
      <c r="S4" s="23">
        <f>Calibration_Escort!L18</f>
        <v>3515</v>
      </c>
      <c r="T4" s="23">
        <f>Calibration_Other!L18</f>
        <v>278508</v>
      </c>
      <c r="U4" s="23">
        <f>Calibration_WorkBased!L18</f>
        <v>49356</v>
      </c>
      <c r="V4" s="96">
        <f>SUM(Q4:U4)</f>
        <v>783443</v>
      </c>
      <c r="X4" s="125"/>
      <c r="Y4" s="125"/>
      <c r="Z4" s="125"/>
      <c r="AA4" s="125"/>
      <c r="AB4" s="125"/>
      <c r="AC4" s="125"/>
      <c r="AE4" t="s">
        <v>329</v>
      </c>
      <c r="AF4" s="111">
        <v>3522.6084412781775</v>
      </c>
      <c r="AG4" s="111">
        <v>1430.9634958630434</v>
      </c>
      <c r="AH4" s="111">
        <v>4651.1609222185944</v>
      </c>
      <c r="AI4" s="111">
        <v>142.99112267065908</v>
      </c>
      <c r="AJ4" s="9">
        <f ref="AJ4:AJ5" si="3" t="shared">SUM(AF4:AI4)</f>
        <v>9747.7239820304731</v>
      </c>
    </row>
    <row r="5" spans="1:36" x14ac:dyDescent="0.25">
      <c r="A5" s="9" t="s">
        <v>2</v>
      </c>
      <c r="B5" s="9">
        <f>Calibration_Work!F19+Calibration_School!F19+Calibration_Escort!F19+Calibration_Other!F19+Calibration_WorkBased!F19</f>
        <v>488525.22390191589</v>
      </c>
      <c r="D5" s="9" t="s">
        <v>2</v>
      </c>
      <c r="E5" s="9">
        <f>SUM(Work!R5,Workbased!S6,School!R5,Escort!R5,Personal_Business!R5,Shop!R5,Meal!R5,SocRec!R5)</f>
        <v>495699</v>
      </c>
      <c r="H5" s="93" t="str">
        <f si="1" t="shared"/>
        <v>Shared Ride 2</v>
      </c>
      <c r="I5" s="23">
        <f>Calibration_Work!F19</f>
        <v>121932.88593302607</v>
      </c>
      <c r="J5" s="23">
        <f>Calibration_School!F19</f>
        <v>31666.096307106822</v>
      </c>
      <c r="K5" s="23">
        <f>Calibration_Escort!F19</f>
        <v>82766.386866000001</v>
      </c>
      <c r="L5" s="23">
        <f>Calibration_Other!F19</f>
        <v>229446.22616817686</v>
      </c>
      <c r="M5" s="23">
        <f>Calibration_WorkBased!F19</f>
        <v>22713.628627606158</v>
      </c>
      <c r="N5" s="96">
        <f ref="N5:N11" si="4" t="shared">SUM(I5:M5)</f>
        <v>488525.22390191589</v>
      </c>
      <c r="O5" s="93"/>
      <c r="P5" s="93" t="str">
        <f si="2" t="shared"/>
        <v>Shared Ride 2</v>
      </c>
      <c r="Q5" s="23">
        <f>Calibration_Work!L19</f>
        <v>122287</v>
      </c>
      <c r="R5" s="23">
        <f>Calibration_School!L19</f>
        <v>31161</v>
      </c>
      <c r="S5" s="23">
        <f>Calibration_Escort!L19</f>
        <v>90592</v>
      </c>
      <c r="T5" s="23">
        <f>Calibration_Other!L19</f>
        <v>230754</v>
      </c>
      <c r="U5" s="23">
        <f>Calibration_WorkBased!L19</f>
        <v>20905</v>
      </c>
      <c r="V5" s="96">
        <f ref="V5:V11" si="5" t="shared">SUM(Q5:U5)</f>
        <v>495699</v>
      </c>
      <c r="AE5" t="s">
        <v>330</v>
      </c>
      <c r="AF5" s="9">
        <f>SUM(AF3:AF4)</f>
        <v>5369.461575674135</v>
      </c>
      <c r="AG5" s="9">
        <f ref="AG5:AI5" si="6" t="shared">SUM(AG3:AG4)</f>
        <v>1430.9634958630434</v>
      </c>
      <c r="AH5" s="9">
        <f si="6" t="shared"/>
        <v>4651.1609222185944</v>
      </c>
      <c r="AI5" s="9">
        <f si="6" t="shared"/>
        <v>142.99112267065908</v>
      </c>
      <c r="AJ5" s="9">
        <f si="3" t="shared"/>
        <v>11594.577116426432</v>
      </c>
    </row>
    <row r="6" spans="1:36" x14ac:dyDescent="0.25">
      <c r="A6" s="9" t="s">
        <v>3</v>
      </c>
      <c r="B6" s="9">
        <f>Calibration_Work!F20+Calibration_School!F20+Calibration_Escort!F20+Calibration_Other!F20+Calibration_WorkBased!F20</f>
        <v>350699.16748940561</v>
      </c>
      <c r="D6" s="9" t="s">
        <v>3</v>
      </c>
      <c r="E6" s="9">
        <f>SUM(Work!R6,Workbased!S7,School!R6,Escort!R6,Personal_Business!R6,Shop!R6,Meal!R6,SocRec!R6)</f>
        <v>357247</v>
      </c>
      <c r="H6" s="93" t="str">
        <f si="1" t="shared"/>
        <v>Shared Ride 3+</v>
      </c>
      <c r="I6" s="23">
        <f>Calibration_Work!F20</f>
        <v>45801.239283092254</v>
      </c>
      <c r="J6" s="23">
        <f>Calibration_School!F20</f>
        <v>72461.53060751778</v>
      </c>
      <c r="K6" s="23">
        <f>Calibration_Escort!F20</f>
        <v>83814.301829000004</v>
      </c>
      <c r="L6" s="23">
        <f>Calibration_Other!F20</f>
        <v>139938.27005971831</v>
      </c>
      <c r="M6" s="23">
        <f>Calibration_WorkBased!F20</f>
        <v>8683.8257100772371</v>
      </c>
      <c r="N6" s="96">
        <f si="4" t="shared"/>
        <v>350699.16748940561</v>
      </c>
      <c r="O6" s="93"/>
      <c r="P6" s="93" t="str">
        <f si="2" t="shared"/>
        <v>Shared Ride 3+</v>
      </c>
      <c r="Q6" s="23">
        <f>Calibration_Work!L20</f>
        <v>45957</v>
      </c>
      <c r="R6" s="23">
        <f>Calibration_School!L20</f>
        <v>71341</v>
      </c>
      <c r="S6" s="23">
        <f>Calibration_Escort!L20</f>
        <v>90215</v>
      </c>
      <c r="T6" s="23">
        <f>Calibration_Other!L20</f>
        <v>140523</v>
      </c>
      <c r="U6" s="23">
        <f>Calibration_WorkBased!L20</f>
        <v>9211</v>
      </c>
      <c r="V6" s="96">
        <f si="5" t="shared"/>
        <v>357247</v>
      </c>
    </row>
    <row r="7" spans="1:36" x14ac:dyDescent="0.25">
      <c r="A7" s="9" t="s">
        <v>322</v>
      </c>
      <c r="B7" s="9">
        <f>Calibration_Work!F21+Calibration_School!F21+Calibration_Escort!F21+Calibration_Other!F21+Calibration_WorkBased!F21</f>
        <v>2210.537309943471</v>
      </c>
      <c r="D7" s="9" t="s">
        <v>4</v>
      </c>
      <c r="E7" s="9">
        <f>SUM(Work!R7,Workbased!S8,School!R7,Escort!R7,Personal_Business!R7,Shop!R7,Meal!R7,SocRec!R7)</f>
        <v>1875</v>
      </c>
      <c r="H7" s="93" t="str">
        <f si="1" t="shared"/>
        <v>Drive Transit</v>
      </c>
      <c r="I7" s="23">
        <f>Calibration_Work!F21</f>
        <v>2210.537309943471</v>
      </c>
      <c r="J7" s="23">
        <f>Calibration_School!F21</f>
        <v>0</v>
      </c>
      <c r="K7" s="23">
        <f>Calibration_Escort!F21</f>
        <v>0</v>
      </c>
      <c r="L7" s="23">
        <f>Calibration_Other!F21</f>
        <v>0</v>
      </c>
      <c r="M7" s="23">
        <f>Calibration_WorkBased!F21</f>
        <v>0</v>
      </c>
      <c r="N7" s="96">
        <f si="4" t="shared"/>
        <v>2210.537309943471</v>
      </c>
      <c r="O7" s="93"/>
      <c r="P7" s="93" t="str">
        <f si="2" t="shared"/>
        <v>Drive-Transit</v>
      </c>
      <c r="Q7" s="23">
        <f>Calibration_Work!L21</f>
        <v>1875</v>
      </c>
      <c r="R7" s="23">
        <f>Calibration_School!L21</f>
        <v>0</v>
      </c>
      <c r="S7" s="23">
        <f>Calibration_Escort!L21</f>
        <v>0</v>
      </c>
      <c r="T7" s="23">
        <f>Calibration_Other!L21</f>
        <v>0</v>
      </c>
      <c r="U7" s="23">
        <f>Calibration_WorkBased!L21</f>
        <v>0</v>
      </c>
      <c r="V7" s="96">
        <f si="5" t="shared"/>
        <v>1875</v>
      </c>
    </row>
    <row r="8" spans="1:36" x14ac:dyDescent="0.25">
      <c r="A8" s="9" t="s">
        <v>323</v>
      </c>
      <c r="B8" s="9">
        <f>Calibration_Work!F22+Calibration_School!F22+Calibration_Escort!F22+Calibration_Other!F22+Calibration_WorkBased!F22</f>
        <v>11956.099941347757</v>
      </c>
      <c r="D8" s="9" t="s">
        <v>5</v>
      </c>
      <c r="E8" s="9">
        <f>SUM(Work!R8,Workbased!S9,School!R8,Escort!R8,Personal_Business!R8,Shop!R8,Meal!R8,SocRec!R8)</f>
        <v>11118</v>
      </c>
      <c r="H8" s="93" t="str">
        <f si="1" t="shared"/>
        <v>Walk Transit</v>
      </c>
      <c r="I8" s="23">
        <f>Calibration_Work!F22</f>
        <v>5285.8718897393146</v>
      </c>
      <c r="J8" s="23">
        <f>Calibration_School!F22</f>
        <v>1215.3368813778518</v>
      </c>
      <c r="K8" s="23">
        <f>Calibration_Escort!F22</f>
        <v>0</v>
      </c>
      <c r="L8" s="23">
        <f>Calibration_Other!F22</f>
        <v>4848.5450880556346</v>
      </c>
      <c r="M8" s="23">
        <f>Calibration_WorkBased!F22</f>
        <v>606.34608217495634</v>
      </c>
      <c r="N8" s="96">
        <f si="4" t="shared"/>
        <v>11956.099941347757</v>
      </c>
      <c r="O8" s="93"/>
      <c r="P8" s="93" t="str">
        <f si="2" t="shared"/>
        <v>Walk-Transit</v>
      </c>
      <c r="Q8" s="23">
        <f>Calibration_Work!L22</f>
        <v>4172</v>
      </c>
      <c r="R8" s="23">
        <f>Calibration_School!L22</f>
        <v>1495</v>
      </c>
      <c r="S8" s="23">
        <f>Calibration_Escort!L22</f>
        <v>0</v>
      </c>
      <c r="T8" s="23">
        <f>Calibration_Other!L22</f>
        <v>5317</v>
      </c>
      <c r="U8" s="23">
        <f>Calibration_WorkBased!L22</f>
        <v>134</v>
      </c>
      <c r="V8" s="96">
        <f si="5" t="shared"/>
        <v>11118</v>
      </c>
      <c r="Y8" s="125"/>
    </row>
    <row r="9" spans="1:36" x14ac:dyDescent="0.25">
      <c r="A9" s="9" t="s">
        <v>6</v>
      </c>
      <c r="B9" s="9">
        <f>Calibration_Work!F23+Calibration_School!F23+Calibration_Escort!F23+Calibration_Other!F23+Calibration_WorkBased!F23</f>
        <v>9444.6686571046976</v>
      </c>
      <c r="D9" s="9" t="s">
        <v>6</v>
      </c>
      <c r="E9" s="9">
        <f>SUM(Work!R9,Workbased!S10,School!R9,Escort!R9,Personal_Business!R9,Shop!R9,Meal!R9,SocRec!R9)</f>
        <v>9917</v>
      </c>
      <c r="H9" s="93" t="str">
        <f si="1" t="shared"/>
        <v>Bike</v>
      </c>
      <c r="I9" s="23">
        <f>Calibration_Work!F23</f>
        <v>4161.8983936780605</v>
      </c>
      <c r="J9" s="23">
        <f>Calibration_School!F23</f>
        <v>393.84410745905706</v>
      </c>
      <c r="K9" s="23">
        <f>Calibration_Escort!F23</f>
        <v>0</v>
      </c>
      <c r="L9" s="23">
        <f>Calibration_Other!F23</f>
        <v>4794.799704547594</v>
      </c>
      <c r="M9" s="23">
        <f>Calibration_WorkBased!F23</f>
        <v>94.126451419985258</v>
      </c>
      <c r="N9" s="96">
        <f si="4" t="shared"/>
        <v>9444.6686571046976</v>
      </c>
      <c r="O9" s="93"/>
      <c r="P9" s="93" t="str">
        <f si="2" t="shared"/>
        <v>Bike</v>
      </c>
      <c r="Q9" s="23">
        <f>Calibration_Work!L23</f>
        <v>4172</v>
      </c>
      <c r="R9" s="23">
        <f>Calibration_School!L23</f>
        <v>402</v>
      </c>
      <c r="S9" s="23">
        <f>Calibration_Escort!L23</f>
        <v>97</v>
      </c>
      <c r="T9" s="23">
        <f>Calibration_Other!L23</f>
        <v>4777</v>
      </c>
      <c r="U9" s="23">
        <f>Calibration_WorkBased!L23</f>
        <v>469</v>
      </c>
      <c r="V9" s="96">
        <f si="5" t="shared"/>
        <v>9917</v>
      </c>
      <c r="Y9" s="129"/>
    </row>
    <row r="10" spans="1:36" x14ac:dyDescent="0.25">
      <c r="A10" s="9" t="s">
        <v>7</v>
      </c>
      <c r="B10" s="9">
        <f>Calibration_Work!F24+Calibration_School!F24+Calibration_Escort!F24+Calibration_Other!F24+Calibration_WorkBased!F24</f>
        <v>65035.283348766796</v>
      </c>
      <c r="D10" s="9" t="s">
        <v>7</v>
      </c>
      <c r="E10" s="9">
        <f>SUM(Work!R10,Workbased!S11,School!R10,Escort!R10,Personal_Business!R10,Shop!R10,Meal!R10,SocRec!R10)</f>
        <v>69060</v>
      </c>
      <c r="H10" s="93" t="str">
        <f si="1" t="shared"/>
        <v>Walk</v>
      </c>
      <c r="I10" s="23">
        <f>Calibration_Work!F24</f>
        <v>6004.4721909589716</v>
      </c>
      <c r="J10" s="23">
        <f>Calibration_School!F24</f>
        <v>5385.3569685832326</v>
      </c>
      <c r="K10" s="23">
        <f>Calibration_Escort!F24</f>
        <v>5094.9862190000003</v>
      </c>
      <c r="L10" s="23">
        <f>Calibration_Other!F24</f>
        <v>36921.361805907778</v>
      </c>
      <c r="M10" s="23">
        <f>Calibration_WorkBased!F24</f>
        <v>11629.106164316816</v>
      </c>
      <c r="N10" s="96">
        <f si="4" t="shared"/>
        <v>65035.283348766796</v>
      </c>
      <c r="O10" s="93"/>
      <c r="P10" s="93" t="str">
        <f si="2" t="shared"/>
        <v>Walk</v>
      </c>
      <c r="Q10" s="23">
        <f>Calibration_Work!L24</f>
        <v>5880</v>
      </c>
      <c r="R10" s="23">
        <f>Calibration_School!L24</f>
        <v>5278</v>
      </c>
      <c r="S10" s="23">
        <f>Calibration_Escort!L24</f>
        <v>6020</v>
      </c>
      <c r="T10" s="23">
        <f>Calibration_Other!L24</f>
        <v>35073</v>
      </c>
      <c r="U10" s="23">
        <f>Calibration_WorkBased!L24</f>
        <v>16809</v>
      </c>
      <c r="V10" s="96">
        <f si="5" t="shared"/>
        <v>69060</v>
      </c>
    </row>
    <row r="11" spans="1:36" x14ac:dyDescent="0.25">
      <c r="A11" s="14" t="s">
        <v>8</v>
      </c>
      <c r="B11" s="14">
        <f>Calibration_Work!F25+Calibration_School!F25+Calibration_Escort!F25+Calibration_Other!F25+Calibration_WorkBased!F25</f>
        <v>84640.564466825817</v>
      </c>
      <c r="D11" s="14" t="s">
        <v>8</v>
      </c>
      <c r="E11" s="14">
        <f>SUM(Work!R11,School!R11,Escort!R11,Personal_Business!R11,Shop!R11,Meal!R11,SocRec!R11)</f>
        <v>82878</v>
      </c>
      <c r="H11" s="97" t="str">
        <f si="1" t="shared"/>
        <v>School Bus</v>
      </c>
      <c r="I11" s="23">
        <f>Calibration_Work!F25</f>
        <v>0</v>
      </c>
      <c r="J11" s="23">
        <f>Calibration_School!F25</f>
        <v>81246.136183732262</v>
      </c>
      <c r="K11" s="23">
        <f>Calibration_Escort!F25</f>
        <v>389.56202400000001</v>
      </c>
      <c r="L11" s="23">
        <f>Calibration_Other!F25</f>
        <v>3004.8662590935583</v>
      </c>
      <c r="M11" s="23">
        <v>0</v>
      </c>
      <c r="N11" s="98">
        <f si="4" t="shared"/>
        <v>84640.564466825817</v>
      </c>
      <c r="O11" s="93"/>
      <c r="P11" s="97" t="str">
        <f si="2" t="shared"/>
        <v>School Bus</v>
      </c>
      <c r="Q11" s="23">
        <f>Calibration_Work!L25</f>
        <v>0</v>
      </c>
      <c r="R11" s="23">
        <f>Calibration_School!L25</f>
        <v>82878</v>
      </c>
      <c r="S11" s="23">
        <f>Calibration_Escort!L25</f>
        <v>0</v>
      </c>
      <c r="T11" s="23">
        <f>Calibration_Other!L25</f>
        <v>0</v>
      </c>
      <c r="U11" s="23">
        <f>Calibration_WorkBased!L25</f>
        <v>0</v>
      </c>
      <c r="V11" s="96">
        <f si="5" t="shared"/>
        <v>82878</v>
      </c>
    </row>
    <row ht="15.75" r="12" spans="1:36" thickBot="1" x14ac:dyDescent="0.3">
      <c r="A12" s="13" t="s">
        <v>19</v>
      </c>
      <c r="B12" s="10">
        <f>SUM(B4:B11)</f>
        <v>1796674.8651100001</v>
      </c>
      <c r="D12" s="13" t="s">
        <v>19</v>
      </c>
      <c r="E12" s="10">
        <f>SUM(E4:E11)</f>
        <v>1811237</v>
      </c>
      <c r="H12" s="99" t="str">
        <f si="1" t="shared"/>
        <v>Total</v>
      </c>
      <c r="I12" s="100">
        <f>SUM(I4:I11)</f>
        <v>617626</v>
      </c>
      <c r="J12" s="100">
        <f ref="J12:N12" si="7" t="shared">SUM(J4:J11)</f>
        <v>211336</v>
      </c>
      <c r="K12" s="100">
        <f si="7" t="shared"/>
        <v>175876.86511000004</v>
      </c>
      <c r="L12" s="100">
        <f si="7" t="shared"/>
        <v>694952</v>
      </c>
      <c r="M12" s="100">
        <f si="7" t="shared"/>
        <v>96884</v>
      </c>
      <c r="N12" s="100">
        <f si="7" t="shared"/>
        <v>1796674.8651100001</v>
      </c>
      <c r="O12" s="93"/>
      <c r="P12" s="99" t="str">
        <f si="2" t="shared"/>
        <v>Total</v>
      </c>
      <c r="Q12" s="100">
        <f>SUM(Q4:Q11)</f>
        <v>617626</v>
      </c>
      <c r="R12" s="100">
        <f ref="R12:V12" si="8" t="shared">SUM(R4:R11)</f>
        <v>211336</v>
      </c>
      <c r="S12" s="100">
        <f si="8" t="shared"/>
        <v>190439</v>
      </c>
      <c r="T12" s="100">
        <f si="8" t="shared"/>
        <v>694952</v>
      </c>
      <c r="U12" s="100">
        <f si="8" t="shared"/>
        <v>96884</v>
      </c>
      <c r="V12" s="100">
        <f si="8" t="shared"/>
        <v>1811237</v>
      </c>
    </row>
    <row r="13" spans="1:36" x14ac:dyDescent="0.25"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</row>
    <row r="14" spans="1:36" x14ac:dyDescent="0.25">
      <c r="E14" s="8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</row>
    <row ht="15.75" r="15" spans="1:36" thickBot="1" x14ac:dyDescent="0.3">
      <c r="A15" s="1" t="s">
        <v>44</v>
      </c>
      <c r="B15" s="3"/>
      <c r="D15" s="1" t="s">
        <v>25</v>
      </c>
      <c r="E15" s="3"/>
      <c r="H15" s="21" t="s">
        <v>321</v>
      </c>
      <c r="I15" s="22"/>
      <c r="J15" s="22"/>
      <c r="K15" s="22"/>
      <c r="L15" s="22"/>
      <c r="M15" s="22"/>
      <c r="N15" s="22"/>
      <c r="O15" s="93"/>
      <c r="P15" s="21" t="str">
        <f>H15</f>
        <v>Scaled Share</v>
      </c>
      <c r="Q15" s="22"/>
      <c r="R15" s="22"/>
      <c r="S15" s="22"/>
      <c r="T15" s="22"/>
      <c r="U15" s="22"/>
      <c r="V15" s="22"/>
    </row>
    <row r="16" spans="1:36" x14ac:dyDescent="0.25">
      <c r="A16" s="2" t="s">
        <v>0</v>
      </c>
      <c r="B16" s="7" t="s">
        <v>19</v>
      </c>
      <c r="D16" s="2" t="s">
        <v>0</v>
      </c>
      <c r="E16" s="7" t="s">
        <v>19</v>
      </c>
      <c r="H16" s="94" t="str">
        <f>H3</f>
        <v>Mode</v>
      </c>
      <c r="I16" s="95" t="str">
        <f ref="I16:N16" si="9" t="shared">I3</f>
        <v>Work</v>
      </c>
      <c r="J16" s="95" t="str">
        <f si="9" t="shared"/>
        <v>School</v>
      </c>
      <c r="K16" s="95" t="str">
        <f si="9" t="shared"/>
        <v>Escort</v>
      </c>
      <c r="L16" s="95" t="str">
        <f si="9" t="shared"/>
        <v>Other</v>
      </c>
      <c r="M16" s="95" t="str">
        <f si="9" t="shared"/>
        <v>WorkBased</v>
      </c>
      <c r="N16" s="95" t="str">
        <f si="9" t="shared"/>
        <v>Total</v>
      </c>
      <c r="O16" s="93"/>
      <c r="P16" s="94" t="str">
        <f>P3</f>
        <v>Mode</v>
      </c>
      <c r="Q16" s="95" t="str">
        <f ref="Q16:V16" si="10" t="shared">Q3</f>
        <v>Work</v>
      </c>
      <c r="R16" s="95" t="str">
        <f si="10" t="shared"/>
        <v>School</v>
      </c>
      <c r="S16" s="95" t="str">
        <f si="10" t="shared"/>
        <v>Escort</v>
      </c>
      <c r="T16" s="95" t="str">
        <f si="10" t="shared"/>
        <v>Other</v>
      </c>
      <c r="U16" s="95" t="str">
        <f si="10" t="shared"/>
        <v>WorkBased</v>
      </c>
      <c r="V16" s="95" t="str">
        <f si="10" t="shared"/>
        <v>Total</v>
      </c>
    </row>
    <row r="17" spans="1:25" x14ac:dyDescent="0.25">
      <c r="A17" s="9" t="s">
        <v>1</v>
      </c>
      <c r="B17" s="16">
        <f>N17</f>
        <v>0.43311776020000176</v>
      </c>
      <c r="D17" s="9" t="s">
        <v>1</v>
      </c>
      <c r="E17" s="16">
        <f ref="E17:E25" si="11" t="shared">E4/$E$12</f>
        <v>0.43254582365532507</v>
      </c>
      <c r="H17" s="93" t="str">
        <f ref="H17" si="12" t="shared">H4</f>
        <v>Drive Alone</v>
      </c>
      <c r="I17" s="101">
        <f>I30/I$38</f>
        <v>0.69982334778581534</v>
      </c>
      <c r="J17" s="101">
        <f ref="J17:N17" si="13" t="shared">J30/J$38</f>
        <v>8.9751386153911261E-2</v>
      </c>
      <c r="K17" s="101">
        <f si="13" t="shared"/>
        <v>2.1672140731051039E-2</v>
      </c>
      <c r="L17" s="101">
        <f si="13" t="shared"/>
        <v>0.39714675389739179</v>
      </c>
      <c r="M17" s="101">
        <f si="13" t="shared"/>
        <v>0.54866610549115269</v>
      </c>
      <c r="N17" s="102">
        <f si="13" t="shared"/>
        <v>0.43311776020000176</v>
      </c>
      <c r="O17" s="93"/>
      <c r="P17" s="93" t="str">
        <f ref="P17" si="14" t="shared">P4</f>
        <v>Drive Alone</v>
      </c>
      <c r="Q17" s="101">
        <f>Q4/Q$12</f>
        <v>0.70152972834692839</v>
      </c>
      <c r="R17" s="101">
        <f ref="R17:V17" si="15" t="shared">R4/R$12</f>
        <v>8.8867963811182199E-2</v>
      </c>
      <c r="S17" s="101">
        <f si="15" t="shared"/>
        <v>1.8457353798329124E-2</v>
      </c>
      <c r="T17" s="101">
        <f si="15" t="shared"/>
        <v>0.40075861354453257</v>
      </c>
      <c r="U17" s="101">
        <f si="15" t="shared"/>
        <v>0.50943396226415094</v>
      </c>
      <c r="V17" s="102">
        <f si="15" t="shared"/>
        <v>0.43254582365532507</v>
      </c>
    </row>
    <row r="18" spans="1:25" x14ac:dyDescent="0.25">
      <c r="A18" s="9" t="s">
        <v>2</v>
      </c>
      <c r="B18" s="16">
        <f ref="B18:B24" si="16" t="shared">N18</f>
        <v>0.27350261714604701</v>
      </c>
      <c r="D18" s="9" t="s">
        <v>2</v>
      </c>
      <c r="E18" s="16">
        <f si="11" t="shared"/>
        <v>0.27367981109043155</v>
      </c>
      <c r="H18" s="93" t="str">
        <f ref="H18" si="17" t="shared">H5</f>
        <v>Shared Ride 2</v>
      </c>
      <c r="I18" s="101">
        <f ref="I18:N18" si="18" t="shared">I31/I$38</f>
        <v>0.19742187979946776</v>
      </c>
      <c r="J18" s="101">
        <f si="18" t="shared"/>
        <v>0.14983768173480536</v>
      </c>
      <c r="K18" s="101">
        <f si="18" t="shared"/>
        <v>0.47059280260786313</v>
      </c>
      <c r="L18" s="101">
        <f si="18" t="shared"/>
        <v>0.33016125742234986</v>
      </c>
      <c r="M18" s="101">
        <f si="18" t="shared"/>
        <v>0.23444148288268607</v>
      </c>
      <c r="N18" s="102">
        <f si="18" t="shared"/>
        <v>0.27350261714604701</v>
      </c>
      <c r="O18" s="93"/>
      <c r="P18" s="93" t="str">
        <f ref="P18" si="19" t="shared">P5</f>
        <v>Shared Ride 2</v>
      </c>
      <c r="Q18" s="101">
        <f ref="Q18:V18" si="20" t="shared">Q5/Q$12</f>
        <v>0.19799522688487856</v>
      </c>
      <c r="R18" s="101">
        <f si="20" t="shared"/>
        <v>0.1474476662755044</v>
      </c>
      <c r="S18" s="101">
        <f si="20" t="shared"/>
        <v>0.47570088059693655</v>
      </c>
      <c r="T18" s="101">
        <f si="20" t="shared"/>
        <v>0.33204307635635266</v>
      </c>
      <c r="U18" s="101">
        <f si="20" t="shared"/>
        <v>0.21577350233268652</v>
      </c>
      <c r="V18" s="102">
        <f si="20" t="shared"/>
        <v>0.27367981109043155</v>
      </c>
    </row>
    <row r="19" spans="1:25" x14ac:dyDescent="0.25">
      <c r="A19" s="9" t="s">
        <v>3</v>
      </c>
      <c r="B19" s="16">
        <f si="16" t="shared"/>
        <v>0.19745553338439228</v>
      </c>
      <c r="D19" s="9" t="s">
        <v>3</v>
      </c>
      <c r="E19" s="16">
        <f si="11" t="shared"/>
        <v>0.19723923484336947</v>
      </c>
      <c r="H19" s="93" t="str">
        <f ref="H19" si="21" t="shared">H6</f>
        <v>Shared Ride 3+</v>
      </c>
      <c r="I19" s="101">
        <f ref="I19:N19" si="22" t="shared">I32/I$38</f>
        <v>7.4156915808421695E-2</v>
      </c>
      <c r="J19" s="101">
        <f si="22" t="shared"/>
        <v>0.34287357860240458</v>
      </c>
      <c r="K19" s="101">
        <f si="22" t="shared"/>
        <v>0.47655103345502203</v>
      </c>
      <c r="L19" s="101">
        <f si="22" t="shared"/>
        <v>0.2013639360124416</v>
      </c>
      <c r="M19" s="101">
        <f si="22" t="shared"/>
        <v>8.9631164176512498E-2</v>
      </c>
      <c r="N19" s="102">
        <f si="22" t="shared"/>
        <v>0.19745553338439228</v>
      </c>
      <c r="O19" s="93"/>
      <c r="P19" s="93" t="str">
        <f ref="P19" si="23" t="shared">P6</f>
        <v>Shared Ride 3+</v>
      </c>
      <c r="Q19" s="101">
        <f ref="Q19:V19" si="24" t="shared">Q6/Q$12</f>
        <v>7.4409108424839623E-2</v>
      </c>
      <c r="R19" s="101">
        <f si="24" t="shared"/>
        <v>0.33757145020252111</v>
      </c>
      <c r="S19" s="101">
        <f si="24" t="shared"/>
        <v>0.47372124407290522</v>
      </c>
      <c r="T19" s="101">
        <f si="24" t="shared"/>
        <v>0.2022053321668259</v>
      </c>
      <c r="U19" s="101">
        <f si="24" t="shared"/>
        <v>9.5072457784567105E-2</v>
      </c>
      <c r="V19" s="102">
        <f si="24" t="shared"/>
        <v>0.19723923484336947</v>
      </c>
    </row>
    <row r="20" spans="1:25" x14ac:dyDescent="0.25">
      <c r="A20" s="9" t="s">
        <v>4</v>
      </c>
      <c r="B20" s="16">
        <f si="16" t="shared"/>
        <v>1.2204572399655434E-3</v>
      </c>
      <c r="D20" s="9" t="s">
        <v>4</v>
      </c>
      <c r="E20" s="16">
        <f si="11" t="shared"/>
        <v>1.0352041174070538E-3</v>
      </c>
      <c r="H20" s="93" t="str">
        <f ref="H20" si="25" t="shared">H7</f>
        <v>Drive Transit</v>
      </c>
      <c r="I20" s="123">
        <f ref="I20:N20" si="26" t="shared">I33/I$38</f>
        <v>3.5790871983100952E-3</v>
      </c>
      <c r="J20" s="101">
        <f si="26" t="shared"/>
        <v>0</v>
      </c>
      <c r="K20" s="101">
        <f si="26" t="shared"/>
        <v>0</v>
      </c>
      <c r="L20" s="101">
        <f si="26" t="shared"/>
        <v>0</v>
      </c>
      <c r="M20" s="101">
        <f si="26" t="shared"/>
        <v>0</v>
      </c>
      <c r="N20" s="124">
        <f si="26" t="shared"/>
        <v>1.2204572399655434E-3</v>
      </c>
      <c r="O20" s="93"/>
      <c r="P20" s="93" t="str">
        <f ref="P20" si="27" t="shared">P7</f>
        <v>Drive-Transit</v>
      </c>
      <c r="Q20" s="123">
        <f ref="Q20:V20" si="28" t="shared">Q7/Q$12</f>
        <v>3.0358177926447399E-3</v>
      </c>
      <c r="R20" s="101">
        <f si="28" t="shared"/>
        <v>0</v>
      </c>
      <c r="S20" s="101">
        <f si="28" t="shared"/>
        <v>0</v>
      </c>
      <c r="T20" s="101">
        <f si="28" t="shared"/>
        <v>0</v>
      </c>
      <c r="U20" s="101">
        <f si="28" t="shared"/>
        <v>0</v>
      </c>
      <c r="V20" s="124">
        <f si="28" t="shared"/>
        <v>1.0352041174070538E-3</v>
      </c>
      <c r="X20" s="16"/>
      <c r="Y20" s="16"/>
    </row>
    <row r="21" spans="1:25" x14ac:dyDescent="0.25">
      <c r="A21" s="9" t="s">
        <v>5</v>
      </c>
      <c r="B21" s="16">
        <f si="16" t="shared"/>
        <v>6.6010687399538307E-3</v>
      </c>
      <c r="D21" s="9" t="s">
        <v>5</v>
      </c>
      <c r="E21" s="16">
        <f si="11" t="shared"/>
        <v>6.1383463345768665E-3</v>
      </c>
      <c r="H21" s="93" t="str">
        <f ref="H21" si="29" t="shared">H8</f>
        <v>Walk Transit</v>
      </c>
      <c r="I21" s="101">
        <f ref="I21:N21" si="30" t="shared">I34/I$38</f>
        <v>8.5583700973393528E-3</v>
      </c>
      <c r="J21" s="101">
        <f si="30" t="shared"/>
        <v>5.7507328679347195E-3</v>
      </c>
      <c r="K21" s="101">
        <f si="30" t="shared"/>
        <v>0</v>
      </c>
      <c r="L21" s="101">
        <f si="30" t="shared"/>
        <v>6.9768057190361847E-3</v>
      </c>
      <c r="M21" s="101">
        <f si="30" t="shared"/>
        <v>6.2584748996217781E-3</v>
      </c>
      <c r="N21" s="102">
        <f si="30" t="shared"/>
        <v>6.6010687399538307E-3</v>
      </c>
      <c r="O21" s="93"/>
      <c r="P21" s="93" t="str">
        <f ref="P21" si="31" t="shared">P8</f>
        <v>Walk-Transit</v>
      </c>
      <c r="Q21" s="101">
        <f ref="Q21:V21" si="32" t="shared">Q8/Q$12</f>
        <v>6.754896976487389E-3</v>
      </c>
      <c r="R21" s="101">
        <f si="32" t="shared"/>
        <v>7.0740432297384257E-3</v>
      </c>
      <c r="S21" s="101">
        <f si="32" t="shared"/>
        <v>0</v>
      </c>
      <c r="T21" s="101">
        <f si="32" t="shared"/>
        <v>7.6508881188916645E-3</v>
      </c>
      <c r="U21" s="101">
        <f si="32" t="shared"/>
        <v>1.3830973122497007E-3</v>
      </c>
      <c r="V21" s="102">
        <f si="32" t="shared"/>
        <v>6.1383463345768665E-3</v>
      </c>
    </row>
    <row r="22" spans="1:25" x14ac:dyDescent="0.25">
      <c r="A22" s="9" t="s">
        <v>6</v>
      </c>
      <c r="B22" s="16">
        <f si="16" t="shared"/>
        <v>5.2144852700694039E-3</v>
      </c>
      <c r="D22" s="9" t="s">
        <v>6</v>
      </c>
      <c r="E22" s="16">
        <f si="11" t="shared"/>
        <v>5.4752635905737351E-3</v>
      </c>
      <c r="H22" s="93" t="str">
        <f ref="H22" si="33" t="shared">H9</f>
        <v>Bike</v>
      </c>
      <c r="I22" s="106">
        <f ref="I22:N22" si="34" t="shared">I35/I$38</f>
        <v>6.738541437177289E-3</v>
      </c>
      <c r="J22" s="106">
        <f si="34" t="shared"/>
        <v>1.8635921350790071E-3</v>
      </c>
      <c r="K22" s="101">
        <f si="34" t="shared"/>
        <v>0</v>
      </c>
      <c r="L22" s="106">
        <f si="34" t="shared"/>
        <v>6.8994688907256822E-3</v>
      </c>
      <c r="M22" s="101">
        <f si="34" t="shared"/>
        <v>9.715376266461465E-4</v>
      </c>
      <c r="N22" s="102">
        <f si="34" t="shared"/>
        <v>5.2144852700694039E-3</v>
      </c>
      <c r="O22" s="93"/>
      <c r="P22" s="93" t="str">
        <f ref="P22" si="35" t="shared">P9</f>
        <v>Bike</v>
      </c>
      <c r="Q22" s="106">
        <f ref="Q22:V22" si="36" t="shared">Q9/Q$12</f>
        <v>6.754896976487389E-3</v>
      </c>
      <c r="R22" s="106">
        <f si="36" t="shared"/>
        <v>1.9021841995684598E-3</v>
      </c>
      <c r="S22" s="101">
        <f si="36" t="shared"/>
        <v>5.0934945048020628E-4</v>
      </c>
      <c r="T22" s="106">
        <f si="36" t="shared"/>
        <v>6.8738560361003348E-3</v>
      </c>
      <c r="U22" s="101">
        <f si="36" t="shared"/>
        <v>4.8408405928739521E-3</v>
      </c>
      <c r="V22" s="102">
        <f si="36" t="shared"/>
        <v>5.4752635905737351E-3</v>
      </c>
    </row>
    <row r="23" spans="1:25" x14ac:dyDescent="0.25">
      <c r="A23" s="9" t="s">
        <v>7</v>
      </c>
      <c r="B23" s="16">
        <f si="16" t="shared"/>
        <v>3.6139464137238127E-2</v>
      </c>
      <c r="D23" s="9" t="s">
        <v>7</v>
      </c>
      <c r="E23" s="16">
        <f si="11" t="shared"/>
        <v>3.8128638052336607E-2</v>
      </c>
      <c r="H23" s="93" t="str">
        <f ref="H23" si="37" t="shared">H10</f>
        <v>Walk</v>
      </c>
      <c r="I23" s="101">
        <f ref="I23:N23" si="38" t="shared">I36/I$38</f>
        <v>9.7218578734686884E-3</v>
      </c>
      <c r="J23" s="101">
        <f si="38" t="shared"/>
        <v>2.548244013600727E-2</v>
      </c>
      <c r="K23" s="101">
        <f si="38" t="shared"/>
        <v>2.8969052955392427E-2</v>
      </c>
      <c r="L23" s="101">
        <f si="38" t="shared"/>
        <v>5.3127930858401409E-2</v>
      </c>
      <c r="M23" s="101">
        <f si="38" t="shared"/>
        <v>0.12003123492338071</v>
      </c>
      <c r="N23" s="102">
        <f si="38" t="shared"/>
        <v>3.6139464137238127E-2</v>
      </c>
      <c r="O23" s="93"/>
      <c r="P23" s="93" t="str">
        <f ref="P23" si="39" t="shared">P10</f>
        <v>Walk</v>
      </c>
      <c r="Q23" s="101">
        <f ref="Q23:V23" si="40" t="shared">Q10/Q$12</f>
        <v>9.5203245977339042E-3</v>
      </c>
      <c r="R23" s="101">
        <f si="40" t="shared"/>
        <v>2.4974448271946094E-2</v>
      </c>
      <c r="S23" s="101">
        <f si="40" t="shared"/>
        <v>3.1611172081348886E-2</v>
      </c>
      <c r="T23" s="101">
        <f si="40" t="shared"/>
        <v>5.0468233777296846E-2</v>
      </c>
      <c r="U23" s="101">
        <f si="40" t="shared"/>
        <v>0.17349613971347178</v>
      </c>
      <c r="V23" s="102">
        <f si="40" t="shared"/>
        <v>3.8128638052336607E-2</v>
      </c>
    </row>
    <row r="24" spans="1:25" x14ac:dyDescent="0.25">
      <c r="A24" s="14" t="s">
        <v>8</v>
      </c>
      <c r="B24" s="16">
        <f si="16" t="shared"/>
        <v>4.6748613882332042E-2</v>
      </c>
      <c r="D24" s="14" t="s">
        <v>8</v>
      </c>
      <c r="E24" s="17">
        <f si="11" t="shared"/>
        <v>4.5757678315979634E-2</v>
      </c>
      <c r="H24" s="97" t="str">
        <f ref="H24" si="41" t="shared">H11</f>
        <v>School Bus</v>
      </c>
      <c r="I24" s="103">
        <f ref="I24:N24" si="42" t="shared">I37/I$38</f>
        <v>0</v>
      </c>
      <c r="J24" s="103">
        <f si="42" t="shared"/>
        <v>0.38444058836985778</v>
      </c>
      <c r="K24" s="103">
        <f si="42" t="shared"/>
        <v>2.2149702506714187E-3</v>
      </c>
      <c r="L24" s="103">
        <f si="42" t="shared"/>
        <v>4.3238471996534409E-3</v>
      </c>
      <c r="M24" s="103">
        <f si="42" t="shared"/>
        <v>0</v>
      </c>
      <c r="N24" s="104">
        <f si="42" t="shared"/>
        <v>4.6748613882332042E-2</v>
      </c>
      <c r="O24" s="93"/>
      <c r="P24" s="97" t="str">
        <f ref="P24" si="43" t="shared">P11</f>
        <v>School Bus</v>
      </c>
      <c r="Q24" s="103">
        <f ref="Q24:V24" si="44" t="shared">Q11/Q$12</f>
        <v>0</v>
      </c>
      <c r="R24" s="103">
        <f si="44" t="shared"/>
        <v>0.39216224400953931</v>
      </c>
      <c r="S24" s="103">
        <f si="44" t="shared"/>
        <v>0</v>
      </c>
      <c r="T24" s="103">
        <f si="44" t="shared"/>
        <v>0</v>
      </c>
      <c r="U24" s="103">
        <f si="44" t="shared"/>
        <v>0</v>
      </c>
      <c r="V24" s="104">
        <f si="44" t="shared"/>
        <v>4.5757678315979634E-2</v>
      </c>
    </row>
    <row ht="15.75" r="25" spans="1:25" thickBot="1" x14ac:dyDescent="0.3">
      <c r="A25" s="13" t="s">
        <v>19</v>
      </c>
      <c r="B25" s="18">
        <f ref="B25" si="45" t="shared">B12/$B$12</f>
        <v>1</v>
      </c>
      <c r="D25" s="13" t="s">
        <v>19</v>
      </c>
      <c r="E25" s="18">
        <f si="11" t="shared"/>
        <v>1</v>
      </c>
      <c r="H25" s="99" t="str">
        <f ref="H25" si="46" t="shared">H12</f>
        <v>Total</v>
      </c>
      <c r="I25" s="105">
        <f ref="I25:N25" si="47" t="shared">I38/I$38</f>
        <v>1</v>
      </c>
      <c r="J25" s="105">
        <f si="47" t="shared"/>
        <v>1</v>
      </c>
      <c r="K25" s="105">
        <f si="47" t="shared"/>
        <v>1</v>
      </c>
      <c r="L25" s="105">
        <f si="47" t="shared"/>
        <v>1</v>
      </c>
      <c r="M25" s="105">
        <f si="47" t="shared"/>
        <v>1</v>
      </c>
      <c r="N25" s="105">
        <f si="47" t="shared"/>
        <v>1</v>
      </c>
      <c r="O25" s="93"/>
      <c r="P25" s="99" t="str">
        <f ref="P25" si="48" t="shared">P12</f>
        <v>Total</v>
      </c>
      <c r="Q25" s="105">
        <f ref="Q25:V25" si="49" t="shared">Q12/Q$12</f>
        <v>1</v>
      </c>
      <c r="R25" s="105">
        <f si="49" t="shared"/>
        <v>1</v>
      </c>
      <c r="S25" s="105">
        <f si="49" t="shared"/>
        <v>1</v>
      </c>
      <c r="T25" s="105">
        <f si="49" t="shared"/>
        <v>1</v>
      </c>
      <c r="U25" s="105">
        <f si="49" t="shared"/>
        <v>1</v>
      </c>
      <c r="V25" s="105">
        <f si="49" t="shared"/>
        <v>1</v>
      </c>
    </row>
    <row r="26" spans="1:25" x14ac:dyDescent="0.25"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</row>
    <row r="27" spans="1:25" x14ac:dyDescent="0.25">
      <c r="H27" s="93"/>
      <c r="I27" s="93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</row>
    <row ht="15.75" r="28" spans="1:25" thickBot="1" x14ac:dyDescent="0.3">
      <c r="D28" s="1" t="s">
        <v>26</v>
      </c>
      <c r="E28" s="3"/>
      <c r="H28" s="21" t="s">
        <v>320</v>
      </c>
      <c r="I28" s="22"/>
      <c r="J28" s="22"/>
      <c r="K28" s="22"/>
      <c r="L28" s="22"/>
      <c r="M28" s="22"/>
      <c r="N28" s="22"/>
      <c r="O28" s="93"/>
      <c r="P28" s="21" t="s">
        <v>274</v>
      </c>
      <c r="Q28" s="22"/>
      <c r="R28" s="22"/>
      <c r="S28" s="22"/>
      <c r="T28" s="22"/>
      <c r="U28" s="22"/>
      <c r="V28" s="22"/>
    </row>
    <row r="29" spans="1:25" x14ac:dyDescent="0.25">
      <c r="D29" s="2" t="s">
        <v>0</v>
      </c>
      <c r="E29" s="7" t="s">
        <v>19</v>
      </c>
      <c r="H29" s="94" t="str">
        <f>H3</f>
        <v>Mode</v>
      </c>
      <c r="I29" s="95" t="str">
        <f ref="I29:N29" si="50" t="shared">I3</f>
        <v>Work</v>
      </c>
      <c r="J29" s="95" t="str">
        <f si="50" t="shared"/>
        <v>School</v>
      </c>
      <c r="K29" s="95" t="str">
        <f si="50" t="shared"/>
        <v>Escort</v>
      </c>
      <c r="L29" s="95" t="str">
        <f si="50" t="shared"/>
        <v>Other</v>
      </c>
      <c r="M29" s="95" t="str">
        <f si="50" t="shared"/>
        <v>WorkBased</v>
      </c>
      <c r="N29" s="95" t="str">
        <f si="50" t="shared"/>
        <v>Total</v>
      </c>
      <c r="O29" s="93"/>
      <c r="P29" s="94" t="str">
        <f>P16</f>
        <v>Mode</v>
      </c>
      <c r="Q29" s="95" t="str">
        <f ref="Q29:V29" si="51" t="shared">Q16</f>
        <v>Work</v>
      </c>
      <c r="R29" s="95" t="str">
        <f si="51" t="shared"/>
        <v>School</v>
      </c>
      <c r="S29" s="95" t="str">
        <f si="51" t="shared"/>
        <v>Escort</v>
      </c>
      <c r="T29" s="95" t="str">
        <f si="51" t="shared"/>
        <v>Other</v>
      </c>
      <c r="U29" s="95" t="str">
        <f si="51" t="shared"/>
        <v>WorkBased</v>
      </c>
      <c r="V29" s="95" t="str">
        <f si="51" t="shared"/>
        <v>Total</v>
      </c>
    </row>
    <row r="30" spans="1:25" x14ac:dyDescent="0.25">
      <c r="D30" s="9" t="s">
        <v>1</v>
      </c>
      <c r="E30" s="16">
        <f>E17-B17</f>
        <v>-5.7193654467668775E-4</v>
      </c>
      <c r="H30" s="93" t="str">
        <f>H4</f>
        <v>Drive Alone</v>
      </c>
      <c r="I30" s="23">
        <f>I4*Q$12/I$12</f>
        <v>432229.09499956196</v>
      </c>
      <c r="J30" s="23">
        <f ref="J30:M37" si="52" t="shared">J4*R$12/J$12</f>
        <v>18967.69894422299</v>
      </c>
      <c r="K30" s="23">
        <f si="52" t="shared"/>
        <v>4127.2208086806277</v>
      </c>
      <c r="L30" s="23">
        <f si="52" t="shared"/>
        <v>275997.9309145002</v>
      </c>
      <c r="M30" s="23">
        <f si="52" t="shared"/>
        <v>53156.966964404841</v>
      </c>
      <c r="N30" s="96">
        <f>SUM(I30:M30)</f>
        <v>784478.91263137059</v>
      </c>
      <c r="O30" s="93"/>
      <c r="P30" s="93" t="str">
        <f ref="P30" si="53" t="shared">P17</f>
        <v>Drive Alone</v>
      </c>
      <c r="Q30" s="106">
        <f>Q17-I17</f>
        <v>1.7063805611130523E-3</v>
      </c>
      <c r="R30" s="106">
        <f ref="R30:V30" si="54" t="shared">R17-J17</f>
        <v>-8.8342234272906217E-4</v>
      </c>
      <c r="S30" s="106">
        <f si="54" t="shared"/>
        <v>-3.2147869327219143E-3</v>
      </c>
      <c r="T30" s="106">
        <f si="54" t="shared"/>
        <v>3.6118596471407804E-3</v>
      </c>
      <c r="U30" s="106">
        <f si="54" t="shared"/>
        <v>-3.9232143227001748E-2</v>
      </c>
      <c r="V30" s="102">
        <f si="54" t="shared"/>
        <v>-5.7193654467668775E-4</v>
      </c>
      <c r="W30" s="122"/>
    </row>
    <row r="31" spans="1:25" x14ac:dyDescent="0.25">
      <c r="D31" s="9" t="s">
        <v>2</v>
      </c>
      <c r="E31" s="16">
        <f ref="E31:E36" si="55" t="shared">E18-B18</f>
        <v>1.7719394438453495E-4</v>
      </c>
      <c r="H31" s="93" t="str">
        <f ref="H31:H38" si="56" t="shared">H5</f>
        <v>Shared Ride 2</v>
      </c>
      <c r="I31" s="23">
        <f ref="I31:I37" si="57" t="shared">I5*Q$12/I$12</f>
        <v>121932.88593302607</v>
      </c>
      <c r="J31" s="23">
        <f si="52" t="shared"/>
        <v>31666.096307106822</v>
      </c>
      <c r="K31" s="23">
        <f si="52" t="shared"/>
        <v>89619.222735838819</v>
      </c>
      <c r="L31" s="23">
        <f si="52" t="shared"/>
        <v>229446.22616817689</v>
      </c>
      <c r="M31" s="23">
        <f si="52" t="shared"/>
        <v>22713.628627606158</v>
      </c>
      <c r="N31" s="96">
        <f ref="N31:N37" si="58" t="shared">SUM(I31:M31)</f>
        <v>495378.05977175472</v>
      </c>
      <c r="O31" s="93"/>
      <c r="P31" s="93" t="str">
        <f ref="P31" si="59" t="shared">P18</f>
        <v>Shared Ride 2</v>
      </c>
      <c r="Q31" s="106">
        <f ref="Q31:Q38" si="60" t="shared">Q18-I18</f>
        <v>5.7334708541079138E-4</v>
      </c>
      <c r="R31" s="106">
        <f ref="R31:R38" si="61" t="shared">R18-J18</f>
        <v>-2.3900154593009537E-3</v>
      </c>
      <c r="S31" s="106">
        <f ref="S31:S38" si="62" t="shared">S18-K18</f>
        <v>5.1080779890734229E-3</v>
      </c>
      <c r="T31" s="106">
        <f ref="T31:T38" si="63" t="shared">T18-L18</f>
        <v>1.8818189340027991E-3</v>
      </c>
      <c r="U31" s="106">
        <f ref="U31:U38" si="64" t="shared">U18-M18</f>
        <v>-1.8667980549999547E-2</v>
      </c>
      <c r="V31" s="102">
        <f ref="V31:V38" si="65" t="shared">V18-N18</f>
        <v>1.7719394438453495E-4</v>
      </c>
    </row>
    <row r="32" spans="1:25" x14ac:dyDescent="0.25">
      <c r="D32" s="9" t="s">
        <v>3</v>
      </c>
      <c r="E32" s="16">
        <f si="55" t="shared"/>
        <v>-2.1629854102281354E-4</v>
      </c>
      <c r="H32" s="93" t="str">
        <f si="56" t="shared"/>
        <v>Shared Ride 3+</v>
      </c>
      <c r="I32" s="23">
        <f si="57" t="shared"/>
        <v>45801.239283092254</v>
      </c>
      <c r="J32" s="23">
        <f si="52" t="shared"/>
        <v>72461.53060751778</v>
      </c>
      <c r="K32" s="23">
        <f si="52" t="shared"/>
        <v>90753.902260140909</v>
      </c>
      <c r="L32" s="23">
        <f si="52" t="shared"/>
        <v>139938.27005971831</v>
      </c>
      <c r="M32" s="23">
        <f si="52" t="shared"/>
        <v>8683.8257100772371</v>
      </c>
      <c r="N32" s="96">
        <f si="58" t="shared"/>
        <v>357638.76792054652</v>
      </c>
      <c r="O32" s="93"/>
      <c r="P32" s="93" t="str">
        <f ref="P32" si="66" t="shared">P19</f>
        <v>Shared Ride 3+</v>
      </c>
      <c r="Q32" s="106">
        <f si="60" t="shared"/>
        <v>2.5219261641792889E-4</v>
      </c>
      <c r="R32" s="106">
        <f si="61" t="shared"/>
        <v>-5.3021283998834767E-3</v>
      </c>
      <c r="S32" s="106">
        <f si="62" t="shared"/>
        <v>-2.8297893821168096E-3</v>
      </c>
      <c r="T32" s="106">
        <f si="63" t="shared"/>
        <v>8.4139615438430515E-4</v>
      </c>
      <c r="U32" s="106">
        <f si="64" t="shared"/>
        <v>5.4412936080546065E-3</v>
      </c>
      <c r="V32" s="102">
        <f si="65" t="shared"/>
        <v>-2.1629854102281354E-4</v>
      </c>
    </row>
    <row r="33" spans="4:30" x14ac:dyDescent="0.25">
      <c r="D33" s="9" t="s">
        <v>4</v>
      </c>
      <c r="E33" s="16">
        <f si="55" t="shared"/>
        <v>-1.8525312255848964E-4</v>
      </c>
      <c r="H33" s="93" t="str">
        <f si="56" t="shared"/>
        <v>Drive Transit</v>
      </c>
      <c r="I33" s="23">
        <f>I7*Q$12/I$12</f>
        <v>2210.537309943471</v>
      </c>
      <c r="J33" s="23">
        <f ref="J33:M33" si="67" t="shared">J7*R$12/J$12</f>
        <v>0</v>
      </c>
      <c r="K33" s="23">
        <f si="67" t="shared"/>
        <v>0</v>
      </c>
      <c r="L33" s="23">
        <f si="67" t="shared"/>
        <v>0</v>
      </c>
      <c r="M33" s="23">
        <f si="67" t="shared"/>
        <v>0</v>
      </c>
      <c r="N33" s="96">
        <f si="58" t="shared"/>
        <v>2210.537309943471</v>
      </c>
      <c r="O33" s="93"/>
      <c r="P33" s="93" t="str">
        <f ref="P33" si="68" t="shared">P20</f>
        <v>Drive-Transit</v>
      </c>
      <c r="Q33" s="106">
        <f si="60" t="shared"/>
        <v>-5.4326940566535534E-4</v>
      </c>
      <c r="R33" s="106">
        <f si="61" t="shared"/>
        <v>0</v>
      </c>
      <c r="S33" s="106">
        <f si="62" t="shared"/>
        <v>0</v>
      </c>
      <c r="T33" s="106">
        <f si="63" t="shared"/>
        <v>0</v>
      </c>
      <c r="U33" s="106">
        <f si="64" t="shared"/>
        <v>0</v>
      </c>
      <c r="V33" s="102">
        <f si="65" t="shared"/>
        <v>-1.8525312255848964E-4</v>
      </c>
    </row>
    <row r="34" spans="4:30" x14ac:dyDescent="0.25">
      <c r="D34" s="9" t="s">
        <v>5</v>
      </c>
      <c r="E34" s="16">
        <f si="55" t="shared"/>
        <v>-4.6272240537696425E-4</v>
      </c>
      <c r="H34" s="93" t="str">
        <f si="56" t="shared"/>
        <v>Walk Transit</v>
      </c>
      <c r="I34" s="23">
        <f>I8*Q$12/I$12</f>
        <v>5285.8718897393146</v>
      </c>
      <c r="J34" s="23">
        <f ref="J34" si="69" t="shared">J8*R$12/J$12</f>
        <v>1215.3368813778518</v>
      </c>
      <c r="K34" s="23">
        <f ref="K34" si="70" t="shared">K8*S$12/K$12</f>
        <v>0</v>
      </c>
      <c r="L34" s="23">
        <f ref="L34" si="71" t="shared">L8*T$12/L$12</f>
        <v>4848.5450880556346</v>
      </c>
      <c r="M34" s="23">
        <f ref="M34" si="72" t="shared">M8*U$12/M$12</f>
        <v>606.34608217495634</v>
      </c>
      <c r="N34" s="96">
        <f si="58" t="shared"/>
        <v>11956.099941347757</v>
      </c>
      <c r="O34" s="93"/>
      <c r="P34" s="93" t="str">
        <f ref="P34" si="73" t="shared">P21</f>
        <v>Walk-Transit</v>
      </c>
      <c r="Q34" s="106">
        <f si="60" t="shared"/>
        <v>-1.8034731208519637E-3</v>
      </c>
      <c r="R34" s="106">
        <f si="61" t="shared"/>
        <v>1.3233103618037062E-3</v>
      </c>
      <c r="S34" s="106">
        <f si="62" t="shared"/>
        <v>0</v>
      </c>
      <c r="T34" s="106">
        <f si="63" t="shared"/>
        <v>6.7408239985547978E-4</v>
      </c>
      <c r="U34" s="106">
        <f si="64" t="shared"/>
        <v>-4.8753775873720774E-3</v>
      </c>
      <c r="V34" s="102">
        <f si="65" t="shared"/>
        <v>-4.6272240537696425E-4</v>
      </c>
    </row>
    <row r="35" spans="4:30" x14ac:dyDescent="0.25">
      <c r="D35" s="9" t="s">
        <v>6</v>
      </c>
      <c r="E35" s="16">
        <f si="55" t="shared"/>
        <v>2.6077832050433111E-4</v>
      </c>
      <c r="H35" s="93" t="str">
        <f si="56" t="shared"/>
        <v>Bike</v>
      </c>
      <c r="I35" s="23">
        <f si="57" t="shared"/>
        <v>4161.8983936780605</v>
      </c>
      <c r="J35" s="23">
        <f si="52" t="shared"/>
        <v>393.84410745905706</v>
      </c>
      <c r="K35" s="23">
        <f si="52" t="shared"/>
        <v>0</v>
      </c>
      <c r="L35" s="23">
        <f si="52" t="shared"/>
        <v>4794.799704547594</v>
      </c>
      <c r="M35" s="23">
        <f si="52" t="shared"/>
        <v>94.126451419985258</v>
      </c>
      <c r="N35" s="96">
        <f si="58" t="shared"/>
        <v>9444.6686571046976</v>
      </c>
      <c r="O35" s="93"/>
      <c r="P35" s="93" t="str">
        <f ref="P35" si="74" t="shared">P22</f>
        <v>Bike</v>
      </c>
      <c r="Q35" s="106">
        <f si="60" t="shared"/>
        <v>1.6355539310100066E-5</v>
      </c>
      <c r="R35" s="106">
        <f si="61" t="shared"/>
        <v>3.8592064489452677E-5</v>
      </c>
      <c r="S35" s="106">
        <f si="62" t="shared"/>
        <v>5.0934945048020628E-4</v>
      </c>
      <c r="T35" s="106">
        <f si="63" t="shared"/>
        <v>-2.5612854625347431E-5</v>
      </c>
      <c r="U35" s="106">
        <f si="64" t="shared"/>
        <v>3.8693029662278055E-3</v>
      </c>
      <c r="V35" s="102">
        <f si="65" t="shared"/>
        <v>2.6077832050433111E-4</v>
      </c>
      <c r="X35" s="61"/>
      <c r="AB35" s="61"/>
      <c r="AD35">
        <v>2017</v>
      </c>
    </row>
    <row r="36" spans="4:30" x14ac:dyDescent="0.25">
      <c r="D36" s="9" t="s">
        <v>7</v>
      </c>
      <c r="E36" s="16">
        <f si="55" t="shared"/>
        <v>1.98917391509848E-3</v>
      </c>
      <c r="H36" s="93" t="str">
        <f si="56" t="shared"/>
        <v>Walk</v>
      </c>
      <c r="I36" s="23">
        <f si="57" t="shared"/>
        <v>6004.4721909589716</v>
      </c>
      <c r="J36" s="23">
        <f si="52" t="shared"/>
        <v>5385.3569685832326</v>
      </c>
      <c r="K36" s="23">
        <f si="52" t="shared"/>
        <v>5516.8374757719766</v>
      </c>
      <c r="L36" s="23">
        <f si="52" t="shared"/>
        <v>36921.361805907778</v>
      </c>
      <c r="M36" s="23">
        <f si="52" t="shared"/>
        <v>11629.106164316816</v>
      </c>
      <c r="N36" s="96">
        <f si="58" t="shared"/>
        <v>65457.134605538777</v>
      </c>
      <c r="O36" s="93"/>
      <c r="P36" s="93" t="str">
        <f ref="P36" si="75" t="shared">P23</f>
        <v>Walk</v>
      </c>
      <c r="Q36" s="106">
        <f si="60" t="shared"/>
        <v>-2.0153327573478423E-4</v>
      </c>
      <c r="R36" s="106">
        <f si="61" t="shared"/>
        <v>-5.0799186406117608E-4</v>
      </c>
      <c r="S36" s="106">
        <f si="62" t="shared"/>
        <v>2.6421191259564589E-3</v>
      </c>
      <c r="T36" s="106">
        <f si="63" t="shared"/>
        <v>-2.6596970811045631E-3</v>
      </c>
      <c r="U36" s="106">
        <f si="64" t="shared"/>
        <v>5.346490479009107E-2</v>
      </c>
      <c r="V36" s="102">
        <f si="65" t="shared"/>
        <v>1.98917391509848E-3</v>
      </c>
      <c r="Y36" s="125"/>
      <c r="AB36" s="125"/>
      <c r="AC36" s="9"/>
      <c r="AD36" s="132" t="e">
        <f>AB36/AC36</f>
        <v>#DIV/0!</v>
      </c>
    </row>
    <row r="37" spans="4:30" x14ac:dyDescent="0.25">
      <c r="D37" s="14" t="s">
        <v>8</v>
      </c>
      <c r="E37" s="17">
        <f>E24-B24</f>
        <v>-9.9093556635240776E-4</v>
      </c>
      <c r="H37" s="97" t="str">
        <f si="56" t="shared"/>
        <v>School Bus</v>
      </c>
      <c r="I37" s="23">
        <f si="57" t="shared"/>
        <v>0</v>
      </c>
      <c r="J37" s="23">
        <f si="52" t="shared"/>
        <v>81246.136183732262</v>
      </c>
      <c r="K37" s="23">
        <f si="52" t="shared"/>
        <v>421.8167195676142</v>
      </c>
      <c r="L37" s="23">
        <f si="52" t="shared"/>
        <v>3004.8662590935583</v>
      </c>
      <c r="M37" s="23">
        <f si="52" t="shared"/>
        <v>0</v>
      </c>
      <c r="N37" s="98">
        <f si="58" t="shared"/>
        <v>84672.81916239344</v>
      </c>
      <c r="O37" s="93"/>
      <c r="P37" s="97" t="str">
        <f ref="P37" si="76" t="shared">P24</f>
        <v>School Bus</v>
      </c>
      <c r="Q37" s="107">
        <f si="60" t="shared"/>
        <v>0</v>
      </c>
      <c r="R37" s="107">
        <f si="61" t="shared"/>
        <v>7.7216556396815239E-3</v>
      </c>
      <c r="S37" s="107">
        <f si="62" t="shared"/>
        <v>-2.2149702506714187E-3</v>
      </c>
      <c r="T37" s="107">
        <f si="63" t="shared"/>
        <v>-4.3238471996534409E-3</v>
      </c>
      <c r="U37" s="107">
        <f si="64" t="shared"/>
        <v>0</v>
      </c>
      <c r="V37" s="104">
        <f si="65" t="shared"/>
        <v>-9.9093556635240776E-4</v>
      </c>
      <c r="Y37" s="125"/>
      <c r="Z37" s="132"/>
      <c r="AB37" s="125"/>
    </row>
    <row ht="15.75" r="38" spans="4:30" thickBot="1" x14ac:dyDescent="0.3">
      <c r="D38" s="13" t="s">
        <v>19</v>
      </c>
      <c r="E38" s="18">
        <f>E25-B25</f>
        <v>0</v>
      </c>
      <c r="H38" s="99" t="str">
        <f si="56" t="shared"/>
        <v>Total</v>
      </c>
      <c r="I38" s="100">
        <f>SUM(I30:I37)</f>
        <v>617626</v>
      </c>
      <c r="J38" s="100">
        <f ref="J38:N38" si="77" t="shared">SUM(J30:J37)</f>
        <v>211336</v>
      </c>
      <c r="K38" s="100">
        <f si="77" t="shared"/>
        <v>190438.99999999994</v>
      </c>
      <c r="L38" s="100">
        <f si="77" t="shared"/>
        <v>694952</v>
      </c>
      <c r="M38" s="100">
        <f si="77" t="shared"/>
        <v>96884</v>
      </c>
      <c r="N38" s="100">
        <f si="77" t="shared"/>
        <v>1811237</v>
      </c>
      <c r="O38" s="93"/>
      <c r="P38" s="99" t="str">
        <f ref="P38" si="78" t="shared">P25</f>
        <v>Total</v>
      </c>
      <c r="Q38" s="108">
        <f si="60" t="shared"/>
        <v>0</v>
      </c>
      <c r="R38" s="108">
        <f si="61" t="shared"/>
        <v>0</v>
      </c>
      <c r="S38" s="108">
        <f si="62" t="shared"/>
        <v>0</v>
      </c>
      <c r="T38" s="108">
        <f si="63" t="shared"/>
        <v>0</v>
      </c>
      <c r="U38" s="108">
        <f si="64" t="shared"/>
        <v>0</v>
      </c>
      <c r="V38" s="108">
        <f si="65" t="shared"/>
        <v>0</v>
      </c>
      <c r="Y38" s="125"/>
      <c r="AB38" s="125"/>
    </row>
    <row r="39" spans="4:30" x14ac:dyDescent="0.25"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Y39" s="125"/>
      <c r="AB39" s="125"/>
    </row>
  </sheetData>
  <mergeCells count="2">
    <mergeCell ref="P1:V1"/>
    <mergeCell ref="H1:N1"/>
  </mergeCells>
  <conditionalFormatting sqref="Q30:V38">
    <cfRule priority="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2:X38"/>
  <sheetViews>
    <sheetView workbookViewId="0">
      <selection activeCell="J3" sqref="J3"/>
    </sheetView>
  </sheetViews>
  <sheetFormatPr defaultRowHeight="15" x14ac:dyDescent="0.25"/>
  <cols>
    <col min="1" max="9" customWidth="true" width="16.7109375" collapsed="true"/>
    <col min="10" max="10" bestFit="true" customWidth="true" width="11.5703125" collapsed="true"/>
    <col min="11" max="18" customWidth="true" width="16.7109375" collapsed="true"/>
    <col min="20" max="20" customWidth="true" width="16.7109375" collapsed="true"/>
    <col min="21" max="23" customWidth="true" width="11.85546875" collapsed="true"/>
  </cols>
  <sheetData>
    <row ht="15.75" r="2" spans="1:18" thickBot="1" x14ac:dyDescent="0.3">
      <c r="A2" s="1" t="s">
        <v>277</v>
      </c>
      <c r="B2" s="1"/>
      <c r="C2" s="3"/>
      <c r="D2" s="3"/>
      <c r="E2" s="3"/>
      <c r="F2" s="3"/>
      <c r="G2" s="3"/>
      <c r="H2" s="3"/>
      <c r="I2" s="3"/>
      <c r="K2" s="1" t="s">
        <v>11</v>
      </c>
      <c r="L2" s="1"/>
      <c r="M2" s="3"/>
      <c r="N2" s="3"/>
      <c r="O2" s="3"/>
      <c r="P2" s="3"/>
      <c r="Q2" s="3"/>
      <c r="R2" s="3"/>
    </row>
    <row r="3" spans="1:18" x14ac:dyDescent="0.25">
      <c r="A3" s="2" t="s">
        <v>0</v>
      </c>
      <c r="B3" s="4" t="s">
        <v>9</v>
      </c>
      <c r="C3" s="4" t="s">
        <v>10</v>
      </c>
      <c r="D3" s="7" t="s">
        <v>235</v>
      </c>
      <c r="E3" s="7" t="s">
        <v>234</v>
      </c>
      <c r="F3" s="7" t="s">
        <v>236</v>
      </c>
      <c r="G3" s="7" t="s">
        <v>237</v>
      </c>
      <c r="H3" s="110" t="s">
        <v>278</v>
      </c>
      <c r="I3" s="7" t="s">
        <v>19</v>
      </c>
      <c r="J3" s="133" t="s">
        <v>331</v>
      </c>
      <c r="K3" s="2" t="s">
        <v>0</v>
      </c>
      <c r="L3" s="4" t="s">
        <v>9</v>
      </c>
      <c r="M3" s="4" t="s">
        <v>10</v>
      </c>
      <c r="N3" s="7" t="s">
        <v>235</v>
      </c>
      <c r="O3" s="7" t="s">
        <v>234</v>
      </c>
      <c r="P3" s="7" t="s">
        <v>236</v>
      </c>
      <c r="Q3" s="7" t="s">
        <v>237</v>
      </c>
      <c r="R3" s="7" t="s">
        <v>19</v>
      </c>
    </row>
    <row r="4" spans="1:18" x14ac:dyDescent="0.25">
      <c r="A4" s="9" t="s">
        <v>1</v>
      </c>
      <c r="B4" s="9" t="n">
        <v>704.757028</v>
      </c>
      <c r="C4" s="9" t="n">
        <v>377697.801539</v>
      </c>
      <c r="D4" s="9" t="n">
        <v>337636.896031</v>
      </c>
      <c r="E4" s="9" t="n">
        <v>40765.662536</v>
      </c>
      <c r="F4" s="9" t="n">
        <v>367699.25118099997</v>
      </c>
      <c r="G4" s="9" t="n">
        <v>10703.307386</v>
      </c>
      <c r="H4" s="111"/>
      <c r="I4" s="9">
        <f>SUM($B4:$C4)*(SUM($B$12:$C$12)-SUM($H$7:$H$8))/(SUM($B$12:$C$12)-SUM($B$7:$C$8))</f>
        <v>384540.56657962583</v>
      </c>
      <c r="J4" s="125">
        <f>I4*(R$12-SUM($I$7:$I$8))/(I$12-SUM($I$7:$I$8))</f>
        <v>433221.67203755269</v>
      </c>
      <c r="K4" s="9" t="str">
        <f>A4</f>
        <v>Drive Alone</v>
      </c>
      <c r="L4" s="9" t="n">
        <v>0.0</v>
      </c>
      <c r="M4" s="9" t="n">
        <v>432535.0</v>
      </c>
      <c r="N4" s="9" t="n">
        <v>370547.0</v>
      </c>
      <c r="O4" s="9" t="n">
        <v>61988.0</v>
      </c>
      <c r="P4" s="9" t="n">
        <v>415779.0</v>
      </c>
      <c r="Q4" s="9" t="n">
        <v>16756.0</v>
      </c>
      <c r="R4" s="9">
        <f>SUM(L4:M4)</f>
        <v>433283</v>
      </c>
    </row>
    <row r="5" spans="1:18" x14ac:dyDescent="0.25">
      <c r="A5" s="9" t="s">
        <v>2</v>
      </c>
      <c r="B5" s="9" t="n">
        <v>407.242976</v>
      </c>
      <c r="C5" s="9" t="n">
        <v>106341.045245</v>
      </c>
      <c r="D5" s="9" t="n">
        <v>80179.536993</v>
      </c>
      <c r="E5" s="9" t="n">
        <v>26568.751228</v>
      </c>
      <c r="F5" s="9" t="n">
        <v>92678.596985</v>
      </c>
      <c r="G5" s="9" t="n">
        <v>14069.691236</v>
      </c>
      <c r="H5" s="111"/>
      <c r="I5" s="9">
        <f ref="I5:I6" si="0" t="shared">SUM($B5:$C5)*(SUM($B$12:$C$12)-SUM($H$7:$H$8))/(SUM($B$12:$C$12)-SUM($B$7:$C$8))</f>
        <v>108479.83530914837</v>
      </c>
      <c r="J5" s="125">
        <f ref="J5:J6" si="1" t="shared">I5*(R$12-SUM($I$7:$I$8))/(I$12-SUM($I$7:$I$8))</f>
        <v>122212.89434558604</v>
      </c>
      <c r="K5" s="9" t="str">
        <f ref="K5:K11" si="2" t="shared">A5</f>
        <v>Shared Ride 2</v>
      </c>
      <c r="L5" s="9" t="n">
        <v>849.0</v>
      </c>
      <c r="M5" s="9" t="n">
        <v>120825.0</v>
      </c>
      <c r="N5" s="9" t="n">
        <v>84903.0</v>
      </c>
      <c r="O5" s="9" t="n">
        <v>36771.0</v>
      </c>
      <c r="P5" s="9" t="n">
        <v>102454.0</v>
      </c>
      <c r="Q5" s="9" t="n">
        <v>19220.0</v>
      </c>
      <c r="R5" s="9">
        <f ref="R5:R11" si="3" t="shared">SUM(L5:M5)</f>
        <v>122287</v>
      </c>
    </row>
    <row r="6" spans="1:18" x14ac:dyDescent="0.25">
      <c r="A6" s="9" t="s">
        <v>3</v>
      </c>
      <c r="B6" s="9" t="n">
        <v>0.0</v>
      </c>
      <c r="C6" s="9" t="n">
        <v>40097.499985</v>
      </c>
      <c r="D6" s="9" t="n">
        <v>32490.834703</v>
      </c>
      <c r="E6" s="9" t="n">
        <v>7606.665282</v>
      </c>
      <c r="F6" s="9" t="n">
        <v>37466.967448</v>
      </c>
      <c r="G6" s="9" t="n">
        <v>2630.532537</v>
      </c>
      <c r="H6" s="111"/>
      <c r="I6" s="9">
        <f si="0" t="shared"/>
        <v>40747.915186013015</v>
      </c>
      <c r="J6" s="125">
        <f si="1" t="shared"/>
        <v>45906.417900056869</v>
      </c>
      <c r="K6" s="9" t="str">
        <f si="2" t="shared"/>
        <v>Shared Ride 3+</v>
      </c>
      <c r="L6" s="9" t="n">
        <v>445.0</v>
      </c>
      <c r="M6" s="9" t="n">
        <v>45279.0</v>
      </c>
      <c r="N6" s="9" t="n">
        <v>33632.0</v>
      </c>
      <c r="O6" s="9" t="n">
        <v>12092.0</v>
      </c>
      <c r="P6" s="9" t="n">
        <v>39458.0</v>
      </c>
      <c r="Q6" s="9" t="n">
        <v>6266.0</v>
      </c>
      <c r="R6" s="9">
        <f si="3" t="shared"/>
        <v>45957</v>
      </c>
    </row>
    <row r="7" spans="1:18" x14ac:dyDescent="0.25">
      <c r="A7" s="9" t="s">
        <v>4</v>
      </c>
      <c r="B7" s="9" t="n">
        <v>112.303544</v>
      </c>
      <c r="C7" s="9" t="n">
        <v>5258.701843</v>
      </c>
      <c r="D7" s="9" t="n">
        <v>4041.640912</v>
      </c>
      <c r="E7" s="9" t="n">
        <v>1329.364475</v>
      </c>
      <c r="F7" s="9" t="n">
        <v>4548.174979</v>
      </c>
      <c r="G7" s="9" t="n">
        <v>822.830408</v>
      </c>
      <c r="H7" s="111">
        <f>1846.85313439596</f>
        <v>1846.8531343959601</v>
      </c>
      <c r="I7" s="9">
        <f>H7</f>
        <v>1846.8531343959601</v>
      </c>
      <c r="J7" s="9">
        <f>I7</f>
        <v>1846.8531343959601</v>
      </c>
      <c r="K7" s="9" t="str">
        <f si="2" t="shared"/>
        <v>Drive-Transit</v>
      </c>
      <c r="L7" s="9" t="n">
        <v>205.0</v>
      </c>
      <c r="M7" s="9" t="n">
        <v>2288.0</v>
      </c>
      <c r="N7" s="9" t="n">
        <v>1759.0</v>
      </c>
      <c r="O7" s="9" t="n">
        <v>734.0</v>
      </c>
      <c r="P7" s="9" t="n">
        <v>1959.0</v>
      </c>
      <c r="Q7" s="9" t="n">
        <v>534.0</v>
      </c>
      <c r="R7" s="9">
        <f si="3" t="shared"/>
        <v>1875</v>
      </c>
    </row>
    <row r="8" spans="1:18" x14ac:dyDescent="0.25">
      <c r="A8" s="9" t="s">
        <v>5</v>
      </c>
      <c r="B8" s="9" t="n">
        <v>4403.758355</v>
      </c>
      <c r="C8" s="9" t="n">
        <v>4616.592727</v>
      </c>
      <c r="D8" s="9" t="n">
        <v>6692.189487</v>
      </c>
      <c r="E8" s="9" t="n">
        <v>2328.161595</v>
      </c>
      <c r="F8" s="9" t="n">
        <v>8077.255536</v>
      </c>
      <c r="G8" s="9" t="n">
        <v>943.095546</v>
      </c>
      <c r="H8" s="111">
        <f>1.1*3522.60844127818</f>
        <v>3874.8692854059987</v>
      </c>
      <c r="I8" s="9">
        <f>H8</f>
        <v>3874.8692854059987</v>
      </c>
      <c r="J8" s="9">
        <f>I8</f>
        <v>3874.8692854059987</v>
      </c>
      <c r="K8" s="9" t="str">
        <f si="2" t="shared"/>
        <v>Walk-Transit</v>
      </c>
      <c r="L8" s="9" t="n">
        <v>2016.0</v>
      </c>
      <c r="M8" s="9" t="n">
        <v>2772.0</v>
      </c>
      <c r="N8" s="9" t="n">
        <v>3548.0</v>
      </c>
      <c r="O8" s="9" t="n">
        <v>1240.0</v>
      </c>
      <c r="P8" s="9" t="n">
        <v>4159.0</v>
      </c>
      <c r="Q8" s="9" t="n">
        <v>629.0</v>
      </c>
      <c r="R8" s="9">
        <f si="3" t="shared"/>
        <v>4172</v>
      </c>
    </row>
    <row r="9" spans="1:18" x14ac:dyDescent="0.25">
      <c r="A9" s="9" t="s">
        <v>6</v>
      </c>
      <c r="B9" s="9" t="n">
        <v>392.667402</v>
      </c>
      <c r="C9" s="9" t="n">
        <v>3250.939701</v>
      </c>
      <c r="D9" s="9" t="n">
        <v>2769.09652</v>
      </c>
      <c r="E9" s="9" t="n">
        <v>874.510583</v>
      </c>
      <c r="F9" s="9" t="n">
        <v>3437.2586499999998</v>
      </c>
      <c r="G9" s="9" t="n">
        <v>206.348453</v>
      </c>
      <c r="H9" s="111"/>
      <c r="I9" s="9">
        <f ref="I9:I11" si="4" t="shared">SUM($B9:$C9)*(SUM($B$12:$C$12)-SUM($H$7:$H$8))/(SUM($B$12:$C$12)-SUM($B$7:$C$8))</f>
        <v>3702.7094771429443</v>
      </c>
      <c r="J9" s="125">
        <f>I9*(R$12-SUM($I$7:$I$8))/(I$12-SUM($I$7:$I$8))</f>
        <v>4171.4558363116248</v>
      </c>
      <c r="K9" s="9" t="str">
        <f si="2" t="shared"/>
        <v>Bike</v>
      </c>
      <c r="L9" s="9" t="n">
        <v>452.0</v>
      </c>
      <c r="M9" s="9" t="n">
        <v>3735.0</v>
      </c>
      <c r="N9" s="9" t="n">
        <v>2821.0</v>
      </c>
      <c r="O9" s="9" t="n">
        <v>1366.0</v>
      </c>
      <c r="P9" s="9" t="n">
        <v>3344.0</v>
      </c>
      <c r="Q9" s="9" t="n">
        <v>843.0</v>
      </c>
      <c r="R9" s="9">
        <f si="3" t="shared"/>
        <v>4172</v>
      </c>
    </row>
    <row r="10" spans="1:18" x14ac:dyDescent="0.25">
      <c r="A10" s="9" t="s">
        <v>7</v>
      </c>
      <c r="B10" s="9" t="n">
        <v>336.4665</v>
      </c>
      <c r="C10" s="9" t="n">
        <v>4920.254221</v>
      </c>
      <c r="D10" s="9" t="n">
        <v>2224.813449</v>
      </c>
      <c r="E10" s="9" t="n">
        <v>3031.907272</v>
      </c>
      <c r="F10" s="9" t="n">
        <v>3425.736049</v>
      </c>
      <c r="G10" s="9" t="n">
        <v>1830.984672</v>
      </c>
      <c r="H10" s="111"/>
      <c r="I10" s="9">
        <f si="4" t="shared"/>
        <v>5341.9891558325335</v>
      </c>
      <c r="J10" s="125">
        <f ref="J10:J11" si="5" t="shared">I10*(R$12-SUM($I$7:$I$8))/(I$12-SUM($I$7:$I$8))</f>
        <v>6018.2609462532109</v>
      </c>
      <c r="K10" s="9" t="str">
        <f si="2" t="shared"/>
        <v>Walk</v>
      </c>
      <c r="L10" s="9" t="n">
        <v>504.0</v>
      </c>
      <c r="M10" s="9" t="n">
        <v>5435.0</v>
      </c>
      <c r="N10" s="9" t="n">
        <v>932.0</v>
      </c>
      <c r="O10" s="9" t="n">
        <v>5007.0</v>
      </c>
      <c r="P10" s="9" t="n">
        <v>3398.0</v>
      </c>
      <c r="Q10" s="9" t="n">
        <v>2541.0</v>
      </c>
      <c r="R10" s="9">
        <f si="3" t="shared"/>
        <v>5880</v>
      </c>
    </row>
    <row r="11" spans="1:18" x14ac:dyDescent="0.25">
      <c r="A11" s="14" t="s">
        <v>8</v>
      </c>
      <c r="B11" s="14" t="n">
        <v>106.84020899999999</v>
      </c>
      <c r="C11" s="14" t="n">
        <v>219.464586</v>
      </c>
      <c r="D11" s="14" t="n">
        <v>179.231114</v>
      </c>
      <c r="E11" s="14" t="n">
        <v>147.07368100000002</v>
      </c>
      <c r="F11" s="14" t="n">
        <v>290.719534</v>
      </c>
      <c r="G11" s="14" t="n">
        <v>35.585261</v>
      </c>
      <c r="H11" s="112"/>
      <c r="I11" s="14">
        <f si="4" t="shared"/>
        <v>331.59773343533459</v>
      </c>
      <c r="J11" s="125">
        <f si="5" t="shared"/>
        <v>373.57651443770885</v>
      </c>
      <c r="K11" s="14" t="str">
        <f si="2" t="shared"/>
        <v>School Bus</v>
      </c>
      <c r="L11" s="14" t="n">
        <v>0.0</v>
      </c>
      <c r="M11" s="14" t="n">
        <v>0.0</v>
      </c>
      <c r="N11" s="14" t="n">
        <v>0.0</v>
      </c>
      <c r="O11" s="14" t="n">
        <v>0.0</v>
      </c>
      <c r="P11" s="14" t="n">
        <v>0.0</v>
      </c>
      <c r="Q11" s="14" t="n">
        <v>0.0</v>
      </c>
      <c r="R11" s="14">
        <f si="3" t="shared"/>
        <v>0</v>
      </c>
    </row>
    <row ht="15.75" r="12" spans="1:18" thickBot="1" x14ac:dyDescent="0.3">
      <c r="A12" s="13" t="s">
        <v>19</v>
      </c>
      <c r="B12" s="10">
        <f>SUM(B4:B11)</f>
        <v>6464.0360139999993</v>
      </c>
      <c r="C12" s="10">
        <f>SUM(C4:C11)</f>
        <v>542402.29984699993</v>
      </c>
      <c r="D12" s="10">
        <f ref="D12:H12" si="6" t="shared">SUM(D4:D11)</f>
        <v>466214.23920900008</v>
      </c>
      <c r="E12" s="10">
        <f si="6" t="shared"/>
        <v>82652.096651999978</v>
      </c>
      <c r="F12" s="10">
        <f si="6" t="shared"/>
        <v>517623.96036199993</v>
      </c>
      <c r="G12" s="10">
        <f si="6" t="shared"/>
        <v>31242.375498999998</v>
      </c>
      <c r="H12" s="113">
        <f si="6" t="shared"/>
        <v>5721.7224198019585</v>
      </c>
      <c r="I12" s="10">
        <f>SUM(I4:I11)</f>
        <v>548866.33586099988</v>
      </c>
      <c r="J12" s="131">
        <f>SUM(J4:J11)</f>
        <v>617626</v>
      </c>
      <c r="K12" s="13" t="s">
        <v>19</v>
      </c>
      <c r="L12" s="10">
        <f>SUM(L4:L11)</f>
        <v>4471</v>
      </c>
      <c r="M12" s="10">
        <f>SUM(M4:M11)</f>
        <v>613155</v>
      </c>
      <c r="N12" s="10">
        <f ref="N12:Q12" si="7" t="shared">SUM(N4:N11)</f>
        <v>496164</v>
      </c>
      <c r="O12" s="10">
        <f si="7" t="shared"/>
        <v>121462</v>
      </c>
      <c r="P12" s="10">
        <f si="7" t="shared"/>
        <v>569723</v>
      </c>
      <c r="Q12" s="10">
        <f si="7" t="shared"/>
        <v>47903</v>
      </c>
      <c r="R12" s="10">
        <f>SUM(R4:R11)</f>
        <v>617626</v>
      </c>
    </row>
    <row r="13" spans="1:18" x14ac:dyDescent="0.25">
      <c r="B13" s="120">
        <f>B7/SUM($B7:$C7)</f>
        <v>2.0909222000003926E-2</v>
      </c>
      <c r="C13" s="120">
        <f ref="C13:G14" si="8" t="shared">C7/SUM($B7:$C7)</f>
        <v>0.979090777999996</v>
      </c>
      <c r="D13" s="120">
        <f si="8" t="shared"/>
        <v>0.7524924331266547</v>
      </c>
      <c r="E13" s="120">
        <f si="8" t="shared"/>
        <v>0.24750756687334524</v>
      </c>
      <c r="F13" s="120">
        <f si="8" t="shared"/>
        <v>0.84680141822393595</v>
      </c>
      <c r="G13" s="120">
        <f si="8" t="shared"/>
        <v>0.15319858177606405</v>
      </c>
      <c r="L13" s="120">
        <f>L7/SUM($L7:$M7)</f>
        <v>2.1866666666666666E-2</v>
      </c>
      <c r="M13" s="120">
        <f ref="M13:Q13" si="9" t="shared">M7/SUM($L7:$M7)</f>
        <v>0.9781333333333333</v>
      </c>
      <c r="N13" s="120">
        <f si="9" t="shared"/>
        <v>0.69813333333333338</v>
      </c>
      <c r="O13" s="120">
        <f si="9" t="shared"/>
        <v>0.30186666666666667</v>
      </c>
      <c r="P13" s="120">
        <f si="9" t="shared"/>
        <v>0.78239999999999998</v>
      </c>
      <c r="Q13" s="120">
        <f si="9" t="shared"/>
        <v>0.21759999999999999</v>
      </c>
    </row>
    <row r="14" spans="1:18" x14ac:dyDescent="0.25">
      <c r="B14" s="120">
        <f>B8/SUM($B8:$C8)</f>
        <v>0.48820254499712823</v>
      </c>
      <c r="C14" s="120">
        <f si="8" t="shared"/>
        <v>0.51179745500287166</v>
      </c>
      <c r="D14" s="120">
        <f si="8" t="shared"/>
        <v>0.74189900439176704</v>
      </c>
      <c r="E14" s="120">
        <f si="8" t="shared"/>
        <v>0.2581009956082328</v>
      </c>
      <c r="F14" s="120">
        <f si="8" t="shared"/>
        <v>0.89544802220814479</v>
      </c>
      <c r="G14" s="120">
        <f si="8" t="shared"/>
        <v>0.10455197779185507</v>
      </c>
      <c r="L14" s="120">
        <f>L8/SUM($L8:$M8)</f>
        <v>0.43024928092042186</v>
      </c>
      <c r="M14" s="120">
        <f ref="M14:Q14" si="10" t="shared">M8/SUM($L8:$M8)</f>
        <v>0.56975071907957819</v>
      </c>
      <c r="N14" s="120">
        <f si="10" t="shared"/>
        <v>0.74952061361457334</v>
      </c>
      <c r="O14" s="120">
        <f si="10" t="shared"/>
        <v>0.25047938638542666</v>
      </c>
      <c r="P14" s="120">
        <f si="10" t="shared"/>
        <v>0.87440076701821667</v>
      </c>
      <c r="Q14" s="120">
        <f si="10" t="shared"/>
        <v>0.12559923298178333</v>
      </c>
      <c r="R14" s="8"/>
    </row>
    <row ht="15.75" r="15" spans="1:18" thickBot="1" x14ac:dyDescent="0.3">
      <c r="A15" s="1" t="s">
        <v>277</v>
      </c>
      <c r="B15" s="1"/>
      <c r="C15" s="3"/>
      <c r="D15" s="3"/>
      <c r="E15" s="3"/>
      <c r="F15" s="3"/>
      <c r="G15" s="3"/>
      <c r="H15" s="3"/>
      <c r="I15" s="3"/>
      <c r="K15" s="1" t="s">
        <v>11</v>
      </c>
      <c r="L15" s="1"/>
      <c r="M15" s="3"/>
      <c r="N15" s="3"/>
      <c r="O15" s="3"/>
      <c r="P15" s="3"/>
      <c r="Q15" s="3"/>
      <c r="R15" s="3"/>
    </row>
    <row r="16" spans="1:18" x14ac:dyDescent="0.25">
      <c r="A16" s="2" t="s">
        <v>0</v>
      </c>
      <c r="B16" s="4" t="s">
        <v>9</v>
      </c>
      <c r="C16" s="4" t="s">
        <v>10</v>
      </c>
      <c r="D16" s="7" t="s">
        <v>235</v>
      </c>
      <c r="E16" s="7" t="s">
        <v>234</v>
      </c>
      <c r="F16" s="7" t="s">
        <v>236</v>
      </c>
      <c r="G16" s="7" t="s">
        <v>237</v>
      </c>
      <c r="H16" s="7" t="s">
        <v>278</v>
      </c>
      <c r="I16" s="7" t="s">
        <v>19</v>
      </c>
      <c r="K16" s="2" t="s">
        <v>0</v>
      </c>
      <c r="L16" s="4" t="s">
        <v>9</v>
      </c>
      <c r="M16" s="4" t="s">
        <v>10</v>
      </c>
      <c r="N16" s="7" t="s">
        <v>235</v>
      </c>
      <c r="O16" s="7" t="s">
        <v>234</v>
      </c>
      <c r="P16" s="7" t="s">
        <v>236</v>
      </c>
      <c r="Q16" s="7" t="s">
        <v>237</v>
      </c>
      <c r="R16" s="7" t="s">
        <v>19</v>
      </c>
    </row>
    <row r="17" spans="1:23" x14ac:dyDescent="0.25">
      <c r="A17" s="9" t="s">
        <v>1</v>
      </c>
      <c r="B17" s="16">
        <f ref="B17:H17" si="11" t="shared">B4/$I$12</f>
        <v>1.2840230525241747E-3</v>
      </c>
      <c r="C17" s="16">
        <f si="11" t="shared"/>
        <v>0.68814167833141038</v>
      </c>
      <c r="D17" s="16">
        <f si="11" t="shared"/>
        <v>0.61515322396545447</v>
      </c>
      <c r="E17" s="16">
        <f si="11" t="shared"/>
        <v>7.427247741848006E-2</v>
      </c>
      <c r="F17" s="16">
        <f si="11" t="shared"/>
        <v>0.6699249473994332</v>
      </c>
      <c r="G17" s="16">
        <f si="11" t="shared"/>
        <v>1.9500753984501261E-2</v>
      </c>
      <c r="H17" s="16">
        <f si="11" t="shared"/>
        <v>0</v>
      </c>
      <c r="I17" s="16">
        <f ref="I17:I25" si="12" t="shared">I4/$I$12</f>
        <v>0.70060876657046522</v>
      </c>
      <c r="K17" s="9" t="s">
        <v>1</v>
      </c>
      <c r="L17" s="16">
        <f ref="L17:M25" si="13" t="shared">L4/$R$12</f>
        <v>0</v>
      </c>
      <c r="M17" s="16">
        <f si="13" t="shared"/>
        <v>0.70152972834692839</v>
      </c>
      <c r="N17" s="16">
        <f ref="N17:Q17" si="14" t="shared">N4/$R$12</f>
        <v>0.59776466664291983</v>
      </c>
      <c r="O17" s="16">
        <f si="14" t="shared"/>
        <v>0.10376506170400858</v>
      </c>
      <c r="P17" s="16">
        <f si="14" t="shared"/>
        <v>0.67219968071292335</v>
      </c>
      <c r="Q17" s="16">
        <f si="14" t="shared"/>
        <v>2.9330047634005044E-2</v>
      </c>
      <c r="R17" s="16">
        <f ref="R17:R25" si="15" t="shared">R4/$R$12</f>
        <v>0.70152972834692839</v>
      </c>
    </row>
    <row r="18" spans="1:23" x14ac:dyDescent="0.25">
      <c r="A18" s="9" t="s">
        <v>2</v>
      </c>
      <c r="B18" s="16">
        <f ref="B18:G25" si="16" t="shared">B5/$I$12</f>
        <v>7.419711310243922E-4</v>
      </c>
      <c r="C18" s="16">
        <f si="16" t="shared"/>
        <v>0.19374670716174297</v>
      </c>
      <c r="D18" s="16">
        <f si="16" t="shared"/>
        <v>0.14608208183732629</v>
      </c>
      <c r="E18" s="16">
        <f si="16" t="shared"/>
        <v>4.8406596455441063E-2</v>
      </c>
      <c r="F18" s="16">
        <f si="16" t="shared"/>
        <v>0.16885458431261996</v>
      </c>
      <c r="G18" s="16">
        <f si="16" t="shared"/>
        <v>2.563409398014737E-2</v>
      </c>
      <c r="H18" s="16">
        <f ref="H18:H24" si="17" t="shared">H5/$I$12</f>
        <v>0</v>
      </c>
      <c r="I18" s="16">
        <f si="12" t="shared"/>
        <v>0.1976434483615713</v>
      </c>
      <c r="K18" s="9" t="s">
        <v>2</v>
      </c>
      <c r="L18" s="16">
        <f si="13" t="shared"/>
        <v>1.5187184477337419E-3</v>
      </c>
      <c r="M18" s="16">
        <f si="13" t="shared"/>
        <v>0.19647650843714481</v>
      </c>
      <c r="N18" s="16">
        <f ref="N18:Q18" si="18" t="shared">N5/$R$12</f>
        <v>0.13765936019532857</v>
      </c>
      <c r="O18" s="16">
        <f si="18" t="shared"/>
        <v>6.0335866689549988E-2</v>
      </c>
      <c r="P18" s="16">
        <f si="18" t="shared"/>
        <v>0.16663320520832997</v>
      </c>
      <c r="Q18" s="16">
        <f si="18" t="shared"/>
        <v>3.1362021676548592E-2</v>
      </c>
      <c r="R18" s="16">
        <f si="15" t="shared"/>
        <v>0.19799522688487856</v>
      </c>
    </row>
    <row r="19" spans="1:23" x14ac:dyDescent="0.25">
      <c r="A19" s="9" t="s">
        <v>3</v>
      </c>
      <c r="B19" s="16">
        <f si="16" t="shared"/>
        <v>0</v>
      </c>
      <c r="C19" s="16">
        <f si="16" t="shared"/>
        <v>7.3055127205241224E-2</v>
      </c>
      <c r="D19" s="16">
        <f si="16" t="shared"/>
        <v>5.919626069256375E-2</v>
      </c>
      <c r="E19" s="16">
        <f si="16" t="shared"/>
        <v>1.3858866512677476E-2</v>
      </c>
      <c r="F19" s="16">
        <f si="16" t="shared"/>
        <v>6.8262462096943935E-2</v>
      </c>
      <c r="G19" s="16">
        <f si="16" t="shared"/>
        <v>4.792665108297298E-3</v>
      </c>
      <c r="H19" s="16">
        <f si="17" t="shared"/>
        <v>0</v>
      </c>
      <c r="I19" s="16">
        <f si="12" t="shared"/>
        <v>7.424014286117997E-2</v>
      </c>
      <c r="K19" s="9" t="s">
        <v>3</v>
      </c>
      <c r="L19" s="16">
        <f si="13" t="shared"/>
        <v>1.0265111896196079E-3</v>
      </c>
      <c r="M19" s="16">
        <f si="13" t="shared"/>
        <v>7.3382597235220018E-2</v>
      </c>
      <c r="N19" s="16">
        <f ref="N19:Q19" si="19" t="shared">N6/$R$12</f>
        <v>5.4547574098240681E-2</v>
      </c>
      <c r="O19" s="16">
        <f si="19" t="shared"/>
        <v>1.9861534326598946E-2</v>
      </c>
      <c r="P19" s="16">
        <f si="19" t="shared"/>
        <v>6.4352860792777508E-2</v>
      </c>
      <c r="Q19" s="16">
        <f si="19" t="shared"/>
        <v>1.0056247632062122E-2</v>
      </c>
      <c r="R19" s="16">
        <f si="15" t="shared"/>
        <v>7.4409108424839623E-2</v>
      </c>
    </row>
    <row r="20" spans="1:23" x14ac:dyDescent="0.25">
      <c r="A20" s="9" t="s">
        <v>4</v>
      </c>
      <c r="B20" s="16">
        <f si="16" t="shared"/>
        <v>2.0461000550130444E-4</v>
      </c>
      <c r="C20" s="16">
        <f si="16" t="shared"/>
        <v>9.5810245581025456E-3</v>
      </c>
      <c r="D20" s="16">
        <f si="16" t="shared"/>
        <v>7.3636159624545514E-3</v>
      </c>
      <c r="E20" s="16">
        <f si="16" t="shared"/>
        <v>2.4220186011492985E-3</v>
      </c>
      <c r="F20" s="16">
        <f si="16" t="shared"/>
        <v>8.2864892266809077E-3</v>
      </c>
      <c r="G20" s="16">
        <f si="16" t="shared"/>
        <v>1.4991453369229432E-3</v>
      </c>
      <c r="H20" s="16">
        <f si="17" t="shared"/>
        <v>3.3648504448698319E-3</v>
      </c>
      <c r="I20" s="16">
        <f si="12" t="shared"/>
        <v>3.3648504448698319E-3</v>
      </c>
      <c r="K20" s="9" t="s">
        <v>4</v>
      </c>
      <c r="L20" s="16">
        <f si="13" t="shared"/>
        <v>6.6383215732498303E-5</v>
      </c>
      <c r="M20" s="16">
        <f si="13" t="shared"/>
        <v>2.9694345769122415E-3</v>
      </c>
      <c r="N20" s="16">
        <f ref="N20:Q20" si="20" t="shared">N7/$R$12</f>
        <v>2.1194055949717142E-3</v>
      </c>
      <c r="O20" s="16">
        <f si="20" t="shared"/>
        <v>9.1641219767302543E-4</v>
      </c>
      <c r="P20" s="16">
        <f si="20" t="shared"/>
        <v>2.3752238409652441E-3</v>
      </c>
      <c r="Q20" s="16">
        <f si="20" t="shared"/>
        <v>6.6059395167949531E-4</v>
      </c>
      <c r="R20" s="16">
        <f si="15" t="shared"/>
        <v>3.0358177926447399E-3</v>
      </c>
    </row>
    <row r="21" spans="1:23" x14ac:dyDescent="0.25">
      <c r="A21" s="9" t="s">
        <v>5</v>
      </c>
      <c r="B21" s="16">
        <f si="16" t="shared"/>
        <v>8.0233712058362591E-3</v>
      </c>
      <c r="C21" s="16">
        <f si="16" t="shared"/>
        <v>8.4111420675090365E-3</v>
      </c>
      <c r="D21" s="16">
        <f si="16" t="shared"/>
        <v>1.2192749035158157E-2</v>
      </c>
      <c r="E21" s="16">
        <f si="16" t="shared"/>
        <v>4.2417642381871378E-3</v>
      </c>
      <c r="F21" s="16">
        <f si="16" t="shared"/>
        <v>1.4716252406570551E-2</v>
      </c>
      <c r="G21" s="16">
        <f si="16" t="shared"/>
        <v>1.7182608667747452E-3</v>
      </c>
      <c r="H21" s="16">
        <f si="17" t="shared"/>
        <v>7.0597685305795604E-3</v>
      </c>
      <c r="I21" s="16">
        <f si="12" t="shared"/>
        <v>7.0597685305795604E-3</v>
      </c>
      <c r="K21" s="9" t="s">
        <v>5</v>
      </c>
      <c r="L21" s="16">
        <f si="13" t="shared"/>
        <v>2.9062895668252307E-3</v>
      </c>
      <c r="M21" s="16">
        <f si="13" t="shared"/>
        <v>3.8486074096621579E-3</v>
      </c>
      <c r="N21" s="16">
        <f ref="N21:Q21" si="21" t="shared">N8/$R$12</f>
        <v>5.0629345267200537E-3</v>
      </c>
      <c r="O21" s="16">
        <f si="21" t="shared"/>
        <v>1.6919624497673349E-3</v>
      </c>
      <c r="P21" s="16">
        <f si="21" t="shared"/>
        <v>5.9064870973696056E-3</v>
      </c>
      <c r="Q21" s="16">
        <f si="21" t="shared"/>
        <v>8.4840987911778329E-4</v>
      </c>
      <c r="R21" s="16">
        <f si="15" t="shared"/>
        <v>6.754896976487389E-3</v>
      </c>
    </row>
    <row r="22" spans="1:23" x14ac:dyDescent="0.25">
      <c r="A22" s="9" t="s">
        <v>6</v>
      </c>
      <c r="B22" s="16">
        <f si="16" t="shared"/>
        <v>7.1541535041318844E-4</v>
      </c>
      <c r="C22" s="16">
        <f si="16" t="shared"/>
        <v>5.923008005036947E-3</v>
      </c>
      <c r="D22" s="16">
        <f si="16" t="shared"/>
        <v>5.045119984733901E-3</v>
      </c>
      <c r="E22" s="16">
        <f si="16" t="shared"/>
        <v>1.5933033707162345E-3</v>
      </c>
      <c r="F22" s="16">
        <f si="16" t="shared"/>
        <v>6.2624694309371598E-3</v>
      </c>
      <c r="G22" s="16">
        <f si="16" t="shared"/>
        <v>3.7595392451297588E-4</v>
      </c>
      <c r="H22" s="16">
        <f si="17" t="shared"/>
        <v>0</v>
      </c>
      <c r="I22" s="16">
        <f si="12" t="shared"/>
        <v>6.7461041700335829E-3</v>
      </c>
      <c r="K22" s="9" t="s">
        <v>6</v>
      </c>
      <c r="L22" s="16">
        <f si="13" t="shared"/>
        <v>8.8079193557266048E-4</v>
      </c>
      <c r="M22" s="16">
        <f si="13" t="shared"/>
        <v>5.8741050409147283E-3</v>
      </c>
      <c r="N22" s="16">
        <f ref="N22:Q22" si="22" t="shared">N9/$R$12</f>
        <v>4.6565397182113449E-3</v>
      </c>
      <c r="O22" s="16">
        <f si="22" t="shared"/>
        <v>2.0983572582760441E-3</v>
      </c>
      <c r="P22" s="16">
        <f si="22" t="shared"/>
        <v>5.4968540832154083E-3</v>
      </c>
      <c r="Q22" s="16">
        <f si="22" t="shared"/>
        <v>1.2580428932719801E-3</v>
      </c>
      <c r="R22" s="16">
        <f si="15" t="shared"/>
        <v>6.754896976487389E-3</v>
      </c>
    </row>
    <row r="23" spans="1:23" x14ac:dyDescent="0.25">
      <c r="A23" s="9" t="s">
        <v>7</v>
      </c>
      <c r="B23" s="16">
        <f si="16" t="shared"/>
        <v>6.1302083588746453E-4</v>
      </c>
      <c r="C23" s="16">
        <f si="16" t="shared"/>
        <v>8.9643942423279759E-3</v>
      </c>
      <c r="D23" s="16">
        <f si="16" t="shared"/>
        <v>4.0534704055222529E-3</v>
      </c>
      <c r="E23" s="16">
        <f si="16" t="shared"/>
        <v>5.523944672693187E-3</v>
      </c>
      <c r="F23" s="16">
        <f si="16" t="shared"/>
        <v>6.2414759754323241E-3</v>
      </c>
      <c r="G23" s="16">
        <f si="16" t="shared"/>
        <v>3.3359391027831154E-3</v>
      </c>
      <c r="H23" s="16">
        <f si="17" t="shared"/>
        <v>0</v>
      </c>
      <c r="I23" s="16">
        <f si="12" t="shared"/>
        <v>9.7327688123787382E-3</v>
      </c>
      <c r="K23" s="9" t="s">
        <v>7</v>
      </c>
      <c r="L23" s="16">
        <f si="13" t="shared"/>
        <v>8.4031436500406397E-4</v>
      </c>
      <c r="M23" s="16">
        <f si="13" t="shared"/>
        <v>8.680010232729839E-3</v>
      </c>
      <c r="N23" s="16">
        <f ref="N23:Q23" si="23" t="shared">N10/$R$12</f>
        <v>1.5300521674929488E-3</v>
      </c>
      <c r="O23" s="16">
        <f si="23" t="shared"/>
        <v>7.9902724302409554E-3</v>
      </c>
      <c r="P23" s="16">
        <f si="23" t="shared"/>
        <v>5.4758057465197386E-3</v>
      </c>
      <c r="Q23" s="16">
        <f si="23" t="shared"/>
        <v>4.0445188512141655E-3</v>
      </c>
      <c r="R23" s="16">
        <f si="15" t="shared"/>
        <v>9.5203245977339042E-3</v>
      </c>
    </row>
    <row r="24" spans="1:23" x14ac:dyDescent="0.25">
      <c r="A24" s="14" t="s">
        <v>8</v>
      </c>
      <c r="B24" s="17">
        <f si="16" t="shared"/>
        <v>1.9465615218029552E-4</v>
      </c>
      <c r="C24" s="17">
        <f si="16" t="shared"/>
        <v>3.9985069526213263E-4</v>
      </c>
      <c r="D24" s="17">
        <f si="16" t="shared"/>
        <v>3.2654783558339816E-4</v>
      </c>
      <c r="E24" s="17">
        <f si="16" t="shared"/>
        <v>2.6795901185902999E-4</v>
      </c>
      <c r="F24" s="17">
        <f si="16" t="shared"/>
        <v>5.2967273633926161E-4</v>
      </c>
      <c r="G24" s="17">
        <f si="16" t="shared"/>
        <v>6.4834111103166566E-5</v>
      </c>
      <c r="H24" s="16">
        <f si="17" t="shared"/>
        <v>0</v>
      </c>
      <c r="I24" s="17">
        <f si="12" t="shared"/>
        <v>6.0415024892200998E-4</v>
      </c>
      <c r="K24" s="14" t="s">
        <v>8</v>
      </c>
      <c r="L24" s="17">
        <f si="13" t="shared"/>
        <v>0</v>
      </c>
      <c r="M24" s="17">
        <f si="13" t="shared"/>
        <v>0</v>
      </c>
      <c r="N24" s="17">
        <f ref="N24:Q24" si="24" t="shared">N11/$R$12</f>
        <v>0</v>
      </c>
      <c r="O24" s="17">
        <f si="24" t="shared"/>
        <v>0</v>
      </c>
      <c r="P24" s="17">
        <f si="24" t="shared"/>
        <v>0</v>
      </c>
      <c r="Q24" s="17">
        <f si="24" t="shared"/>
        <v>0</v>
      </c>
      <c r="R24" s="17">
        <f si="15" t="shared"/>
        <v>0</v>
      </c>
    </row>
    <row ht="15.75" r="25" spans="1:23" thickBot="1" x14ac:dyDescent="0.3">
      <c r="A25" s="13" t="s">
        <v>19</v>
      </c>
      <c r="B25" s="18">
        <f si="16" t="shared"/>
        <v>1.1777067733367078E-2</v>
      </c>
      <c r="C25" s="18">
        <f si="16" t="shared"/>
        <v>0.98822293226663305</v>
      </c>
      <c r="D25" s="18">
        <f si="16" t="shared"/>
        <v>0.84941306971879693</v>
      </c>
      <c r="E25" s="18">
        <f si="16" t="shared"/>
        <v>0.15058693028120343</v>
      </c>
      <c r="F25" s="18">
        <f si="16" t="shared"/>
        <v>0.94307835358495717</v>
      </c>
      <c r="G25" s="18">
        <f si="16" t="shared"/>
        <v>5.6921646415042867E-2</v>
      </c>
      <c r="H25" s="18">
        <f>H12/$I$12</f>
        <v>1.0424618975449391E-2</v>
      </c>
      <c r="I25" s="18">
        <f si="12" t="shared"/>
        <v>1</v>
      </c>
      <c r="K25" s="13" t="s">
        <v>19</v>
      </c>
      <c r="L25" s="18">
        <f si="13" t="shared"/>
        <v>7.239008720487803E-3</v>
      </c>
      <c r="M25" s="18">
        <f si="13" t="shared"/>
        <v>0.99276099127951223</v>
      </c>
      <c r="N25" s="18">
        <f ref="N25:Q25" si="25" t="shared">N12/$R$12</f>
        <v>0.80334053294388519</v>
      </c>
      <c r="O25" s="18">
        <f si="25" t="shared"/>
        <v>0.19665946705611487</v>
      </c>
      <c r="P25" s="18">
        <f si="25" t="shared"/>
        <v>0.92244011748210086</v>
      </c>
      <c r="Q25" s="18">
        <f si="25" t="shared"/>
        <v>7.7559882517899179E-2</v>
      </c>
      <c r="R25" s="18">
        <f si="15" t="shared"/>
        <v>1</v>
      </c>
    </row>
    <row ht="15.75" r="28" spans="1:23" thickBot="1" x14ac:dyDescent="0.3">
      <c r="K28" s="1" t="s">
        <v>20</v>
      </c>
      <c r="L28" s="1"/>
      <c r="M28" s="3"/>
      <c r="N28" s="3"/>
      <c r="O28" s="3"/>
      <c r="P28" s="3"/>
      <c r="Q28" s="3"/>
      <c r="R28" s="3"/>
      <c r="T28" s="21" t="s">
        <v>35</v>
      </c>
      <c r="U28" s="21"/>
      <c r="V28" s="22"/>
      <c r="W28" s="22"/>
    </row>
    <row r="29" spans="1:23" x14ac:dyDescent="0.25">
      <c r="K29" s="2" t="s">
        <v>0</v>
      </c>
      <c r="L29" s="4" t="s">
        <v>9</v>
      </c>
      <c r="M29" s="4" t="s">
        <v>10</v>
      </c>
      <c r="N29" s="7" t="s">
        <v>235</v>
      </c>
      <c r="O29" s="7" t="s">
        <v>234</v>
      </c>
      <c r="P29" s="7" t="s">
        <v>236</v>
      </c>
      <c r="Q29" s="7" t="s">
        <v>237</v>
      </c>
      <c r="R29" s="7" t="s">
        <v>19</v>
      </c>
      <c r="T29" s="27" t="s">
        <v>0</v>
      </c>
      <c r="U29" s="28" t="s">
        <v>45</v>
      </c>
      <c r="V29" s="28" t="s">
        <v>33</v>
      </c>
      <c r="W29" s="29" t="s">
        <v>34</v>
      </c>
    </row>
    <row r="30" spans="1:23" x14ac:dyDescent="0.25">
      <c r="K30" s="9" t="s">
        <v>1</v>
      </c>
      <c r="L30" s="16">
        <f ref="L30:L38" si="26" t="shared">L17-B17</f>
        <v>-1.2840230525241747E-3</v>
      </c>
      <c r="M30" s="16">
        <f ref="M30:M38" si="27" t="shared">M17-C17</f>
        <v>1.3388050015518016E-2</v>
      </c>
      <c r="N30" s="16">
        <f ref="N30:N38" si="28" t="shared">N17-D17</f>
        <v>-1.7388557322534637E-2</v>
      </c>
      <c r="O30" s="16">
        <f ref="O30:O38" si="29" t="shared">O17-E17</f>
        <v>2.949258428552852E-2</v>
      </c>
      <c r="P30" s="16">
        <f ref="P30:P38" si="30" t="shared">P17-F17</f>
        <v>2.2747333134901515E-3</v>
      </c>
      <c r="Q30" s="16">
        <f ref="Q30:Q38" si="31" t="shared">Q17-G17</f>
        <v>9.8292936495037835E-3</v>
      </c>
      <c r="R30" s="16">
        <f ref="R30:R38" si="32" t="shared">R17-I17</f>
        <v>9.2096177646316946E-4</v>
      </c>
      <c r="T30" s="23" t="s">
        <v>1</v>
      </c>
      <c r="U30" s="24">
        <f ref="U30:U38" si="33" t="shared">I17</f>
        <v>0.70060876657046522</v>
      </c>
      <c r="V30" s="24">
        <f ref="V30:V38" si="34" t="shared">R17</f>
        <v>0.70152972834692839</v>
      </c>
      <c r="W30" s="24">
        <f>V30-U30</f>
        <v>9.2096177646316946E-4</v>
      </c>
    </row>
    <row r="31" spans="1:23" x14ac:dyDescent="0.25">
      <c r="K31" s="9" t="s">
        <v>2</v>
      </c>
      <c r="L31" s="16">
        <f si="26" t="shared"/>
        <v>7.7674731670934966E-4</v>
      </c>
      <c r="M31" s="16">
        <f si="27" t="shared"/>
        <v>2.7298012754018441E-3</v>
      </c>
      <c r="N31" s="16">
        <f si="28" t="shared"/>
        <v>-8.4227216419977269E-3</v>
      </c>
      <c r="O31" s="16">
        <f si="29" t="shared"/>
        <v>1.1929270234108925E-2</v>
      </c>
      <c r="P31" s="16">
        <f si="30" t="shared"/>
        <v>-2.2213791042899889E-3</v>
      </c>
      <c r="Q31" s="16">
        <f si="31" t="shared"/>
        <v>5.7279276964012221E-3</v>
      </c>
      <c r="R31" s="16">
        <f si="32" t="shared"/>
        <v>3.5177852330725567E-4</v>
      </c>
      <c r="T31" s="30" t="s">
        <v>2</v>
      </c>
      <c r="U31" s="31">
        <f si="33" t="shared"/>
        <v>0.1976434483615713</v>
      </c>
      <c r="V31" s="31">
        <f si="34" t="shared"/>
        <v>0.19799522688487856</v>
      </c>
      <c r="W31" s="31">
        <f ref="W31:W38" si="35" t="shared">V31-U31</f>
        <v>3.5177852330725567E-4</v>
      </c>
    </row>
    <row r="32" spans="1:23" x14ac:dyDescent="0.25">
      <c r="K32" s="9" t="s">
        <v>3</v>
      </c>
      <c r="L32" s="16">
        <f si="26" t="shared"/>
        <v>1.0265111896196079E-3</v>
      </c>
      <c r="M32" s="16">
        <f si="27" t="shared"/>
        <v>3.274700299787936E-4</v>
      </c>
      <c r="N32" s="16">
        <f si="28" t="shared"/>
        <v>-4.648686594323069E-3</v>
      </c>
      <c r="O32" s="16">
        <f si="29" t="shared"/>
        <v>6.0026678139214699E-3</v>
      </c>
      <c r="P32" s="16">
        <f si="30" t="shared"/>
        <v>-3.9096013041664268E-3</v>
      </c>
      <c r="Q32" s="16">
        <f si="31" t="shared"/>
        <v>5.2635825237648242E-3</v>
      </c>
      <c r="R32" s="16">
        <f si="32" t="shared"/>
        <v>1.6896556365965376E-4</v>
      </c>
      <c r="T32" s="23" t="s">
        <v>3</v>
      </c>
      <c r="U32" s="24">
        <f si="33" t="shared"/>
        <v>7.424014286117997E-2</v>
      </c>
      <c r="V32" s="24">
        <f si="34" t="shared"/>
        <v>7.4409108424839623E-2</v>
      </c>
      <c r="W32" s="24">
        <f si="35" t="shared"/>
        <v>1.6896556365965376E-4</v>
      </c>
    </row>
    <row r="33" spans="11:23" x14ac:dyDescent="0.25">
      <c r="K33" s="9" t="s">
        <v>4</v>
      </c>
      <c r="L33" s="16">
        <f si="26" t="shared"/>
        <v>-1.3822678976880615E-4</v>
      </c>
      <c r="M33" s="16">
        <f si="27" t="shared"/>
        <v>-6.6115899811903037E-3</v>
      </c>
      <c r="N33" s="16">
        <f si="28" t="shared"/>
        <v>-5.2442103674828367E-3</v>
      </c>
      <c r="O33" s="16">
        <f si="29" t="shared"/>
        <v>-1.5056064034762731E-3</v>
      </c>
      <c r="P33" s="16">
        <f si="30" t="shared"/>
        <v>-5.9112653857156632E-3</v>
      </c>
      <c r="Q33" s="16">
        <f si="31" t="shared"/>
        <v>-8.3855138524344792E-4</v>
      </c>
      <c r="R33" s="16">
        <f si="32" t="shared"/>
        <v>-3.2903265222509201E-4</v>
      </c>
      <c r="T33" s="30" t="s">
        <v>4</v>
      </c>
      <c r="U33" s="31">
        <f si="33" t="shared"/>
        <v>3.3648504448698319E-3</v>
      </c>
      <c r="V33" s="31">
        <f si="34" t="shared"/>
        <v>3.0358177926447399E-3</v>
      </c>
      <c r="W33" s="31">
        <f si="35" t="shared"/>
        <v>-3.2903265222509201E-4</v>
      </c>
    </row>
    <row r="34" spans="11:23" x14ac:dyDescent="0.25">
      <c r="K34" s="9" t="s">
        <v>5</v>
      </c>
      <c r="L34" s="16">
        <f si="26" t="shared"/>
        <v>-5.1170816390110289E-3</v>
      </c>
      <c r="M34" s="16">
        <f si="27" t="shared"/>
        <v>-4.5625346578468786E-3</v>
      </c>
      <c r="N34" s="16">
        <f si="28" t="shared"/>
        <v>-7.1298145084381032E-3</v>
      </c>
      <c r="O34" s="16">
        <f si="29" t="shared"/>
        <v>-2.5498017884198029E-3</v>
      </c>
      <c r="P34" s="16">
        <f si="30" t="shared"/>
        <v>-8.809765309200945E-3</v>
      </c>
      <c r="Q34" s="16">
        <f si="31" t="shared"/>
        <v>-8.6985098765696189E-4</v>
      </c>
      <c r="R34" s="16">
        <f si="32" t="shared"/>
        <v>-3.0487155409217141E-4</v>
      </c>
      <c r="T34" s="23" t="s">
        <v>5</v>
      </c>
      <c r="U34" s="24">
        <f si="33" t="shared"/>
        <v>7.0597685305795604E-3</v>
      </c>
      <c r="V34" s="24">
        <f si="34" t="shared"/>
        <v>6.754896976487389E-3</v>
      </c>
      <c r="W34" s="24">
        <f si="35" t="shared"/>
        <v>-3.0487155409217141E-4</v>
      </c>
    </row>
    <row r="35" spans="11:23" x14ac:dyDescent="0.25">
      <c r="K35" s="9" t="s">
        <v>6</v>
      </c>
      <c r="L35" s="16">
        <f si="26" t="shared"/>
        <v>1.6537658515947205E-4</v>
      </c>
      <c r="M35" s="16">
        <f si="27" t="shared"/>
        <v>-4.8902964122218666E-5</v>
      </c>
      <c r="N35" s="16">
        <f si="28" t="shared"/>
        <v>-3.8858026652255611E-4</v>
      </c>
      <c r="O35" s="16">
        <f si="29" t="shared"/>
        <v>5.050538875598096E-4</v>
      </c>
      <c r="P35" s="16">
        <f si="30" t="shared"/>
        <v>-7.6561534772175144E-4</v>
      </c>
      <c r="Q35" s="16">
        <f si="31" t="shared"/>
        <v>8.8208896875900417E-4</v>
      </c>
      <c r="R35" s="16">
        <f si="32" t="shared"/>
        <v>8.7928064538061665E-6</v>
      </c>
      <c r="T35" s="30" t="s">
        <v>6</v>
      </c>
      <c r="U35" s="31">
        <f si="33" t="shared"/>
        <v>6.7461041700335829E-3</v>
      </c>
      <c r="V35" s="31">
        <f si="34" t="shared"/>
        <v>6.754896976487389E-3</v>
      </c>
      <c r="W35" s="31">
        <f si="35" t="shared"/>
        <v>8.7928064538061665E-6</v>
      </c>
    </row>
    <row r="36" spans="11:23" x14ac:dyDescent="0.25">
      <c r="K36" s="9" t="s">
        <v>7</v>
      </c>
      <c r="L36" s="16">
        <f si="26" t="shared"/>
        <v>2.2729352911659943E-4</v>
      </c>
      <c r="M36" s="16">
        <f si="27" t="shared"/>
        <v>-2.8438400959813689E-4</v>
      </c>
      <c r="N36" s="16">
        <f si="28" t="shared"/>
        <v>-2.5234182380293041E-3</v>
      </c>
      <c r="O36" s="16">
        <f si="29" t="shared"/>
        <v>2.4663277575477684E-3</v>
      </c>
      <c r="P36" s="16">
        <f si="30" t="shared"/>
        <v>-7.6567022891258548E-4</v>
      </c>
      <c r="Q36" s="16">
        <f si="31" t="shared"/>
        <v>7.0857974843105019E-4</v>
      </c>
      <c r="R36" s="16">
        <f si="32" t="shared"/>
        <v>-2.1244421464483403E-4</v>
      </c>
      <c r="T36" s="23" t="s">
        <v>7</v>
      </c>
      <c r="U36" s="24">
        <f si="33" t="shared"/>
        <v>9.7327688123787382E-3</v>
      </c>
      <c r="V36" s="24">
        <f si="34" t="shared"/>
        <v>9.5203245977339042E-3</v>
      </c>
      <c r="W36" s="24">
        <f si="35" t="shared"/>
        <v>-2.1244421464483403E-4</v>
      </c>
    </row>
    <row r="37" spans="11:23" x14ac:dyDescent="0.25">
      <c r="K37" s="14" t="s">
        <v>8</v>
      </c>
      <c r="L37" s="17">
        <f si="26" t="shared"/>
        <v>-1.9465615218029552E-4</v>
      </c>
      <c r="M37" s="17">
        <f si="27" t="shared"/>
        <v>-3.9985069526213263E-4</v>
      </c>
      <c r="N37" s="17">
        <f si="28" t="shared"/>
        <v>-3.2654783558339816E-4</v>
      </c>
      <c r="O37" s="17">
        <f si="29" t="shared"/>
        <v>-2.6795901185902999E-4</v>
      </c>
      <c r="P37" s="17">
        <f si="30" t="shared"/>
        <v>-5.2967273633926161E-4</v>
      </c>
      <c r="Q37" s="17">
        <f si="31" t="shared"/>
        <v>-6.4834111103166566E-5</v>
      </c>
      <c r="R37" s="17">
        <f si="32" t="shared"/>
        <v>-6.0415024892200998E-4</v>
      </c>
      <c r="T37" s="32" t="s">
        <v>8</v>
      </c>
      <c r="U37" s="33">
        <f si="33" t="shared"/>
        <v>6.0415024892200998E-4</v>
      </c>
      <c r="V37" s="33">
        <f si="34" t="shared"/>
        <v>0</v>
      </c>
      <c r="W37" s="33">
        <f si="35" t="shared"/>
        <v>-6.0415024892200998E-4</v>
      </c>
    </row>
    <row ht="15.75" r="38" spans="11:23" thickBot="1" x14ac:dyDescent="0.3">
      <c r="K38" s="13" t="s">
        <v>19</v>
      </c>
      <c r="L38" s="18">
        <f si="26" t="shared"/>
        <v>-4.5380590128792746E-3</v>
      </c>
      <c r="M38" s="18">
        <f si="27" t="shared"/>
        <v>4.5380590128791809E-3</v>
      </c>
      <c r="N38" s="18">
        <f si="28" t="shared"/>
        <v>-4.6072536774911743E-2</v>
      </c>
      <c r="O38" s="18">
        <f si="29" t="shared"/>
        <v>4.6072536774911438E-2</v>
      </c>
      <c r="P38" s="18">
        <f si="30" t="shared"/>
        <v>-2.0638236102856311E-2</v>
      </c>
      <c r="Q38" s="18">
        <f si="31" t="shared"/>
        <v>2.0638236102856311E-2</v>
      </c>
      <c r="R38" s="18">
        <f si="32" t="shared"/>
        <v>0</v>
      </c>
      <c r="T38" s="25" t="s">
        <v>19</v>
      </c>
      <c r="U38" s="26">
        <f si="33" t="shared"/>
        <v>1</v>
      </c>
      <c r="V38" s="26">
        <f si="34" t="shared"/>
        <v>1</v>
      </c>
      <c r="W38" s="26">
        <f si="35" t="shared"/>
        <v>0</v>
      </c>
    </row>
  </sheetData>
  <pageMargins bottom="0.75" footer="0.3" header="0.3" left="0.7" right="0.7" top="0.75"/>
  <pageSetup orientation="portrait" r:id="rId1"/>
  <ignoredErrors>
    <ignoredError formulaRange="1" sqref="R4:R11"/>
  </ignoredErrors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2:X38"/>
  <sheetViews>
    <sheetView workbookViewId="0">
      <selection activeCell="J3" sqref="J3:J12"/>
    </sheetView>
  </sheetViews>
  <sheetFormatPr defaultRowHeight="15" x14ac:dyDescent="0.25"/>
  <cols>
    <col min="1" max="9" customWidth="true" width="16.7109375" collapsed="true"/>
    <col min="11" max="18" customWidth="true" width="16.7109375" collapsed="true"/>
    <col min="20" max="20" customWidth="true" width="16.7109375" collapsed="true"/>
    <col min="21" max="23" customWidth="true" width="11.85546875" collapsed="true"/>
  </cols>
  <sheetData>
    <row ht="15.75" r="2" spans="1:18" thickBot="1" x14ac:dyDescent="0.3">
      <c r="A2" s="1" t="s">
        <v>279</v>
      </c>
      <c r="B2" s="1"/>
      <c r="C2" s="3"/>
      <c r="D2" s="3"/>
      <c r="E2" s="3"/>
      <c r="F2" s="3"/>
      <c r="G2" s="3"/>
      <c r="H2" s="3"/>
      <c r="I2" s="3"/>
      <c r="K2" s="1" t="s">
        <v>12</v>
      </c>
      <c r="L2" s="1"/>
      <c r="M2" s="3"/>
      <c r="N2" s="3"/>
      <c r="O2" s="3"/>
      <c r="P2" s="3"/>
      <c r="Q2" s="3"/>
      <c r="R2" s="3"/>
    </row>
    <row r="3" spans="1:18" x14ac:dyDescent="0.25">
      <c r="A3" s="2" t="s">
        <v>0</v>
      </c>
      <c r="B3" s="4" t="s">
        <v>9</v>
      </c>
      <c r="C3" s="4" t="s">
        <v>10</v>
      </c>
      <c r="D3" s="7" t="s">
        <v>235</v>
      </c>
      <c r="E3" s="7" t="s">
        <v>234</v>
      </c>
      <c r="F3" s="7" t="s">
        <v>236</v>
      </c>
      <c r="G3" s="7" t="s">
        <v>237</v>
      </c>
      <c r="H3" s="110" t="s">
        <v>278</v>
      </c>
      <c r="I3" s="7" t="s">
        <v>19</v>
      </c>
      <c r="J3" s="133" t="s">
        <v>331</v>
      </c>
      <c r="K3" s="2" t="s">
        <v>0</v>
      </c>
      <c r="L3" s="4" t="s">
        <v>9</v>
      </c>
      <c r="M3" s="4" t="s">
        <v>10</v>
      </c>
      <c r="N3" s="7" t="s">
        <v>235</v>
      </c>
      <c r="O3" s="7" t="s">
        <v>234</v>
      </c>
      <c r="P3" s="7" t="s">
        <v>236</v>
      </c>
      <c r="Q3" s="7" t="s">
        <v>237</v>
      </c>
      <c r="R3" s="7" t="s">
        <v>19</v>
      </c>
    </row>
    <row r="4" spans="1:18" x14ac:dyDescent="0.25">
      <c r="A4" s="9" t="s">
        <v>1</v>
      </c>
      <c r="B4" s="9" t="n">
        <v>0.0</v>
      </c>
      <c r="C4" s="9" t="n">
        <v>19506.379518</v>
      </c>
      <c r="D4" s="9" t="n">
        <v>16598.337489</v>
      </c>
      <c r="E4" s="9" t="n">
        <v>2908.042029</v>
      </c>
      <c r="F4" s="9" t="n">
        <v>19310.235757</v>
      </c>
      <c r="G4" s="9" t="n">
        <v>196.14376099999998</v>
      </c>
      <c r="H4" s="111"/>
      <c r="I4" s="9">
        <f>SUM($B4:$C4)*(SUM($B$12:$C$12)-SUM($H$7:$H$8))/(SUM($B$12:$C$12)-SUM($B$7:$C$8))</f>
        <v>19784.70871514083</v>
      </c>
      <c r="J4" s="125">
        <f>I4*(R$12-SUM($I$7:$I$8))/(I$12-SUM($I$7:$I$8))</f>
        <v>18935.316840121945</v>
      </c>
      <c r="K4" s="118" t="str">
        <f>A4</f>
        <v>Drive Alone</v>
      </c>
      <c r="L4" s="9" t="n">
        <v>0.0</v>
      </c>
      <c r="M4" s="9" t="n">
        <v>18751.0</v>
      </c>
      <c r="N4" s="9" t="n">
        <v>14631.0</v>
      </c>
      <c r="O4" s="9" t="n">
        <v>4120.0</v>
      </c>
      <c r="P4" s="9" t="n">
        <v>17858.0</v>
      </c>
      <c r="Q4" s="9" t="n">
        <v>893.0</v>
      </c>
      <c r="R4" s="9">
        <f>SUM(L4:M4)</f>
        <v>18781</v>
      </c>
    </row>
    <row r="5" spans="1:18" x14ac:dyDescent="0.25">
      <c r="A5" s="9" t="s">
        <v>2</v>
      </c>
      <c r="B5" s="9" t="n">
        <v>200.894946</v>
      </c>
      <c r="C5" s="9" t="n">
        <v>32364.51503</v>
      </c>
      <c r="D5" s="9" t="n">
        <v>26293.493661</v>
      </c>
      <c r="E5" s="9" t="n">
        <v>6271.916315</v>
      </c>
      <c r="F5" s="9" t="n">
        <v>31442.975958</v>
      </c>
      <c r="G5" s="9" t="n">
        <v>1122.434018</v>
      </c>
      <c r="H5" s="111"/>
      <c r="I5" s="9">
        <f ref="I5:I6" si="0" t="shared">SUM($B5:$C5)*(SUM($B$12:$C$12)-SUM($H$7:$H$8))/(SUM($B$12:$C$12)-SUM($B$7:$C$8))</f>
        <v>33030.073570021537</v>
      </c>
      <c r="J5" s="125">
        <f ref="J5:J6" si="1" t="shared">I5*(R$12-SUM($I$7:$I$8))/(I$12-SUM($I$7:$I$8))</f>
        <v>31612.035198792852</v>
      </c>
      <c r="K5" s="12" t="str">
        <f ref="K5:K11" si="2" t="shared">A5</f>
        <v>Shared Ride 2</v>
      </c>
      <c r="L5" s="9" t="n">
        <v>274.0</v>
      </c>
      <c r="M5" s="9" t="n">
        <v>31387.0</v>
      </c>
      <c r="N5" s="9" t="n">
        <v>22896.0</v>
      </c>
      <c r="O5" s="9" t="n">
        <v>8765.0</v>
      </c>
      <c r="P5" s="9" t="n">
        <v>29737.0</v>
      </c>
      <c r="Q5" s="9" t="n">
        <v>1924.0</v>
      </c>
      <c r="R5" s="9">
        <f ref="R5:R12" si="3" t="shared">SUM(L5:M5)</f>
        <v>31161</v>
      </c>
    </row>
    <row r="6" spans="1:18" x14ac:dyDescent="0.25">
      <c r="A6" s="9" t="s">
        <v>3</v>
      </c>
      <c r="B6" s="9" t="n">
        <v>309.57059100000004</v>
      </c>
      <c r="C6" s="9" t="n">
        <v>74209.859554</v>
      </c>
      <c r="D6" s="9" t="n">
        <v>61916.478923</v>
      </c>
      <c r="E6" s="9" t="n">
        <v>12602.951222</v>
      </c>
      <c r="F6" s="9" t="n">
        <v>73807.363755</v>
      </c>
      <c r="G6" s="9" t="n">
        <v>712.06639</v>
      </c>
      <c r="H6" s="111"/>
      <c r="I6" s="9">
        <f si="0" t="shared"/>
        <v>75582.719882827078</v>
      </c>
      <c r="J6" s="125">
        <f si="1" t="shared"/>
        <v>72337.822569217853</v>
      </c>
      <c r="K6" s="12" t="str">
        <f si="2" t="shared"/>
        <v>Shared Ride 3+</v>
      </c>
      <c r="L6" s="9" t="n">
        <v>440.0</v>
      </c>
      <c r="M6" s="9" t="n">
        <v>72117.0</v>
      </c>
      <c r="N6" s="9" t="n">
        <v>53901.0</v>
      </c>
      <c r="O6" s="9" t="n">
        <v>18656.0</v>
      </c>
      <c r="P6" s="9" t="n">
        <v>68501.0</v>
      </c>
      <c r="Q6" s="9" t="n">
        <v>4056.0</v>
      </c>
      <c r="R6" s="9">
        <f si="3" t="shared"/>
        <v>71341</v>
      </c>
    </row>
    <row r="7" spans="1:18" x14ac:dyDescent="0.25">
      <c r="A7" s="9" t="s">
        <v>4</v>
      </c>
      <c r="B7" s="9" t="n">
        <v>49.705394</v>
      </c>
      <c r="C7" s="9" t="n">
        <v>924.448845</v>
      </c>
      <c r="D7" s="9" t="n">
        <v>974.1542390000001</v>
      </c>
      <c r="E7" s="9" t="n">
        <v>0.0</v>
      </c>
      <c r="F7" s="9" t="n">
        <v>974.1542390000001</v>
      </c>
      <c r="G7" s="9" t="n">
        <v>0.0</v>
      </c>
      <c r="H7" s="111">
        <v>0</v>
      </c>
      <c r="I7" s="9">
        <f>H7</f>
        <v>0</v>
      </c>
      <c r="J7" s="9">
        <f>I7</f>
        <v>0</v>
      </c>
      <c r="K7" s="12" t="str">
        <f si="2" t="shared"/>
        <v>Drive-Transit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 t="n">
        <v>0.0</v>
      </c>
      <c r="R7" s="9">
        <f si="3" t="shared"/>
        <v>0</v>
      </c>
    </row>
    <row r="8" spans="1:18" x14ac:dyDescent="0.25">
      <c r="A8" s="9" t="s">
        <v>5</v>
      </c>
      <c r="B8" s="9" t="n">
        <v>2496.266976</v>
      </c>
      <c r="C8" s="9" t="n">
        <v>1186.918033</v>
      </c>
      <c r="D8" s="9" t="n">
        <v>3249.756109</v>
      </c>
      <c r="E8" s="9" t="n">
        <v>433.4289</v>
      </c>
      <c r="F8" s="9" t="n">
        <v>3567.24437</v>
      </c>
      <c r="G8" s="9" t="n">
        <v>115.940639</v>
      </c>
      <c r="H8" s="111">
        <f>1.1*1430.96349586304</f>
        <v>1574.059845449344</v>
      </c>
      <c r="I8" s="9">
        <f>H8</f>
        <v>1574.059845449344</v>
      </c>
      <c r="J8" s="9">
        <f>I8</f>
        <v>1574.059845449344</v>
      </c>
      <c r="K8" s="12" t="str">
        <f si="2" t="shared"/>
        <v>Walk-Transit</v>
      </c>
      <c r="L8" s="9" t="n">
        <v>426.0</v>
      </c>
      <c r="M8" s="9" t="n">
        <v>565.0</v>
      </c>
      <c r="N8" s="9" t="n">
        <v>764.0</v>
      </c>
      <c r="O8" s="9" t="n">
        <v>227.0</v>
      </c>
      <c r="P8" s="9" t="n">
        <v>948.0</v>
      </c>
      <c r="Q8" s="9" t="n">
        <v>43.0</v>
      </c>
      <c r="R8" s="9">
        <f si="3" t="shared"/>
        <v>1495</v>
      </c>
    </row>
    <row r="9" spans="1:18" x14ac:dyDescent="0.25">
      <c r="A9" s="9" t="s">
        <v>6</v>
      </c>
      <c r="B9" s="9" t="n">
        <v>37.361886</v>
      </c>
      <c r="C9" s="9" t="n">
        <v>367.667351</v>
      </c>
      <c r="D9" s="9" t="n">
        <v>183.286862</v>
      </c>
      <c r="E9" s="9" t="n">
        <v>221.742375</v>
      </c>
      <c r="F9" s="9" t="n">
        <v>248.001057</v>
      </c>
      <c r="G9" s="9" t="n">
        <v>157.02818000000002</v>
      </c>
      <c r="H9" s="111"/>
      <c r="I9" s="9">
        <f ref="I9:I11" si="4" t="shared">SUM($B9:$C9)*(SUM($B$12:$C$12)-SUM($H$7:$H$8))/(SUM($B$12:$C$12)-SUM($B$7:$C$8))</f>
        <v>410.80844693738209</v>
      </c>
      <c r="J9" s="125">
        <f>I9*(R$12-SUM($I$7:$I$8))/(I$12-SUM($I$7:$I$8))</f>
        <v>393.17172748693577</v>
      </c>
      <c r="K9" s="12" t="str">
        <f si="2" t="shared"/>
        <v>Bike</v>
      </c>
      <c r="L9" s="9" t="n">
        <v>69.0</v>
      </c>
      <c r="M9" s="9" t="n">
        <v>357.0</v>
      </c>
      <c r="N9" s="9" t="n">
        <v>235.0</v>
      </c>
      <c r="O9" s="9" t="n">
        <v>191.0</v>
      </c>
      <c r="P9" s="9" t="n">
        <v>391.0</v>
      </c>
      <c r="Q9" s="9" t="n">
        <v>35.0</v>
      </c>
      <c r="R9" s="9">
        <f si="3" t="shared"/>
        <v>402</v>
      </c>
    </row>
    <row r="10" spans="1:18" x14ac:dyDescent="0.25">
      <c r="A10" s="9" t="s">
        <v>7</v>
      </c>
      <c r="B10" s="9" t="n">
        <v>115.197661</v>
      </c>
      <c r="C10" s="9" t="n">
        <v>5423.102856</v>
      </c>
      <c r="D10" s="9" t="n">
        <v>3404.797029</v>
      </c>
      <c r="E10" s="9" t="n">
        <v>2133.503488</v>
      </c>
      <c r="F10" s="9" t="n">
        <v>5422.641107</v>
      </c>
      <c r="G10" s="9" t="n">
        <v>115.65941</v>
      </c>
      <c r="H10" s="111"/>
      <c r="I10" s="9">
        <f si="4" t="shared"/>
        <v>5617.3244452999097</v>
      </c>
      <c r="J10" s="125">
        <f ref="J10:J11" si="5" t="shared">I10*(R$12-SUM($I$7:$I$8))/(I$12-SUM($I$7:$I$8))</f>
        <v>5376.1629598375885</v>
      </c>
      <c r="K10" s="12" t="str">
        <f si="2" t="shared"/>
        <v>Walk</v>
      </c>
      <c r="L10" s="9" t="n">
        <v>172.0</v>
      </c>
      <c r="M10" s="9" t="n">
        <v>5191.0</v>
      </c>
      <c r="N10" s="9" t="n">
        <v>1338.0</v>
      </c>
      <c r="O10" s="9" t="n">
        <v>4025.0</v>
      </c>
      <c r="P10" s="9" t="n">
        <v>4433.0</v>
      </c>
      <c r="Q10" s="9" t="n">
        <v>930.0</v>
      </c>
      <c r="R10" s="9">
        <f si="3" t="shared"/>
        <v>5278</v>
      </c>
    </row>
    <row r="11" spans="1:18" x14ac:dyDescent="0.25">
      <c r="A11" s="14" t="s">
        <v>8</v>
      </c>
      <c r="B11" s="14" t="n">
        <v>2900.4666039999997</v>
      </c>
      <c r="C11" s="14" t="n">
        <v>80653.050954</v>
      </c>
      <c r="D11" s="14" t="n">
        <v>64385.798588</v>
      </c>
      <c r="E11" s="14" t="n">
        <v>19167.718969999998</v>
      </c>
      <c r="F11" s="14" t="n">
        <v>77934.584975</v>
      </c>
      <c r="G11" s="14" t="n">
        <v>5618.932583</v>
      </c>
      <c r="H11" s="112"/>
      <c r="I11" s="14">
        <f si="4" t="shared"/>
        <v>84745.711293323926</v>
      </c>
      <c r="J11" s="125">
        <f si="5" t="shared"/>
        <v>81107.430859093467</v>
      </c>
      <c r="K11" s="14" t="str">
        <f si="2" t="shared"/>
        <v>School Bus</v>
      </c>
      <c r="L11" s="14" t="n">
        <v>3873.0</v>
      </c>
      <c r="M11" s="14" t="n">
        <v>77457.0</v>
      </c>
      <c r="N11" s="14" t="n">
        <v>54807.0</v>
      </c>
      <c r="O11" s="14" t="n">
        <v>26523.0</v>
      </c>
      <c r="P11" s="14" t="n">
        <v>75714.0</v>
      </c>
      <c r="Q11" s="14" t="n">
        <v>5616.0</v>
      </c>
      <c r="R11" s="14">
        <f si="3" t="shared"/>
        <v>82878</v>
      </c>
    </row>
    <row ht="15.75" r="12" spans="1:18" thickBot="1" x14ac:dyDescent="0.3">
      <c r="A12" s="13" t="s">
        <v>19</v>
      </c>
      <c r="B12" s="10">
        <f>SUM(B4:B11)</f>
        <v>6109.4640579999996</v>
      </c>
      <c r="C12" s="10">
        <f>SUM(C4:C11)</f>
        <v>214635.94214100001</v>
      </c>
      <c r="D12" s="10">
        <f ref="D12:H12" si="6" t="shared">SUM(D4:D11)</f>
        <v>177006.10289999997</v>
      </c>
      <c r="E12" s="10">
        <f si="6" t="shared"/>
        <v>43739.303298999999</v>
      </c>
      <c r="F12" s="10">
        <f si="6" t="shared"/>
        <v>212707.201218</v>
      </c>
      <c r="G12" s="10">
        <f si="6" t="shared"/>
        <v>8038.2049809999999</v>
      </c>
      <c r="H12" s="113">
        <f si="6" t="shared"/>
        <v>1574.059845449344</v>
      </c>
      <c r="I12" s="10">
        <f>SUM(I4:I11)</f>
        <v>220745.40619900002</v>
      </c>
      <c r="J12" s="131">
        <f>SUM(J4:J11)</f>
        <v>211336</v>
      </c>
      <c r="K12" s="13" t="s">
        <v>19</v>
      </c>
      <c r="L12" s="10">
        <f>SUM(L4:L11)</f>
        <v>5393</v>
      </c>
      <c r="M12" s="10">
        <f>SUM(M4:M11)</f>
        <v>205943</v>
      </c>
      <c r="N12" s="10">
        <f ref="N12:Q12" si="7" t="shared">SUM(N4:N11)</f>
        <v>147798</v>
      </c>
      <c r="O12" s="10">
        <f si="7" t="shared"/>
        <v>63538</v>
      </c>
      <c r="P12" s="10">
        <f si="7" t="shared"/>
        <v>197706</v>
      </c>
      <c r="Q12" s="10">
        <f si="7" t="shared"/>
        <v>13630</v>
      </c>
      <c r="R12" s="10">
        <f si="3" t="shared"/>
        <v>211336</v>
      </c>
    </row>
    <row r="13" spans="1:18" x14ac:dyDescent="0.25">
      <c r="B13" s="120">
        <f>B7/SUM($B7:$C7)</f>
        <v>5.1024152038823087E-2</v>
      </c>
      <c r="C13" s="120">
        <f ref="C13:G14" si="8" t="shared">C7/SUM($B7:$C7)</f>
        <v>0.94897584796117695</v>
      </c>
      <c r="D13" s="120">
        <f si="8" t="shared"/>
        <v>1.0000000000000002</v>
      </c>
      <c r="E13" s="120">
        <f si="8" t="shared"/>
        <v>0</v>
      </c>
      <c r="F13" s="120">
        <f si="8" t="shared"/>
        <v>1.0000000000000002</v>
      </c>
      <c r="G13" s="120">
        <f si="8" t="shared"/>
        <v>0</v>
      </c>
    </row>
    <row r="14" spans="1:18" x14ac:dyDescent="0.25">
      <c r="B14" s="120">
        <f>B8/SUM($B8:$C8)</f>
        <v>0.67774683321643592</v>
      </c>
      <c r="C14" s="120">
        <f si="8" t="shared"/>
        <v>0.32225316678356408</v>
      </c>
      <c r="D14" s="120">
        <f si="8" t="shared"/>
        <v>0.88232225670421116</v>
      </c>
      <c r="E14" s="120">
        <f si="8" t="shared"/>
        <v>0.11767774329578892</v>
      </c>
      <c r="F14" s="120">
        <f si="8" t="shared"/>
        <v>0.96852163583510065</v>
      </c>
      <c r="G14" s="120">
        <f si="8" t="shared"/>
        <v>3.1478364164899325E-2</v>
      </c>
    </row>
    <row ht="15.75" r="15" spans="1:18" thickBot="1" x14ac:dyDescent="0.3">
      <c r="A15" s="1" t="s">
        <v>279</v>
      </c>
      <c r="B15" s="1"/>
      <c r="C15" s="3"/>
      <c r="D15" s="3"/>
      <c r="E15" s="3"/>
      <c r="F15" s="3"/>
      <c r="G15" s="3"/>
      <c r="H15" s="3"/>
      <c r="I15" s="3"/>
      <c r="K15" s="1" t="s">
        <v>12</v>
      </c>
      <c r="L15" s="1"/>
      <c r="M15" s="3"/>
      <c r="N15" s="3"/>
      <c r="O15" s="3"/>
      <c r="P15" s="3"/>
      <c r="Q15" s="3"/>
      <c r="R15" s="3"/>
    </row>
    <row r="16" spans="1:18" x14ac:dyDescent="0.25">
      <c r="A16" s="2" t="s">
        <v>0</v>
      </c>
      <c r="B16" s="4" t="s">
        <v>9</v>
      </c>
      <c r="C16" s="4" t="s">
        <v>10</v>
      </c>
      <c r="D16" s="7" t="s">
        <v>235</v>
      </c>
      <c r="E16" s="7" t="s">
        <v>234</v>
      </c>
      <c r="F16" s="7" t="s">
        <v>236</v>
      </c>
      <c r="G16" s="7" t="s">
        <v>237</v>
      </c>
      <c r="H16" s="7" t="s">
        <v>278</v>
      </c>
      <c r="I16" s="7" t="s">
        <v>19</v>
      </c>
      <c r="K16" s="2" t="s">
        <v>0</v>
      </c>
      <c r="L16" s="4" t="s">
        <v>9</v>
      </c>
      <c r="M16" s="4" t="s">
        <v>10</v>
      </c>
      <c r="N16" s="7" t="s">
        <v>235</v>
      </c>
      <c r="O16" s="7" t="s">
        <v>234</v>
      </c>
      <c r="P16" s="7" t="s">
        <v>236</v>
      </c>
      <c r="Q16" s="7" t="s">
        <v>237</v>
      </c>
      <c r="R16" s="7" t="s">
        <v>19</v>
      </c>
    </row>
    <row r="17" spans="1:23" x14ac:dyDescent="0.25">
      <c r="A17" s="9" t="s">
        <v>1</v>
      </c>
      <c r="B17" s="16">
        <f ref="B17:H17" si="9" t="shared">B4/$I$12</f>
        <v>0</v>
      </c>
      <c r="C17" s="16">
        <f si="9" t="shared"/>
        <v>8.8365959019845577E-2</v>
      </c>
      <c r="D17" s="16">
        <f si="9" t="shared"/>
        <v>7.5192221549728419E-2</v>
      </c>
      <c r="E17" s="16">
        <f si="9" t="shared"/>
        <v>1.3173737470117164E-2</v>
      </c>
      <c r="F17" s="16">
        <f si="9" t="shared"/>
        <v>8.747740707044202E-2</v>
      </c>
      <c r="G17" s="16">
        <f si="9" t="shared"/>
        <v>8.8855194940355015E-4</v>
      </c>
      <c r="H17" s="16">
        <f si="9" t="shared"/>
        <v>0</v>
      </c>
      <c r="I17" s="16">
        <f ref="I17:I25" si="10" t="shared">I4/$I$12</f>
        <v>8.9626819673452651E-2</v>
      </c>
      <c r="K17" s="9" t="s">
        <v>1</v>
      </c>
      <c r="L17" s="16">
        <f ref="L17:M25" si="11" t="shared">L4/$R$12</f>
        <v>0</v>
      </c>
      <c r="M17" s="16">
        <f si="11" t="shared"/>
        <v>8.8867963811182199E-2</v>
      </c>
      <c r="N17" s="16">
        <f ref="N17:Q17" si="12" t="shared">N4/$R$12</f>
        <v>6.9046447363440205E-2</v>
      </c>
      <c r="O17" s="16">
        <f si="12" t="shared"/>
        <v>1.9821516447741983E-2</v>
      </c>
      <c r="P17" s="16">
        <f si="12" t="shared"/>
        <v>8.4557292652458649E-2</v>
      </c>
      <c r="Q17" s="16">
        <f si="12" t="shared"/>
        <v>4.3106711587235494E-3</v>
      </c>
      <c r="R17" s="16">
        <f ref="R17:R25" si="13" t="shared">R4/$R$12</f>
        <v>8.8867963811182199E-2</v>
      </c>
    </row>
    <row r="18" spans="1:23" x14ac:dyDescent="0.25">
      <c r="A18" s="9" t="s">
        <v>2</v>
      </c>
      <c r="B18" s="16">
        <f ref="B18:G25" si="14" t="shared">B5/$I$12</f>
        <v>9.1007531916154581E-4</v>
      </c>
      <c r="C18" s="16">
        <f si="14" t="shared"/>
        <v>0.1466146706619284</v>
      </c>
      <c r="D18" s="16">
        <f si="14" t="shared"/>
        <v>0.11911230278240377</v>
      </c>
      <c r="E18" s="16">
        <f si="14" t="shared"/>
        <v>2.8412443198686198E-2</v>
      </c>
      <c r="F18" s="16">
        <f si="14" t="shared"/>
        <v>0.14244000135456697</v>
      </c>
      <c r="G18" s="16">
        <f si="14" t="shared"/>
        <v>5.0847446265229893E-3</v>
      </c>
      <c r="H18" s="16">
        <f ref="H18:H24" si="15" t="shared">H5/$I$12</f>
        <v>0</v>
      </c>
      <c r="I18" s="16">
        <f si="10" t="shared"/>
        <v>0.14962972112880674</v>
      </c>
      <c r="K18" s="9" t="s">
        <v>2</v>
      </c>
      <c r="L18" s="16">
        <f si="11" t="shared"/>
        <v>1.0788507400537532E-3</v>
      </c>
      <c r="M18" s="16">
        <f si="11" t="shared"/>
        <v>0.14636881553545067</v>
      </c>
      <c r="N18" s="16">
        <f ref="N18:Q18" si="16" t="shared">N5/$R$12</f>
        <v>0.10597342620282393</v>
      </c>
      <c r="O18" s="16">
        <f si="16" t="shared"/>
        <v>4.1474240072680468E-2</v>
      </c>
      <c r="P18" s="16">
        <f si="16" t="shared"/>
        <v>0.13853295226558657</v>
      </c>
      <c r="Q18" s="16">
        <f si="16" t="shared"/>
        <v>8.9147140099178554E-3</v>
      </c>
      <c r="R18" s="16">
        <f si="13" t="shared"/>
        <v>0.1474476662755044</v>
      </c>
    </row>
    <row r="19" spans="1:23" x14ac:dyDescent="0.25">
      <c r="A19" s="9" t="s">
        <v>3</v>
      </c>
      <c r="B19" s="16">
        <f si="14" t="shared"/>
        <v>1.4023874667675978E-3</v>
      </c>
      <c r="C19" s="16">
        <f si="14" t="shared"/>
        <v>0.33617850007306821</v>
      </c>
      <c r="D19" s="16">
        <f si="14" t="shared"/>
        <v>0.28048818767799338</v>
      </c>
      <c r="E19" s="16">
        <f si="14" t="shared"/>
        <v>5.7092699861842428E-2</v>
      </c>
      <c r="F19" s="16">
        <f si="14" t="shared"/>
        <v>0.33435515160149387</v>
      </c>
      <c r="G19" s="16">
        <f si="14" t="shared"/>
        <v>3.2257359383419215E-3</v>
      </c>
      <c r="H19" s="16">
        <f si="15" t="shared"/>
        <v>0</v>
      </c>
      <c r="I19" s="16">
        <f si="10" t="shared"/>
        <v>0.34239770233175282</v>
      </c>
      <c r="K19" s="9" t="s">
        <v>3</v>
      </c>
      <c r="L19" s="16">
        <f si="11" t="shared"/>
        <v>1.7034485369269788E-3</v>
      </c>
      <c r="M19" s="16">
        <f si="11" t="shared"/>
        <v>0.33586800166559411</v>
      </c>
      <c r="N19" s="16">
        <f ref="N19:Q19" si="17" t="shared">N6/$R$12</f>
        <v>0.24914354393004504</v>
      </c>
      <c r="O19" s="16">
        <f si="17" t="shared"/>
        <v>8.8427906272476056E-2</v>
      </c>
      <c r="P19" s="16">
        <f si="17" t="shared"/>
        <v>0.31816633228602792</v>
      </c>
      <c r="Q19" s="16">
        <f si="17" t="shared"/>
        <v>1.9405117916493166E-2</v>
      </c>
      <c r="R19" s="16">
        <f si="13" t="shared"/>
        <v>0.33757145020252111</v>
      </c>
    </row>
    <row r="20" spans="1:23" x14ac:dyDescent="0.25">
      <c r="A20" s="9" t="s">
        <v>4</v>
      </c>
      <c r="B20" s="16">
        <f si="14" t="shared"/>
        <v>2.251706835302884E-4</v>
      </c>
      <c r="C20" s="16">
        <f si="14" t="shared"/>
        <v>4.1878508863129752E-3</v>
      </c>
      <c r="D20" s="16">
        <f si="14" t="shared"/>
        <v>4.4130215698432642E-3</v>
      </c>
      <c r="E20" s="16">
        <f si="14" t="shared"/>
        <v>0</v>
      </c>
      <c r="F20" s="16">
        <f si="14" t="shared"/>
        <v>4.4130215698432642E-3</v>
      </c>
      <c r="G20" s="16">
        <f si="14" t="shared"/>
        <v>0</v>
      </c>
      <c r="H20" s="16">
        <f si="15" t="shared"/>
        <v>0</v>
      </c>
      <c r="I20" s="16">
        <f si="10" t="shared"/>
        <v>0</v>
      </c>
      <c r="K20" s="9" t="s">
        <v>4</v>
      </c>
      <c r="L20" s="16">
        <f si="11" t="shared"/>
        <v>0</v>
      </c>
      <c r="M20" s="16">
        <f si="11" t="shared"/>
        <v>0</v>
      </c>
      <c r="N20" s="16">
        <f ref="N20:Q20" si="18" t="shared">N7/$R$12</f>
        <v>0</v>
      </c>
      <c r="O20" s="16">
        <f si="18" t="shared"/>
        <v>0</v>
      </c>
      <c r="P20" s="16">
        <f si="18" t="shared"/>
        <v>0</v>
      </c>
      <c r="Q20" s="16">
        <f si="18" t="shared"/>
        <v>0</v>
      </c>
      <c r="R20" s="16">
        <f si="13" t="shared"/>
        <v>0</v>
      </c>
    </row>
    <row r="21" spans="1:23" x14ac:dyDescent="0.25">
      <c r="A21" s="9" t="s">
        <v>5</v>
      </c>
      <c r="B21" s="16">
        <f si="14" t="shared"/>
        <v>1.1308352998067091E-2</v>
      </c>
      <c r="C21" s="16">
        <f si="14" t="shared"/>
        <v>5.3768640237523398E-3</v>
      </c>
      <c r="D21" s="16">
        <f si="14" t="shared"/>
        <v>1.4721738336291238E-2</v>
      </c>
      <c r="E21" s="16">
        <f si="14" t="shared"/>
        <v>1.9634786855281948E-3</v>
      </c>
      <c r="F21" s="16">
        <f si="14" t="shared"/>
        <v>1.6159993684236224E-2</v>
      </c>
      <c r="G21" s="16">
        <f si="14" t="shared"/>
        <v>5.2522333758320912E-4</v>
      </c>
      <c r="H21" s="16">
        <f si="15" t="shared"/>
        <v>7.1306573149266042E-3</v>
      </c>
      <c r="I21" s="16">
        <f si="10" t="shared"/>
        <v>7.1306573149266042E-3</v>
      </c>
      <c r="K21" s="9" t="s">
        <v>5</v>
      </c>
      <c r="L21" s="16">
        <f si="11" t="shared"/>
        <v>4.4384297989930729E-3</v>
      </c>
      <c r="M21" s="16">
        <f si="11" t="shared"/>
        <v>2.6356134307453532E-3</v>
      </c>
      <c r="N21" s="16">
        <f ref="N21:Q21" si="19" t="shared">N8/$R$12</f>
        <v>6.1371465344285878E-3</v>
      </c>
      <c r="O21" s="16">
        <f si="19" t="shared"/>
        <v>9.3689669530983835E-4</v>
      </c>
      <c r="P21" s="16">
        <f si="19" t="shared"/>
        <v>6.8989665745542647E-3</v>
      </c>
      <c r="Q21" s="16">
        <f si="19" t="shared"/>
        <v>1.750766551841617E-4</v>
      </c>
      <c r="R21" s="16">
        <f si="13" t="shared"/>
        <v>7.0740432297384257E-3</v>
      </c>
    </row>
    <row r="22" spans="1:23" x14ac:dyDescent="0.25">
      <c r="A22" s="9" t="s">
        <v>6</v>
      </c>
      <c r="B22" s="16">
        <f si="14" t="shared"/>
        <v>1.6925328886037425E-4</v>
      </c>
      <c r="C22" s="16">
        <f si="14" t="shared"/>
        <v>1.665571924375863E-3</v>
      </c>
      <c r="D22" s="16">
        <f si="14" t="shared"/>
        <v>8.3030883929139862E-4</v>
      </c>
      <c r="E22" s="16">
        <f si="14" t="shared"/>
        <v>1.0045163739448386E-3</v>
      </c>
      <c r="F22" s="16">
        <f si="14" t="shared"/>
        <v>1.1234709762269267E-3</v>
      </c>
      <c r="G22" s="16">
        <f si="14" t="shared"/>
        <v>7.113542370093107E-4</v>
      </c>
      <c r="H22" s="16">
        <f si="15" t="shared"/>
        <v>0</v>
      </c>
      <c r="I22" s="16">
        <f si="10" t="shared"/>
        <v>1.8610056445162982E-3</v>
      </c>
      <c r="K22" s="9" t="s">
        <v>6</v>
      </c>
      <c r="L22" s="16">
        <f si="11" t="shared"/>
        <v>2.2712647159026385E-4</v>
      </c>
      <c r="M22" s="16">
        <f si="11" t="shared"/>
        <v>1.6750577279781959E-3</v>
      </c>
      <c r="N22" s="16">
        <f ref="N22:Q22" si="20" t="shared">N9/$R$12</f>
        <v>9.4636029829276607E-4</v>
      </c>
      <c r="O22" s="16">
        <f si="20" t="shared"/>
        <v>9.5582390127569368E-4</v>
      </c>
      <c r="P22" s="16">
        <f si="20" t="shared"/>
        <v>1.7129121399099066E-3</v>
      </c>
      <c r="Q22" s="16">
        <f si="20" t="shared"/>
        <v>1.892720596585532E-4</v>
      </c>
      <c r="R22" s="16">
        <f si="13" t="shared"/>
        <v>1.9021841995684598E-3</v>
      </c>
    </row>
    <row r="23" spans="1:23" x14ac:dyDescent="0.25">
      <c r="A23" s="9" t="s">
        <v>7</v>
      </c>
      <c r="B23" s="16">
        <f si="14" t="shared"/>
        <v>5.218575687874126E-4</v>
      </c>
      <c r="C23" s="16">
        <f si="14" t="shared"/>
        <v>2.4567228597777123E-2</v>
      </c>
      <c r="D23" s="16">
        <f si="14" t="shared"/>
        <v>1.5424090075653062E-2</v>
      </c>
      <c r="E23" s="16">
        <f si="14" t="shared"/>
        <v>9.6649960909114697E-3</v>
      </c>
      <c r="F23" s="16">
        <f si="14" t="shared"/>
        <v>2.4565136826048092E-2</v>
      </c>
      <c r="G23" s="16">
        <f si="14" t="shared"/>
        <v>5.2394934051644122E-4</v>
      </c>
      <c r="H23" s="16">
        <f si="15" t="shared"/>
        <v>0</v>
      </c>
      <c r="I23" s="16">
        <f si="10" t="shared"/>
        <v>2.5447072906404865E-2</v>
      </c>
      <c r="K23" s="9" t="s">
        <v>7</v>
      </c>
      <c r="L23" s="16">
        <f si="11" t="shared"/>
        <v>1.0126055191732597E-3</v>
      </c>
      <c r="M23" s="16">
        <f si="11" t="shared"/>
        <v>2.3961842752772834E-2</v>
      </c>
      <c r="N23" s="16">
        <f ref="N23:Q23" si="21" t="shared">N10/$R$12</f>
        <v>6.416322822424954E-3</v>
      </c>
      <c r="O23" s="16">
        <f si="21" t="shared"/>
        <v>1.8558125449521141E-2</v>
      </c>
      <c r="P23" s="16">
        <f si="21" t="shared"/>
        <v>2.0720558731120112E-2</v>
      </c>
      <c r="Q23" s="16">
        <f si="21" t="shared"/>
        <v>4.2538895408259832E-3</v>
      </c>
      <c r="R23" s="16">
        <f si="13" t="shared"/>
        <v>2.4974448271946094E-2</v>
      </c>
    </row>
    <row r="24" spans="1:23" x14ac:dyDescent="0.25">
      <c r="A24" s="14" t="s">
        <v>8</v>
      </c>
      <c r="B24" s="17">
        <f si="14" t="shared"/>
        <v>1.313941999492961E-2</v>
      </c>
      <c r="C24" s="17">
        <f si="14" t="shared"/>
        <v>0.36536683749283549</v>
      </c>
      <c r="D24" s="17">
        <f si="14" t="shared"/>
        <v>0.29167446651169165</v>
      </c>
      <c r="E24" s="17">
        <f si="14" t="shared"/>
        <v>8.683179097607345E-2</v>
      </c>
      <c r="F24" s="17">
        <f si="14" t="shared"/>
        <v>0.35305189954776534</v>
      </c>
      <c r="G24" s="17">
        <f si="14" t="shared"/>
        <v>2.5454357939999811E-2</v>
      </c>
      <c r="H24" s="16">
        <f si="15" t="shared"/>
        <v>0</v>
      </c>
      <c r="I24" s="17">
        <f si="10" t="shared"/>
        <v>0.38390702100013996</v>
      </c>
      <c r="K24" s="14" t="s">
        <v>8</v>
      </c>
      <c r="L24" s="17">
        <f si="11" t="shared"/>
        <v>1.7058144376727109E-2</v>
      </c>
      <c r="M24" s="17">
        <f si="11" t="shared"/>
        <v>0.37510409963281222</v>
      </c>
      <c r="N24" s="17">
        <f ref="N24:Q24" si="22" t="shared">N11/$R$12</f>
        <v>0.26168754968391567</v>
      </c>
      <c r="O24" s="17">
        <f si="22" t="shared"/>
        <v>0.13047469432562364</v>
      </c>
      <c r="P24" s="17">
        <f si="22" t="shared"/>
        <v>0.36491653102169058</v>
      </c>
      <c r="Q24" s="17">
        <f si="22" t="shared"/>
        <v>2.7245712987848735E-2</v>
      </c>
      <c r="R24" s="17">
        <f si="13" t="shared"/>
        <v>0.39216224400953931</v>
      </c>
    </row>
    <row ht="15.75" r="25" spans="1:23" thickBot="1" x14ac:dyDescent="0.3">
      <c r="A25" s="13" t="s">
        <v>19</v>
      </c>
      <c r="B25" s="18">
        <f si="14" t="shared"/>
        <v>2.767651732010392E-2</v>
      </c>
      <c r="C25" s="18">
        <f si="14" t="shared"/>
        <v>0.97232348267989599</v>
      </c>
      <c r="D25" s="18">
        <f si="14" t="shared"/>
        <v>0.80185633734289596</v>
      </c>
      <c r="E25" s="18">
        <f si="14" t="shared"/>
        <v>0.19814366265710376</v>
      </c>
      <c r="F25" s="18">
        <f si="14" t="shared"/>
        <v>0.96358608263062273</v>
      </c>
      <c r="G25" s="18">
        <f si="14" t="shared"/>
        <v>3.6413917369377234E-2</v>
      </c>
      <c r="H25" s="18">
        <f>H12/$I$12</f>
        <v>7.1306573149266042E-3</v>
      </c>
      <c r="I25" s="18">
        <f si="10" t="shared"/>
        <v>1</v>
      </c>
      <c r="K25" s="13" t="s">
        <v>19</v>
      </c>
      <c r="L25" s="18">
        <f si="11" t="shared"/>
        <v>2.5518605443464435E-2</v>
      </c>
      <c r="M25" s="18">
        <f si="11" t="shared"/>
        <v>0.9744813945565356</v>
      </c>
      <c r="N25" s="18">
        <f ref="N25:Q25" si="23" t="shared">N12/$R$12</f>
        <v>0.69935079683537116</v>
      </c>
      <c r="O25" s="18">
        <f si="23" t="shared"/>
        <v>0.30064920316462884</v>
      </c>
      <c r="P25" s="18">
        <f si="23" t="shared"/>
        <v>0.93550554567134803</v>
      </c>
      <c r="Q25" s="18">
        <f si="23" t="shared"/>
        <v>6.4494454328652001E-2</v>
      </c>
      <c r="R25" s="18">
        <f si="13" t="shared"/>
        <v>1</v>
      </c>
    </row>
    <row ht="15.75" r="28" spans="1:23" thickBot="1" x14ac:dyDescent="0.3">
      <c r="K28" s="1" t="s">
        <v>27</v>
      </c>
      <c r="L28" s="1"/>
      <c r="M28" s="3"/>
      <c r="N28" s="3"/>
      <c r="O28" s="3"/>
      <c r="P28" s="3"/>
      <c r="Q28" s="3"/>
      <c r="R28" s="3"/>
      <c r="T28" s="21" t="s">
        <v>36</v>
      </c>
      <c r="U28" s="21"/>
      <c r="V28" s="22"/>
      <c r="W28" s="22"/>
    </row>
    <row r="29" spans="1:23" x14ac:dyDescent="0.25">
      <c r="K29" s="2" t="s">
        <v>0</v>
      </c>
      <c r="L29" s="4" t="s">
        <v>9</v>
      </c>
      <c r="M29" s="4" t="s">
        <v>10</v>
      </c>
      <c r="N29" s="7" t="s">
        <v>235</v>
      </c>
      <c r="O29" s="7" t="s">
        <v>234</v>
      </c>
      <c r="P29" s="7" t="s">
        <v>236</v>
      </c>
      <c r="Q29" s="7" t="s">
        <v>237</v>
      </c>
      <c r="R29" s="7" t="s">
        <v>19</v>
      </c>
      <c r="T29" s="27" t="s">
        <v>0</v>
      </c>
      <c r="U29" s="28" t="s">
        <v>45</v>
      </c>
      <c r="V29" s="28" t="s">
        <v>33</v>
      </c>
      <c r="W29" s="29" t="s">
        <v>34</v>
      </c>
    </row>
    <row r="30" spans="1:23" x14ac:dyDescent="0.25">
      <c r="K30" s="9" t="s">
        <v>1</v>
      </c>
      <c r="L30" s="16">
        <f ref="L30:L38" si="24" t="shared">L17-B17</f>
        <v>0</v>
      </c>
      <c r="M30" s="16">
        <f ref="M30:M38" si="25" t="shared">M17-C17</f>
        <v>5.0200479133662157E-4</v>
      </c>
      <c r="N30" s="16">
        <f ref="N30:N38" si="26" t="shared">N17-D17</f>
        <v>-6.1457741862882137E-3</v>
      </c>
      <c r="O30" s="16">
        <f ref="O30:O38" si="27" t="shared">O17-E17</f>
        <v>6.6477789776248197E-3</v>
      </c>
      <c r="P30" s="16">
        <f ref="P30:P38" si="28" t="shared">P17-F17</f>
        <v>-2.9201144179833716E-3</v>
      </c>
      <c r="Q30" s="16">
        <f ref="Q30:Q38" si="29" t="shared">Q17-G17</f>
        <v>3.4221192093199992E-3</v>
      </c>
      <c r="R30" s="16">
        <f ref="R30:R38" si="30" t="shared">R17-I17</f>
        <v>-7.5885586227045221E-4</v>
      </c>
      <c r="T30" s="23" t="s">
        <v>1</v>
      </c>
      <c r="U30" s="24">
        <f>I17</f>
        <v>8.9626819673452651E-2</v>
      </c>
      <c r="V30" s="24">
        <f ref="V30:V38" si="31" t="shared">R17</f>
        <v>8.8867963811182199E-2</v>
      </c>
      <c r="W30" s="24">
        <f>V30-U30</f>
        <v>-7.5885586227045221E-4</v>
      </c>
    </row>
    <row r="31" spans="1:23" x14ac:dyDescent="0.25">
      <c r="K31" s="9" t="s">
        <v>2</v>
      </c>
      <c r="L31" s="16">
        <f si="24" t="shared"/>
        <v>1.6877542089220739E-4</v>
      </c>
      <c r="M31" s="16">
        <f si="25" t="shared"/>
        <v>-2.4585512647773422E-4</v>
      </c>
      <c r="N31" s="16">
        <f si="26" t="shared"/>
        <v>-1.3138876579579836E-2</v>
      </c>
      <c r="O31" s="16">
        <f si="27" t="shared"/>
        <v>1.306179687399427E-2</v>
      </c>
      <c r="P31" s="16">
        <f si="28" t="shared"/>
        <v>-3.9070490889804022E-3</v>
      </c>
      <c r="Q31" s="16">
        <f si="29" t="shared"/>
        <v>3.8299693833948661E-3</v>
      </c>
      <c r="R31" s="16">
        <f>R18-I18</f>
        <v>-2.1820548533023343E-3</v>
      </c>
      <c r="T31" s="30" t="s">
        <v>2</v>
      </c>
      <c r="U31" s="31">
        <f ref="U31:U38" si="32" t="shared">I18</f>
        <v>0.14962972112880674</v>
      </c>
      <c r="V31" s="31">
        <f si="31" t="shared"/>
        <v>0.1474476662755044</v>
      </c>
      <c r="W31" s="31">
        <f ref="W31:W38" si="33" t="shared">V31-U31</f>
        <v>-2.1820548533023343E-3</v>
      </c>
    </row>
    <row r="32" spans="1:23" x14ac:dyDescent="0.25">
      <c r="K32" s="9" t="s">
        <v>3</v>
      </c>
      <c r="L32" s="16">
        <f si="24" t="shared"/>
        <v>3.0106107015938095E-4</v>
      </c>
      <c r="M32" s="16">
        <f si="25" t="shared"/>
        <v>-3.104984074741024E-4</v>
      </c>
      <c r="N32" s="16">
        <f si="26" t="shared"/>
        <v>-3.1344643747948348E-2</v>
      </c>
      <c r="O32" s="16">
        <f si="27" t="shared"/>
        <v>3.1335206410633629E-2</v>
      </c>
      <c r="P32" s="16">
        <f si="28" t="shared"/>
        <v>-1.6188819315465952E-2</v>
      </c>
      <c r="Q32" s="16">
        <f si="29" t="shared"/>
        <v>1.6179381978151244E-2</v>
      </c>
      <c r="R32" s="16">
        <f si="30" t="shared"/>
        <v>-4.8262521292317118E-3</v>
      </c>
      <c r="T32" s="23" t="s">
        <v>3</v>
      </c>
      <c r="U32" s="24">
        <f si="32" t="shared"/>
        <v>0.34239770233175282</v>
      </c>
      <c r="V32" s="24">
        <f si="31" t="shared"/>
        <v>0.33757145020252111</v>
      </c>
      <c r="W32" s="24">
        <f si="33" t="shared"/>
        <v>-4.8262521292317118E-3</v>
      </c>
    </row>
    <row r="33" spans="11:23" x14ac:dyDescent="0.25">
      <c r="K33" s="9" t="s">
        <v>4</v>
      </c>
      <c r="L33" s="16">
        <f si="24" t="shared"/>
        <v>-2.251706835302884E-4</v>
      </c>
      <c r="M33" s="16">
        <f si="25" t="shared"/>
        <v>-4.1878508863129752E-3</v>
      </c>
      <c r="N33" s="16">
        <f si="26" t="shared"/>
        <v>-4.4130215698432642E-3</v>
      </c>
      <c r="O33" s="16">
        <f si="27" t="shared"/>
        <v>0</v>
      </c>
      <c r="P33" s="16">
        <f si="28" t="shared"/>
        <v>-4.4130215698432642E-3</v>
      </c>
      <c r="Q33" s="16">
        <f si="29" t="shared"/>
        <v>0</v>
      </c>
      <c r="R33" s="16">
        <f si="30" t="shared"/>
        <v>0</v>
      </c>
      <c r="T33" s="30" t="s">
        <v>4</v>
      </c>
      <c r="U33" s="31">
        <f si="32" t="shared"/>
        <v>0</v>
      </c>
      <c r="V33" s="31">
        <f si="31" t="shared"/>
        <v>0</v>
      </c>
      <c r="W33" s="31">
        <f si="33" t="shared"/>
        <v>0</v>
      </c>
    </row>
    <row r="34" spans="11:23" x14ac:dyDescent="0.25">
      <c r="K34" s="9" t="s">
        <v>5</v>
      </c>
      <c r="L34" s="16">
        <f si="24" t="shared"/>
        <v>-6.8699231990740186E-3</v>
      </c>
      <c r="M34" s="16">
        <f si="25" t="shared"/>
        <v>-2.7412505930069866E-3</v>
      </c>
      <c r="N34" s="16">
        <f si="26" t="shared"/>
        <v>-8.58459180186265E-3</v>
      </c>
      <c r="O34" s="16">
        <f si="27" t="shared"/>
        <v>-1.0265819902183565E-3</v>
      </c>
      <c r="P34" s="16">
        <f si="28" t="shared"/>
        <v>-9.2610271096819595E-3</v>
      </c>
      <c r="Q34" s="16">
        <f si="29" t="shared"/>
        <v>-3.5014668239904739E-4</v>
      </c>
      <c r="R34" s="16">
        <f si="30" t="shared"/>
        <v>-5.661408518817853E-5</v>
      </c>
      <c r="T34" s="23" t="s">
        <v>5</v>
      </c>
      <c r="U34" s="24">
        <f si="32" t="shared"/>
        <v>7.1306573149266042E-3</v>
      </c>
      <c r="V34" s="24">
        <f si="31" t="shared"/>
        <v>7.0740432297384257E-3</v>
      </c>
      <c r="W34" s="24">
        <f si="33" t="shared"/>
        <v>-5.661408518817853E-5</v>
      </c>
    </row>
    <row r="35" spans="11:23" x14ac:dyDescent="0.25">
      <c r="K35" s="9" t="s">
        <v>6</v>
      </c>
      <c r="L35" s="16">
        <f si="24" t="shared"/>
        <v>5.7873182729889603E-5</v>
      </c>
      <c r="M35" s="16">
        <f si="25" t="shared"/>
        <v>9.4858036023329467E-6</v>
      </c>
      <c r="N35" s="16">
        <f si="26" t="shared"/>
        <v>1.1605145900136745E-4</v>
      </c>
      <c r="O35" s="16">
        <f si="27" t="shared"/>
        <v>-4.8692472669144954E-5</v>
      </c>
      <c r="P35" s="16">
        <f si="28" t="shared"/>
        <v>5.8944116368297994E-4</v>
      </c>
      <c r="Q35" s="16">
        <f si="29" t="shared"/>
        <v>-5.2208217735075745E-4</v>
      </c>
      <c r="R35" s="16">
        <f si="30" t="shared"/>
        <v>4.1178555052161572E-5</v>
      </c>
      <c r="T35" s="30" t="s">
        <v>6</v>
      </c>
      <c r="U35" s="31">
        <f si="32" t="shared"/>
        <v>1.8610056445162982E-3</v>
      </c>
      <c r="V35" s="31">
        <f si="31" t="shared"/>
        <v>1.9021841995684598E-3</v>
      </c>
      <c r="W35" s="31">
        <f si="33" t="shared"/>
        <v>4.1178555052161572E-5</v>
      </c>
    </row>
    <row r="36" spans="11:23" x14ac:dyDescent="0.25">
      <c r="K36" s="9" t="s">
        <v>7</v>
      </c>
      <c r="L36" s="16">
        <f si="24" t="shared"/>
        <v>4.907479503858471E-4</v>
      </c>
      <c r="M36" s="16">
        <f si="25" t="shared"/>
        <v>-6.0538584500428871E-4</v>
      </c>
      <c r="N36" s="16">
        <f si="26" t="shared"/>
        <v>-9.0077672532281085E-3</v>
      </c>
      <c r="O36" s="16">
        <f si="27" t="shared"/>
        <v>8.8931293586096711E-3</v>
      </c>
      <c r="P36" s="16">
        <f si="28" t="shared"/>
        <v>-3.8445780949279799E-3</v>
      </c>
      <c r="Q36" s="16">
        <f si="29" t="shared"/>
        <v>3.7299402003095421E-3</v>
      </c>
      <c r="R36" s="16">
        <f si="30" t="shared"/>
        <v>-4.7262463445877159E-4</v>
      </c>
      <c r="T36" s="23" t="s">
        <v>7</v>
      </c>
      <c r="U36" s="24">
        <f si="32" t="shared"/>
        <v>2.5447072906404865E-2</v>
      </c>
      <c r="V36" s="24">
        <f si="31" t="shared"/>
        <v>2.4974448271946094E-2</v>
      </c>
      <c r="W36" s="24">
        <f si="33" t="shared"/>
        <v>-4.7262463445877159E-4</v>
      </c>
    </row>
    <row r="37" spans="11:23" x14ac:dyDescent="0.25">
      <c r="K37" s="14" t="s">
        <v>8</v>
      </c>
      <c r="L37" s="17">
        <f si="24" t="shared"/>
        <v>3.9187243817974983E-3</v>
      </c>
      <c r="M37" s="17">
        <f si="25" t="shared"/>
        <v>9.7372621399767212E-3</v>
      </c>
      <c r="N37" s="17">
        <f si="26" t="shared"/>
        <v>-2.9986916827775989E-2</v>
      </c>
      <c r="O37" s="17">
        <f si="27" t="shared"/>
        <v>4.3642903349550191E-2</v>
      </c>
      <c r="P37" s="17">
        <f si="28" t="shared"/>
        <v>1.1864631473925247E-2</v>
      </c>
      <c r="Q37" s="17">
        <f si="29" t="shared"/>
        <v>1.7913550478489242E-3</v>
      </c>
      <c r="R37" s="17">
        <f si="30" t="shared"/>
        <v>8.2552230093993484E-3</v>
      </c>
      <c r="T37" s="32" t="s">
        <v>8</v>
      </c>
      <c r="U37" s="33">
        <f si="32" t="shared"/>
        <v>0.38390702100013996</v>
      </c>
      <c r="V37" s="33">
        <f si="31" t="shared"/>
        <v>0.39216224400953931</v>
      </c>
      <c r="W37" s="33">
        <f si="33" t="shared"/>
        <v>8.2552230093993484E-3</v>
      </c>
    </row>
    <row ht="15.75" r="38" spans="11:23" thickBot="1" x14ac:dyDescent="0.3">
      <c r="K38" s="13" t="s">
        <v>19</v>
      </c>
      <c r="L38" s="18">
        <f si="24" t="shared"/>
        <v>-2.1579118766394852E-3</v>
      </c>
      <c r="M38" s="18">
        <f si="25" t="shared"/>
        <v>2.1579118766396066E-3</v>
      </c>
      <c r="N38" s="18">
        <f si="26" t="shared"/>
        <v>-0.10250554050752481</v>
      </c>
      <c r="O38" s="18">
        <f si="27" t="shared"/>
        <v>0.10250554050752508</v>
      </c>
      <c r="P38" s="18">
        <f si="28" t="shared"/>
        <v>-2.8080536959274705E-2</v>
      </c>
      <c r="Q38" s="18">
        <f si="29" t="shared"/>
        <v>2.8080536959274767E-2</v>
      </c>
      <c r="R38" s="18">
        <f si="30" t="shared"/>
        <v>0</v>
      </c>
      <c r="T38" s="25" t="s">
        <v>19</v>
      </c>
      <c r="U38" s="26">
        <f si="32" t="shared"/>
        <v>1</v>
      </c>
      <c r="V38" s="26">
        <f si="31" t="shared"/>
        <v>1</v>
      </c>
      <c r="W38" s="26">
        <f si="33" t="shared"/>
        <v>0</v>
      </c>
    </row>
  </sheetData>
  <pageMargins bottom="0.75" footer="0.3" header="0.3" left="0.7" right="0.7" top="0.75"/>
  <pageSetup orientation="portrait" r:id="rId1"/>
  <ignoredErrors>
    <ignoredError formulaRange="1" sqref="R4:R11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2:X38"/>
  <sheetViews>
    <sheetView workbookViewId="0">
      <selection activeCell="I4" sqref="I4"/>
    </sheetView>
  </sheetViews>
  <sheetFormatPr defaultRowHeight="15" x14ac:dyDescent="0.25"/>
  <cols>
    <col min="1" max="9" customWidth="true" width="16.7109375" collapsed="true"/>
    <col min="11" max="18" customWidth="true" width="16.7109375" collapsed="true"/>
    <col min="20" max="20" customWidth="true" width="16.7109375" collapsed="true"/>
    <col min="21" max="23" customWidth="true" width="11.85546875" collapsed="true"/>
  </cols>
  <sheetData>
    <row ht="15.75" r="2" spans="1:18" thickBot="1" x14ac:dyDescent="0.3">
      <c r="A2" s="1" t="s">
        <v>280</v>
      </c>
      <c r="B2" s="1"/>
      <c r="C2" s="3"/>
      <c r="D2" s="3"/>
      <c r="E2" s="3"/>
      <c r="F2" s="3"/>
      <c r="G2" s="3"/>
      <c r="H2" s="3"/>
      <c r="I2" s="3"/>
      <c r="K2" s="1" t="s">
        <v>13</v>
      </c>
      <c r="L2" s="1"/>
      <c r="M2" s="3"/>
      <c r="N2" s="3"/>
      <c r="O2" s="3"/>
      <c r="P2" s="3"/>
      <c r="Q2" s="3"/>
      <c r="R2" s="3"/>
    </row>
    <row r="3" spans="1:18" x14ac:dyDescent="0.25">
      <c r="A3" s="2" t="s">
        <v>0</v>
      </c>
      <c r="B3" s="4" t="s">
        <v>9</v>
      </c>
      <c r="C3" s="4" t="s">
        <v>10</v>
      </c>
      <c r="D3" s="7" t="s">
        <v>235</v>
      </c>
      <c r="E3" s="7" t="s">
        <v>234</v>
      </c>
      <c r="F3" s="7" t="s">
        <v>236</v>
      </c>
      <c r="G3" s="7" t="s">
        <v>237</v>
      </c>
      <c r="H3" s="110" t="s">
        <v>278</v>
      </c>
      <c r="I3" s="7" t="s">
        <v>19</v>
      </c>
      <c r="J3" s="133" t="s">
        <v>331</v>
      </c>
      <c r="K3" s="2" t="s">
        <v>0</v>
      </c>
      <c r="L3" s="4" t="s">
        <v>9</v>
      </c>
      <c r="M3" s="4" t="s">
        <v>10</v>
      </c>
      <c r="N3" s="7" t="s">
        <v>235</v>
      </c>
      <c r="O3" s="7" t="s">
        <v>234</v>
      </c>
      <c r="P3" s="7" t="s">
        <v>236</v>
      </c>
      <c r="Q3" s="7" t="s">
        <v>237</v>
      </c>
      <c r="R3" s="7" t="s">
        <v>19</v>
      </c>
    </row>
    <row r="4" spans="1:18" x14ac:dyDescent="0.25">
      <c r="A4" s="9" t="s">
        <v>1</v>
      </c>
      <c r="B4" s="9" t="n">
        <v>0.0</v>
      </c>
      <c r="C4" s="9" t="n">
        <v>3811.6281719999997</v>
      </c>
      <c r="D4" s="9" t="n">
        <v>3589.454847</v>
      </c>
      <c r="E4" s="9" t="n">
        <v>222.173325</v>
      </c>
      <c r="F4" s="9" t="n">
        <v>3811.6281719999997</v>
      </c>
      <c r="G4" s="9" t="n">
        <v>0.0</v>
      </c>
      <c r="H4" s="111"/>
      <c r="I4" s="9">
        <f>SUM($B4:$C4)*(SUM($B$12:$C$12)-SUM($H$7:$H$8))/(SUM($B$12:$C$12)-SUM($B$7:$C$8))</f>
        <v>3839.3564711593717</v>
      </c>
      <c r="J4" s="125">
        <f>I4*(R$12-SUM($I$7:$I$8))/(I$12-SUM($I$7:$I$8))</f>
        <v>4127.2208086806286</v>
      </c>
      <c r="K4" s="118" t="str">
        <f>A4</f>
        <v>Drive Alone</v>
      </c>
      <c r="L4" s="9" t="n">
        <v>0.0</v>
      </c>
      <c r="M4" s="9" t="n">
        <v>3695.0</v>
      </c>
      <c r="N4" s="9" t="n">
        <v>2962.0</v>
      </c>
      <c r="O4" s="9" t="n">
        <v>733.0</v>
      </c>
      <c r="P4" s="9" t="n">
        <v>3619.0</v>
      </c>
      <c r="Q4" s="9" t="n">
        <v>76.0</v>
      </c>
      <c r="R4" s="9">
        <f>SUM(L4:M4)</f>
        <v>3515</v>
      </c>
    </row>
    <row r="5" spans="1:18" x14ac:dyDescent="0.25">
      <c r="A5" s="9" t="s">
        <v>2</v>
      </c>
      <c r="B5" s="9" t="n">
        <v>21.137344</v>
      </c>
      <c r="C5" s="9" t="n">
        <v>82745.249522</v>
      </c>
      <c r="D5" s="9" t="n">
        <v>64803.120624</v>
      </c>
      <c r="E5" s="9" t="n">
        <v>17963.266242</v>
      </c>
      <c r="F5" s="9" t="n">
        <v>78615.669863</v>
      </c>
      <c r="G5" s="9" t="n">
        <v>4150.717003</v>
      </c>
      <c r="H5" s="111"/>
      <c r="I5" s="9">
        <f ref="I5:I6" si="0" t="shared">SUM($B5:$C5)*(SUM($B$12:$C$12)-SUM($H$7:$H$8))/(SUM($B$12:$C$12)-SUM($B$7:$C$8))</f>
        <v>83368.484193388707</v>
      </c>
      <c r="J5" s="125">
        <f ref="J5:J6" si="1" t="shared">I5*(R$12-SUM($I$7:$I$8))/(I$12-SUM($I$7:$I$8))</f>
        <v>89619.222735838848</v>
      </c>
      <c r="K5" s="12" t="str">
        <f ref="K5:K11" si="2" t="shared">A5</f>
        <v>Shared Ride 2</v>
      </c>
      <c r="L5" s="9" t="n">
        <v>1219.0</v>
      </c>
      <c r="M5" s="9" t="n">
        <v>89315.0</v>
      </c>
      <c r="N5" s="9" t="n">
        <v>57346.0</v>
      </c>
      <c r="O5" s="9" t="n">
        <v>33188.0</v>
      </c>
      <c r="P5" s="9" t="n">
        <v>83047.0</v>
      </c>
      <c r="Q5" s="9" t="n">
        <v>7487.0</v>
      </c>
      <c r="R5" s="9">
        <f ref="R5:R12" si="3" t="shared">SUM(L5:M5)</f>
        <v>90592</v>
      </c>
    </row>
    <row r="6" spans="1:18" x14ac:dyDescent="0.25">
      <c r="A6" s="9" t="s">
        <v>3</v>
      </c>
      <c r="B6" s="9" t="n">
        <v>1025.772172</v>
      </c>
      <c r="C6" s="9" t="n">
        <v>82788.529657</v>
      </c>
      <c r="D6" s="9" t="n">
        <v>69190.636097</v>
      </c>
      <c r="E6" s="9" t="n">
        <v>14623.665732</v>
      </c>
      <c r="F6" s="9" t="n">
        <v>82015.976647</v>
      </c>
      <c r="G6" s="9" t="n">
        <v>1798.325182</v>
      </c>
      <c r="H6" s="111"/>
      <c r="I6" s="9">
        <f si="0" t="shared"/>
        <v>84424.022381497896</v>
      </c>
      <c r="J6" s="125">
        <f si="1" t="shared"/>
        <v>90753.902260140938</v>
      </c>
      <c r="K6" s="12" t="str">
        <f si="2" t="shared"/>
        <v>Shared Ride 3+</v>
      </c>
      <c r="L6" s="9" t="n">
        <v>4720.0</v>
      </c>
      <c r="M6" s="9" t="n">
        <v>85365.0</v>
      </c>
      <c r="N6" s="9" t="n">
        <v>61146.0</v>
      </c>
      <c r="O6" s="9" t="n">
        <v>28939.0</v>
      </c>
      <c r="P6" s="9" t="n">
        <v>83659.0</v>
      </c>
      <c r="Q6" s="9" t="n">
        <v>6426.0</v>
      </c>
      <c r="R6" s="9">
        <f si="3" t="shared"/>
        <v>90215</v>
      </c>
    </row>
    <row r="7" spans="1:18" x14ac:dyDescent="0.25">
      <c r="A7" s="9" t="s">
        <v>4</v>
      </c>
      <c r="B7" s="9" t="n">
        <v>0.0</v>
      </c>
      <c r="C7" s="9" t="n">
        <v>671.040261</v>
      </c>
      <c r="D7" s="9" t="n">
        <v>671.040261</v>
      </c>
      <c r="E7" s="9" t="n">
        <v>0.0</v>
      </c>
      <c r="F7" s="9" t="n">
        <v>671.040261</v>
      </c>
      <c r="G7" s="9" t="n">
        <v>0.0</v>
      </c>
      <c r="H7" s="111"/>
      <c r="I7" s="9">
        <f>H7</f>
        <v>0</v>
      </c>
      <c r="J7" s="9">
        <f>I7</f>
        <v>0</v>
      </c>
      <c r="K7" s="12" t="str">
        <f si="2" t="shared"/>
        <v>Drive-Transit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 t="n">
        <v>0.0</v>
      </c>
      <c r="R7" s="9">
        <f si="3" t="shared"/>
        <v>0</v>
      </c>
    </row>
    <row r="8" spans="1:18" x14ac:dyDescent="0.25">
      <c r="A8" s="9" t="s">
        <v>5</v>
      </c>
      <c r="B8" s="9" t="n">
        <v>221.27604499999998</v>
      </c>
      <c r="C8" s="9" t="n">
        <v>387.128097</v>
      </c>
      <c r="D8" s="9" t="n">
        <v>608.404142</v>
      </c>
      <c r="E8" s="9" t="n">
        <v>0.0</v>
      </c>
      <c r="F8" s="9" t="n">
        <v>608.404142</v>
      </c>
      <c r="G8" s="9" t="n">
        <v>0.0</v>
      </c>
      <c r="H8" s="111"/>
      <c r="I8" s="9">
        <f>H8</f>
        <v>0</v>
      </c>
      <c r="J8" s="9">
        <f>I8</f>
        <v>0</v>
      </c>
      <c r="K8" s="12" t="str">
        <f si="2" t="shared"/>
        <v>Walk-Transit</v>
      </c>
      <c r="L8" s="9" t="n">
        <v>0.0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>
        <f si="3" t="shared"/>
        <v>0</v>
      </c>
    </row>
    <row r="9" spans="1:18" x14ac:dyDescent="0.25">
      <c r="A9" s="9" t="s">
        <v>6</v>
      </c>
      <c r="B9" s="9" t="n">
        <v>0.0</v>
      </c>
      <c r="C9" s="9" t="n">
        <v>0.0</v>
      </c>
      <c r="D9" s="9" t="n">
        <v>0.0</v>
      </c>
      <c r="E9" s="9" t="n">
        <v>0.0</v>
      </c>
      <c r="F9" s="9" t="n">
        <v>0.0</v>
      </c>
      <c r="G9" s="9" t="n">
        <v>0.0</v>
      </c>
      <c r="H9" s="111"/>
      <c r="I9" s="9">
        <f ref="I9:I11" si="4" t="shared">SUM($B9:$C9)*(SUM($B$12:$C$12)-SUM($H$7:$H$8))/(SUM($B$12:$C$12)-SUM($B$7:$C$8))</f>
        <v>0</v>
      </c>
      <c r="J9" s="125">
        <f>I9*(R$12-SUM($I$7:$I$8))/(I$12-SUM($I$7:$I$8))</f>
        <v>0</v>
      </c>
      <c r="K9" s="12" t="str">
        <f si="2" t="shared"/>
        <v>Bike</v>
      </c>
      <c r="L9" s="9" t="n">
        <v>111.0</v>
      </c>
      <c r="M9" s="9" t="n">
        <v>9.0</v>
      </c>
      <c r="N9" s="9" t="n">
        <v>114.0</v>
      </c>
      <c r="O9" s="9" t="n">
        <v>6.0</v>
      </c>
      <c r="P9" s="9" t="n">
        <v>120.0</v>
      </c>
      <c r="Q9" s="9" t="n">
        <v>0.0</v>
      </c>
      <c r="R9" s="9">
        <f si="3" t="shared"/>
        <v>97</v>
      </c>
    </row>
    <row r="10" spans="1:18" x14ac:dyDescent="0.25">
      <c r="A10" s="9" t="s">
        <v>7</v>
      </c>
      <c r="B10" s="9" t="n">
        <v>283.25980699999997</v>
      </c>
      <c r="C10" s="9" t="n">
        <v>4811.726412</v>
      </c>
      <c r="D10" s="9" t="n">
        <v>3317.633904</v>
      </c>
      <c r="E10" s="9" t="n">
        <v>1777.3523149999999</v>
      </c>
      <c r="F10" s="9" t="n">
        <v>4990.966410999999</v>
      </c>
      <c r="G10" s="9" t="n">
        <v>104.019808</v>
      </c>
      <c r="H10" s="111"/>
      <c r="I10" s="9">
        <f si="4" t="shared"/>
        <v>5132.0505116639879</v>
      </c>
      <c r="J10" s="125">
        <f ref="J10:J11" si="5" t="shared">I10*(R$12-SUM($I$7:$I$8))/(I$12-SUM($I$7:$I$8))</f>
        <v>5516.8374757719785</v>
      </c>
      <c r="K10" s="12" t="str">
        <f si="2" t="shared"/>
        <v>Walk</v>
      </c>
      <c r="L10" s="9" t="n">
        <v>1010.0</v>
      </c>
      <c r="M10" s="9" t="n">
        <v>4939.0</v>
      </c>
      <c r="N10" s="9" t="n">
        <v>3555.0</v>
      </c>
      <c r="O10" s="9" t="n">
        <v>2394.0</v>
      </c>
      <c r="P10" s="9" t="n">
        <v>5330.0</v>
      </c>
      <c r="Q10" s="9" t="n">
        <v>619.0</v>
      </c>
      <c r="R10" s="9">
        <f si="3" t="shared"/>
        <v>6020</v>
      </c>
    </row>
    <row r="11" spans="1:18" x14ac:dyDescent="0.25">
      <c r="A11" s="14" t="s">
        <v>8</v>
      </c>
      <c r="B11" s="14" t="n">
        <v>0.0</v>
      </c>
      <c r="C11" s="14" t="n">
        <v>389.562024</v>
      </c>
      <c r="D11" s="14" t="n">
        <v>389.562024</v>
      </c>
      <c r="E11" s="14" t="n">
        <v>0.0</v>
      </c>
      <c r="F11" s="14" t="n">
        <v>389.562024</v>
      </c>
      <c r="G11" s="14" t="n">
        <v>0.0</v>
      </c>
      <c r="H11" s="112"/>
      <c r="I11" s="14">
        <f si="4" t="shared"/>
        <v>392.39595529003304</v>
      </c>
      <c r="J11" s="125">
        <f si="5" t="shared"/>
        <v>421.81671956761437</v>
      </c>
      <c r="K11" s="14" t="str">
        <f si="2" t="shared"/>
        <v>School Bus</v>
      </c>
      <c r="L11" s="14" t="n">
        <v>0.0</v>
      </c>
      <c r="M11" s="14" t="n">
        <v>0.0</v>
      </c>
      <c r="N11" s="14" t="n">
        <v>0.0</v>
      </c>
      <c r="O11" s="14" t="n">
        <v>0.0</v>
      </c>
      <c r="P11" s="14" t="n">
        <v>0.0</v>
      </c>
      <c r="Q11" s="14" t="n">
        <v>0.0</v>
      </c>
      <c r="R11" s="14">
        <f si="3" t="shared"/>
        <v>0</v>
      </c>
    </row>
    <row ht="15.75" r="12" spans="1:18" thickBot="1" x14ac:dyDescent="0.3">
      <c r="A12" s="13" t="s">
        <v>19</v>
      </c>
      <c r="B12" s="10">
        <f>SUM(B4:B11)</f>
        <v>1551.4453679999999</v>
      </c>
      <c r="C12" s="10">
        <f>SUM(C4:C11)</f>
        <v>175604.864145</v>
      </c>
      <c r="D12" s="10">
        <f ref="D12:H12" si="6" t="shared">SUM(D4:D11)</f>
        <v>142569.851899</v>
      </c>
      <c r="E12" s="10">
        <f si="6" t="shared"/>
        <v>34586.457613999999</v>
      </c>
      <c r="F12" s="10">
        <f si="6" t="shared"/>
        <v>171103.24752</v>
      </c>
      <c r="G12" s="10">
        <f si="6" t="shared"/>
        <v>6053.0619930000003</v>
      </c>
      <c r="H12" s="113">
        <f si="6" t="shared"/>
        <v>0</v>
      </c>
      <c r="I12" s="10">
        <f>SUM(I4:I11)</f>
        <v>177156.30951299999</v>
      </c>
      <c r="J12" s="131">
        <f>SUM(J4:J11)</f>
        <v>190439</v>
      </c>
      <c r="K12" s="13" t="s">
        <v>19</v>
      </c>
      <c r="L12" s="10">
        <f>SUM(L4:L11)</f>
        <v>7131</v>
      </c>
      <c r="M12" s="10">
        <f>SUM(M4:M11)</f>
        <v>183308</v>
      </c>
      <c r="N12" s="10">
        <f ref="N12:Q12" si="7" t="shared">SUM(N4:N11)</f>
        <v>124688</v>
      </c>
      <c r="O12" s="10">
        <f si="7" t="shared"/>
        <v>65751</v>
      </c>
      <c r="P12" s="10">
        <f si="7" t="shared"/>
        <v>175758</v>
      </c>
      <c r="Q12" s="10">
        <f si="7" t="shared"/>
        <v>14681</v>
      </c>
      <c r="R12" s="10">
        <f si="3" t="shared"/>
        <v>190439</v>
      </c>
    </row>
    <row r="13" spans="1:18" x14ac:dyDescent="0.25">
      <c r="B13" s="120">
        <f>B7/SUM($B7:$C7)</f>
        <v>0</v>
      </c>
      <c r="C13" s="120">
        <f ref="C13:G14" si="8" t="shared">C7/SUM($B7:$C7)</f>
        <v>1</v>
      </c>
      <c r="D13" s="120">
        <f si="8" t="shared"/>
        <v>1</v>
      </c>
      <c r="E13" s="120">
        <f si="8" t="shared"/>
        <v>0</v>
      </c>
      <c r="F13" s="120">
        <f si="8" t="shared"/>
        <v>1</v>
      </c>
      <c r="G13" s="120">
        <f si="8" t="shared"/>
        <v>0</v>
      </c>
    </row>
    <row r="14" spans="1:18" x14ac:dyDescent="0.25">
      <c r="B14" s="120">
        <f>B8/SUM($B8:$C8)</f>
        <v>0.36369911005635458</v>
      </c>
      <c r="C14" s="120">
        <f si="8" t="shared"/>
        <v>0.63630088994364542</v>
      </c>
      <c r="D14" s="120">
        <f si="8" t="shared"/>
        <v>1</v>
      </c>
      <c r="E14" s="120">
        <f si="8" t="shared"/>
        <v>0</v>
      </c>
      <c r="F14" s="120">
        <f si="8" t="shared"/>
        <v>1</v>
      </c>
      <c r="G14" s="120">
        <f si="8" t="shared"/>
        <v>0</v>
      </c>
    </row>
    <row ht="15.75" r="15" spans="1:18" thickBot="1" x14ac:dyDescent="0.3">
      <c r="A15" s="1" t="s">
        <v>280</v>
      </c>
      <c r="B15" s="1"/>
      <c r="C15" s="3"/>
      <c r="D15" s="3"/>
      <c r="E15" s="3"/>
      <c r="F15" s="3"/>
      <c r="G15" s="3"/>
      <c r="H15" s="3"/>
      <c r="I15" s="3"/>
      <c r="K15" s="1" t="s">
        <v>13</v>
      </c>
      <c r="L15" s="1"/>
      <c r="M15" s="3"/>
      <c r="N15" s="3"/>
      <c r="O15" s="3"/>
      <c r="P15" s="3"/>
      <c r="Q15" s="3"/>
      <c r="R15" s="3"/>
    </row>
    <row r="16" spans="1:18" x14ac:dyDescent="0.25">
      <c r="A16" s="2" t="s">
        <v>0</v>
      </c>
      <c r="B16" s="4" t="s">
        <v>9</v>
      </c>
      <c r="C16" s="4" t="s">
        <v>10</v>
      </c>
      <c r="D16" s="7" t="s">
        <v>235</v>
      </c>
      <c r="E16" s="7" t="s">
        <v>234</v>
      </c>
      <c r="F16" s="7" t="s">
        <v>236</v>
      </c>
      <c r="G16" s="7" t="s">
        <v>237</v>
      </c>
      <c r="H16" s="7" t="s">
        <v>278</v>
      </c>
      <c r="I16" s="7" t="s">
        <v>19</v>
      </c>
      <c r="K16" s="2" t="s">
        <v>0</v>
      </c>
      <c r="L16" s="4" t="s">
        <v>9</v>
      </c>
      <c r="M16" s="4" t="s">
        <v>10</v>
      </c>
      <c r="N16" s="7" t="s">
        <v>235</v>
      </c>
      <c r="O16" s="7" t="s">
        <v>234</v>
      </c>
      <c r="P16" s="7" t="s">
        <v>236</v>
      </c>
      <c r="Q16" s="7" t="s">
        <v>237</v>
      </c>
      <c r="R16" s="7" t="s">
        <v>19</v>
      </c>
    </row>
    <row r="17" spans="1:23" x14ac:dyDescent="0.25">
      <c r="A17" s="9" t="s">
        <v>1</v>
      </c>
      <c r="B17" s="16">
        <f ref="B17:H17" si="9" t="shared">B4/$I$12</f>
        <v>0</v>
      </c>
      <c r="C17" s="16">
        <f si="9" t="shared"/>
        <v>2.1515621896155478E-2</v>
      </c>
      <c r="D17" s="16">
        <f si="9" t="shared"/>
        <v>2.0261512880164173E-2</v>
      </c>
      <c r="E17" s="16">
        <f si="9" t="shared"/>
        <v>1.2541090159913079E-3</v>
      </c>
      <c r="F17" s="16">
        <f si="9" t="shared"/>
        <v>2.1515621896155478E-2</v>
      </c>
      <c r="G17" s="16">
        <f si="9" t="shared"/>
        <v>0</v>
      </c>
      <c r="H17" s="16">
        <f si="9" t="shared"/>
        <v>0</v>
      </c>
      <c r="I17" s="16">
        <f ref="I17:I25" si="10" t="shared">I4/$I$12</f>
        <v>2.1672140731051039E-2</v>
      </c>
      <c r="K17" s="9" t="s">
        <v>1</v>
      </c>
      <c r="L17" s="16">
        <f ref="L17:M25" si="11" t="shared">L4/$R$12</f>
        <v>0</v>
      </c>
      <c r="M17" s="16">
        <f si="11" t="shared"/>
        <v>1.8457353798329124E-2</v>
      </c>
      <c r="N17" s="16">
        <f ref="N17:Q17" si="12" t="shared">N4/$R$12</f>
        <v>1.4734376887087204E-2</v>
      </c>
      <c r="O17" s="16">
        <f si="12" t="shared"/>
        <v>3.7229769112419198E-3</v>
      </c>
      <c r="P17" s="16">
        <f si="12" t="shared"/>
        <v>1.7990012549950377E-2</v>
      </c>
      <c r="Q17" s="16">
        <f si="12" t="shared"/>
        <v>4.6734124837874593E-4</v>
      </c>
      <c r="R17" s="16">
        <f ref="R17:R25" si="13" t="shared">R4/$R$12</f>
        <v>1.8457353798329124E-2</v>
      </c>
    </row>
    <row r="18" spans="1:23" x14ac:dyDescent="0.25">
      <c r="A18" s="9" t="s">
        <v>2</v>
      </c>
      <c r="B18" s="16">
        <f ref="B18:G25" si="14" t="shared">B5/$I$12</f>
        <v>1.1931465527875489E-4</v>
      </c>
      <c r="C18" s="16">
        <f si="14" t="shared"/>
        <v>0.4670748095253589</v>
      </c>
      <c r="D18" s="16">
        <f si="14" t="shared"/>
        <v>0.36579628917616763</v>
      </c>
      <c r="E18" s="16">
        <f si="14" t="shared"/>
        <v>0.10139783500447005</v>
      </c>
      <c r="F18" s="16">
        <f si="14" t="shared"/>
        <v>0.44376443649742586</v>
      </c>
      <c r="G18" s="16">
        <f si="14" t="shared"/>
        <v>2.3429687683211835E-2</v>
      </c>
      <c r="H18" s="16">
        <f ref="H18:H24" si="15" t="shared">H5/$I$12</f>
        <v>0</v>
      </c>
      <c r="I18" s="16">
        <f si="10" t="shared"/>
        <v>0.47059280260786313</v>
      </c>
      <c r="K18" s="9" t="s">
        <v>2</v>
      </c>
      <c r="L18" s="16">
        <f si="11" t="shared"/>
        <v>6.7528184878097447E-3</v>
      </c>
      <c r="M18" s="16">
        <f si="11" t="shared"/>
        <v>0.46894806210912682</v>
      </c>
      <c r="N18" s="16">
        <f ref="N18:Q18" si="16" t="shared">N5/$R$12</f>
        <v>0.30089950062749754</v>
      </c>
      <c r="O18" s="16">
        <f si="16" t="shared"/>
        <v>0.17480137996943904</v>
      </c>
      <c r="P18" s="16">
        <f si="16" t="shared"/>
        <v>0.4366595077688919</v>
      </c>
      <c r="Q18" s="16">
        <f si="16" t="shared"/>
        <v>3.9041372828044672E-2</v>
      </c>
      <c r="R18" s="16">
        <f si="13" t="shared"/>
        <v>0.47570088059693655</v>
      </c>
    </row>
    <row r="19" spans="1:23" x14ac:dyDescent="0.25">
      <c r="A19" s="9" t="s">
        <v>3</v>
      </c>
      <c r="B19" s="16">
        <f si="14" t="shared"/>
        <v>5.790209644916583E-3</v>
      </c>
      <c r="C19" s="16">
        <f si="14" t="shared"/>
        <v>0.46731911431539991</v>
      </c>
      <c r="D19" s="16">
        <f si="14" t="shared"/>
        <v>0.39056264090849491</v>
      </c>
      <c r="E19" s="16">
        <f si="14" t="shared"/>
        <v>8.2546683051821501E-2</v>
      </c>
      <c r="F19" s="16">
        <f si="14" t="shared"/>
        <v>0.46295825913545324</v>
      </c>
      <c r="G19" s="16">
        <f si="14" t="shared"/>
        <v>1.0151064824863245E-2</v>
      </c>
      <c r="H19" s="16">
        <f si="15" t="shared"/>
        <v>0</v>
      </c>
      <c r="I19" s="16">
        <f si="10" t="shared"/>
        <v>0.47655103345502203</v>
      </c>
      <c r="K19" s="9" t="s">
        <v>3</v>
      </c>
      <c r="L19" s="16">
        <f si="11" t="shared"/>
        <v>2.4826847441963042E-2</v>
      </c>
      <c r="M19" s="16">
        <f si="11" t="shared"/>
        <v>0.44889439663094222</v>
      </c>
      <c r="N19" s="16">
        <f ref="N19:Q19" si="17" t="shared">N6/$R$12</f>
        <v>0.31975593234579053</v>
      </c>
      <c r="O19" s="16">
        <f si="17" t="shared"/>
        <v>0.15396531172711472</v>
      </c>
      <c r="P19" s="16">
        <f si="17" t="shared"/>
        <v>0.43955282268862994</v>
      </c>
      <c r="Q19" s="16">
        <f si="17" t="shared"/>
        <v>3.4168421384275283E-2</v>
      </c>
      <c r="R19" s="16">
        <f si="13" t="shared"/>
        <v>0.47372124407290522</v>
      </c>
    </row>
    <row r="20" spans="1:23" x14ac:dyDescent="0.25">
      <c r="A20" s="9" t="s">
        <v>4</v>
      </c>
      <c r="B20" s="16">
        <f si="14" t="shared"/>
        <v>0</v>
      </c>
      <c r="C20" s="16">
        <f si="14" t="shared"/>
        <v>3.7878428538316222E-3</v>
      </c>
      <c r="D20" s="16">
        <f si="14" t="shared"/>
        <v>3.7878428538316222E-3</v>
      </c>
      <c r="E20" s="16">
        <f si="14" t="shared"/>
        <v>0</v>
      </c>
      <c r="F20" s="16">
        <f si="14" t="shared"/>
        <v>3.7878428538316222E-3</v>
      </c>
      <c r="G20" s="16">
        <f si="14" t="shared"/>
        <v>0</v>
      </c>
      <c r="H20" s="16">
        <f si="15" t="shared"/>
        <v>0</v>
      </c>
      <c r="I20" s="16">
        <f si="10" t="shared"/>
        <v>0</v>
      </c>
      <c r="K20" s="9" t="s">
        <v>4</v>
      </c>
      <c r="L20" s="16">
        <f si="11" t="shared"/>
        <v>0</v>
      </c>
      <c r="M20" s="16">
        <f si="11" t="shared"/>
        <v>0</v>
      </c>
      <c r="N20" s="16">
        <f ref="N20:Q20" si="18" t="shared">N7/$R$12</f>
        <v>0</v>
      </c>
      <c r="O20" s="16">
        <f si="18" t="shared"/>
        <v>0</v>
      </c>
      <c r="P20" s="16">
        <f si="18" t="shared"/>
        <v>0</v>
      </c>
      <c r="Q20" s="16">
        <f si="18" t="shared"/>
        <v>0</v>
      </c>
      <c r="R20" s="16">
        <f si="13" t="shared"/>
        <v>0</v>
      </c>
    </row>
    <row r="21" spans="1:23" x14ac:dyDescent="0.25">
      <c r="A21" s="9" t="s">
        <v>5</v>
      </c>
      <c r="B21" s="16">
        <f si="14" t="shared"/>
        <v>1.249044110301713E-3</v>
      </c>
      <c r="C21" s="16">
        <f si="14" t="shared"/>
        <v>2.1852345991187632E-3</v>
      </c>
      <c r="D21" s="16">
        <f si="14" t="shared"/>
        <v>3.4342787094204762E-3</v>
      </c>
      <c r="E21" s="16">
        <f si="14" t="shared"/>
        <v>0</v>
      </c>
      <c r="F21" s="16">
        <f si="14" t="shared"/>
        <v>3.4342787094204762E-3</v>
      </c>
      <c r="G21" s="16">
        <f si="14" t="shared"/>
        <v>0</v>
      </c>
      <c r="H21" s="16">
        <f si="15" t="shared"/>
        <v>0</v>
      </c>
      <c r="I21" s="16">
        <f si="10" t="shared"/>
        <v>0</v>
      </c>
      <c r="K21" s="9" t="s">
        <v>5</v>
      </c>
      <c r="L21" s="16">
        <f si="11" t="shared"/>
        <v>0</v>
      </c>
      <c r="M21" s="16">
        <f si="11" t="shared"/>
        <v>0</v>
      </c>
      <c r="N21" s="16">
        <f ref="N21:Q21" si="19" t="shared">N8/$R$12</f>
        <v>0</v>
      </c>
      <c r="O21" s="16">
        <f si="19" t="shared"/>
        <v>0</v>
      </c>
      <c r="P21" s="16">
        <f si="19" t="shared"/>
        <v>0</v>
      </c>
      <c r="Q21" s="16">
        <f si="19" t="shared"/>
        <v>0</v>
      </c>
      <c r="R21" s="16">
        <f si="13" t="shared"/>
        <v>0</v>
      </c>
    </row>
    <row r="22" spans="1:23" x14ac:dyDescent="0.25">
      <c r="A22" s="9" t="s">
        <v>6</v>
      </c>
      <c r="B22" s="16">
        <f si="14" t="shared"/>
        <v>0</v>
      </c>
      <c r="C22" s="16">
        <f si="14" t="shared"/>
        <v>0</v>
      </c>
      <c r="D22" s="16">
        <f si="14" t="shared"/>
        <v>0</v>
      </c>
      <c r="E22" s="16">
        <f si="14" t="shared"/>
        <v>0</v>
      </c>
      <c r="F22" s="16">
        <f si="14" t="shared"/>
        <v>0</v>
      </c>
      <c r="G22" s="16">
        <f si="14" t="shared"/>
        <v>0</v>
      </c>
      <c r="H22" s="16">
        <f si="15" t="shared"/>
        <v>0</v>
      </c>
      <c r="I22" s="16">
        <f si="10" t="shared"/>
        <v>0</v>
      </c>
      <c r="K22" s="9" t="s">
        <v>6</v>
      </c>
      <c r="L22" s="16">
        <f si="11" t="shared"/>
        <v>4.7784329890411103E-4</v>
      </c>
      <c r="M22" s="16">
        <f si="11" t="shared"/>
        <v>3.1506151576095235E-5</v>
      </c>
      <c r="N22" s="16">
        <f ref="N22:Q22" si="20" t="shared">N9/$R$12</f>
        <v>4.935963746921586E-4</v>
      </c>
      <c r="O22" s="16">
        <f si="20" t="shared"/>
        <v>1.5753075788047617E-5</v>
      </c>
      <c r="P22" s="16">
        <f si="20" t="shared"/>
        <v>5.0934945048020628E-4</v>
      </c>
      <c r="Q22" s="16">
        <f si="20" t="shared"/>
        <v>0</v>
      </c>
      <c r="R22" s="16">
        <f si="13" t="shared"/>
        <v>5.0934945048020628E-4</v>
      </c>
    </row>
    <row r="23" spans="1:23" x14ac:dyDescent="0.25">
      <c r="A23" s="9" t="s">
        <v>7</v>
      </c>
      <c r="B23" s="16">
        <f si="14" t="shared"/>
        <v>1.598925873871932E-3</v>
      </c>
      <c r="C23" s="16">
        <f si="14" t="shared"/>
        <v>2.716090905950436E-2</v>
      </c>
      <c r="D23" s="16">
        <f si="14" t="shared"/>
        <v>1.872715633510387E-2</v>
      </c>
      <c r="E23" s="16">
        <f si="14" t="shared"/>
        <v>1.0032678598272421E-2</v>
      </c>
      <c r="F23" s="16">
        <f si="14" t="shared"/>
        <v>2.8172670929531612E-2</v>
      </c>
      <c r="G23" s="16">
        <f si="14" t="shared"/>
        <v>5.8716400384467744E-4</v>
      </c>
      <c r="H23" s="16">
        <f si="15" t="shared"/>
        <v>0</v>
      </c>
      <c r="I23" s="16">
        <f si="10" t="shared"/>
        <v>2.8969052955392427E-2</v>
      </c>
      <c r="K23" s="9" t="s">
        <v>7</v>
      </c>
      <c r="L23" s="16">
        <f si="11" t="shared"/>
        <v>5.3875519195122849E-3</v>
      </c>
      <c r="M23" s="16">
        <f si="11" t="shared"/>
        <v>2.6223620161836599E-2</v>
      </c>
      <c r="N23" s="16">
        <f ref="N23:Q23" si="21" t="shared">N10/$R$12</f>
        <v>1.8856431718292998E-2</v>
      </c>
      <c r="O23" s="16">
        <f si="21" t="shared"/>
        <v>1.2754740363055886E-2</v>
      </c>
      <c r="P23" s="16">
        <f si="21" t="shared"/>
        <v>2.8198005660605232E-2</v>
      </c>
      <c r="Q23" s="16">
        <f si="21" t="shared"/>
        <v>3.41316642074365E-3</v>
      </c>
      <c r="R23" s="16">
        <f si="13" t="shared"/>
        <v>3.1611172081348886E-2</v>
      </c>
    </row>
    <row r="24" spans="1:23" x14ac:dyDescent="0.25">
      <c r="A24" s="14" t="s">
        <v>8</v>
      </c>
      <c r="B24" s="17">
        <f si="14" t="shared"/>
        <v>0</v>
      </c>
      <c r="C24" s="17">
        <f si="14" t="shared"/>
        <v>2.1989734662620831E-3</v>
      </c>
      <c r="D24" s="17">
        <f si="14" t="shared"/>
        <v>2.1989734662620831E-3</v>
      </c>
      <c r="E24" s="17">
        <f si="14" t="shared"/>
        <v>0</v>
      </c>
      <c r="F24" s="17">
        <f si="14" t="shared"/>
        <v>2.1989734662620831E-3</v>
      </c>
      <c r="G24" s="17">
        <f si="14" t="shared"/>
        <v>0</v>
      </c>
      <c r="H24" s="16">
        <f si="15" t="shared"/>
        <v>0</v>
      </c>
      <c r="I24" s="17">
        <f si="10" t="shared"/>
        <v>2.2149702506714187E-3</v>
      </c>
      <c r="K24" s="14" t="s">
        <v>8</v>
      </c>
      <c r="L24" s="17">
        <f si="11" t="shared"/>
        <v>0</v>
      </c>
      <c r="M24" s="17">
        <f si="11" t="shared"/>
        <v>0</v>
      </c>
      <c r="N24" s="17">
        <f ref="N24:Q24" si="22" t="shared">N11/$R$12</f>
        <v>0</v>
      </c>
      <c r="O24" s="17">
        <f si="22" t="shared"/>
        <v>0</v>
      </c>
      <c r="P24" s="17">
        <f si="22" t="shared"/>
        <v>0</v>
      </c>
      <c r="Q24" s="17">
        <f si="22" t="shared"/>
        <v>0</v>
      </c>
      <c r="R24" s="17">
        <f si="13" t="shared"/>
        <v>0</v>
      </c>
    </row>
    <row ht="15.75" r="25" spans="1:23" thickBot="1" x14ac:dyDescent="0.3">
      <c r="A25" s="13" t="s">
        <v>19</v>
      </c>
      <c r="B25" s="18">
        <f si="14" t="shared"/>
        <v>8.7574942843689826E-3</v>
      </c>
      <c r="C25" s="18">
        <f si="14" t="shared"/>
        <v>0.99124250571563111</v>
      </c>
      <c r="D25" s="18">
        <f si="14" t="shared"/>
        <v>0.80476869432944476</v>
      </c>
      <c r="E25" s="18">
        <f si="14" t="shared"/>
        <v>0.19523130567055527</v>
      </c>
      <c r="F25" s="18">
        <f si="14" t="shared"/>
        <v>0.96583208348808036</v>
      </c>
      <c r="G25" s="18">
        <f si="14" t="shared"/>
        <v>3.4167916511919763E-2</v>
      </c>
      <c r="H25" s="18">
        <f>H12/$I$12</f>
        <v>0</v>
      </c>
      <c r="I25" s="18">
        <f si="10" t="shared"/>
        <v>1</v>
      </c>
      <c r="K25" s="13" t="s">
        <v>19</v>
      </c>
      <c r="L25" s="18">
        <f si="11" t="shared"/>
        <v>3.7445061148189185E-2</v>
      </c>
      <c r="M25" s="18">
        <f si="11" t="shared"/>
        <v>0.96255493885181087</v>
      </c>
      <c r="N25" s="18">
        <f ref="N25:Q25" si="23" t="shared">N12/$R$12</f>
        <v>0.65473983795336044</v>
      </c>
      <c r="O25" s="18">
        <f si="23" t="shared"/>
        <v>0.34526016204663962</v>
      </c>
      <c r="P25" s="18">
        <f si="23" t="shared"/>
        <v>0.92290969811855761</v>
      </c>
      <c r="Q25" s="18">
        <f si="23" t="shared"/>
        <v>7.709030188144235E-2</v>
      </c>
      <c r="R25" s="18">
        <f si="13" t="shared"/>
        <v>1</v>
      </c>
    </row>
    <row ht="15.75" r="28" spans="1:23" thickBot="1" x14ac:dyDescent="0.3">
      <c r="K28" s="1" t="s">
        <v>28</v>
      </c>
      <c r="L28" s="1"/>
      <c r="M28" s="3"/>
      <c r="N28" s="3"/>
      <c r="O28" s="3"/>
      <c r="P28" s="3"/>
      <c r="Q28" s="3"/>
      <c r="R28" s="3"/>
      <c r="T28" s="21" t="s">
        <v>37</v>
      </c>
      <c r="U28" s="21"/>
      <c r="V28" s="22"/>
      <c r="W28" s="22"/>
    </row>
    <row r="29" spans="1:23" x14ac:dyDescent="0.25">
      <c r="K29" s="2" t="s">
        <v>0</v>
      </c>
      <c r="L29" s="4" t="s">
        <v>9</v>
      </c>
      <c r="M29" s="4" t="s">
        <v>10</v>
      </c>
      <c r="N29" s="7" t="s">
        <v>235</v>
      </c>
      <c r="O29" s="7" t="s">
        <v>234</v>
      </c>
      <c r="P29" s="7" t="s">
        <v>236</v>
      </c>
      <c r="Q29" s="7" t="s">
        <v>237</v>
      </c>
      <c r="R29" s="7" t="s">
        <v>19</v>
      </c>
      <c r="T29" s="27" t="s">
        <v>0</v>
      </c>
      <c r="U29" s="28" t="s">
        <v>45</v>
      </c>
      <c r="V29" s="28" t="s">
        <v>33</v>
      </c>
      <c r="W29" s="29" t="s">
        <v>34</v>
      </c>
    </row>
    <row r="30" spans="1:23" x14ac:dyDescent="0.25">
      <c r="K30" s="9" t="s">
        <v>1</v>
      </c>
      <c r="L30" s="16">
        <f ref="L30:L38" si="24" t="shared">L17-B17</f>
        <v>0</v>
      </c>
      <c r="M30" s="16">
        <f ref="M30:M38" si="25" t="shared">M17-C17</f>
        <v>-3.0582680978263541E-3</v>
      </c>
      <c r="N30" s="16">
        <f ref="N30:N38" si="26" t="shared">N17-D17</f>
        <v>-5.5271359930769686E-3</v>
      </c>
      <c r="O30" s="16">
        <f ref="O30:O38" si="27" t="shared">O17-E17</f>
        <v>2.4688678952506119E-3</v>
      </c>
      <c r="P30" s="16">
        <f ref="P30:P38" si="28" t="shared">P17-F17</f>
        <v>-3.5256093462051018E-3</v>
      </c>
      <c r="Q30" s="16">
        <f ref="Q30:Q38" si="29" t="shared">Q17-G17</f>
        <v>4.6734124837874593E-4</v>
      </c>
      <c r="R30" s="16">
        <f ref="R30:R38" si="30" t="shared">R17-I17</f>
        <v>-3.2147869327219143E-3</v>
      </c>
      <c r="T30" s="23" t="s">
        <v>1</v>
      </c>
      <c r="U30" s="24">
        <f>I17</f>
        <v>2.1672140731051039E-2</v>
      </c>
      <c r="V30" s="24">
        <f ref="V30:V38" si="31" t="shared">R17</f>
        <v>1.8457353798329124E-2</v>
      </c>
      <c r="W30" s="24">
        <f>V30-U30</f>
        <v>-3.2147869327219143E-3</v>
      </c>
    </row>
    <row r="31" spans="1:23" x14ac:dyDescent="0.25">
      <c r="K31" s="9" t="s">
        <v>2</v>
      </c>
      <c r="L31" s="16">
        <f si="24" t="shared"/>
        <v>6.6335038325309901E-3</v>
      </c>
      <c r="M31" s="16">
        <f si="25" t="shared"/>
        <v>1.8732525837679148E-3</v>
      </c>
      <c r="N31" s="16">
        <f si="26" t="shared"/>
        <v>-6.4896788548670092E-2</v>
      </c>
      <c r="O31" s="16">
        <f si="27" t="shared"/>
        <v>7.3403544964968981E-2</v>
      </c>
      <c r="P31" s="16">
        <f si="28" t="shared"/>
        <v>-7.1049287285339657E-3</v>
      </c>
      <c r="Q31" s="16">
        <f si="29" t="shared"/>
        <v>1.5611685144832837E-2</v>
      </c>
      <c r="R31" s="16">
        <f si="30" t="shared"/>
        <v>5.1080779890734229E-3</v>
      </c>
      <c r="T31" s="30" t="s">
        <v>2</v>
      </c>
      <c r="U31" s="31">
        <f ref="U31:U38" si="32" t="shared">I18</f>
        <v>0.47059280260786313</v>
      </c>
      <c r="V31" s="31">
        <f si="31" t="shared"/>
        <v>0.47570088059693655</v>
      </c>
      <c r="W31" s="31">
        <f ref="W31:W38" si="33" t="shared">V31-U31</f>
        <v>5.1080779890734229E-3</v>
      </c>
    </row>
    <row r="32" spans="1:23" x14ac:dyDescent="0.25">
      <c r="K32" s="9" t="s">
        <v>3</v>
      </c>
      <c r="L32" s="16">
        <f si="24" t="shared"/>
        <v>1.9036637797046459E-2</v>
      </c>
      <c r="M32" s="16">
        <f si="25" t="shared"/>
        <v>-1.8424717684457692E-2</v>
      </c>
      <c r="N32" s="16">
        <f si="26" t="shared"/>
        <v>-7.0806708562704379E-2</v>
      </c>
      <c r="O32" s="16">
        <f si="27" t="shared"/>
        <v>7.1418628675293222E-2</v>
      </c>
      <c r="P32" s="16">
        <f si="28" t="shared"/>
        <v>-2.3405436446823302E-2</v>
      </c>
      <c r="Q32" s="16">
        <f si="29" t="shared"/>
        <v>2.4017356559412038E-2</v>
      </c>
      <c r="R32" s="16">
        <f si="30" t="shared"/>
        <v>-2.8297893821168096E-3</v>
      </c>
      <c r="T32" s="23" t="s">
        <v>3</v>
      </c>
      <c r="U32" s="24">
        <f si="32" t="shared"/>
        <v>0.47655103345502203</v>
      </c>
      <c r="V32" s="24">
        <f si="31" t="shared"/>
        <v>0.47372124407290522</v>
      </c>
      <c r="W32" s="24">
        <f si="33" t="shared"/>
        <v>-2.8297893821168096E-3</v>
      </c>
    </row>
    <row r="33" spans="11:23" x14ac:dyDescent="0.25">
      <c r="K33" s="9" t="s">
        <v>4</v>
      </c>
      <c r="L33" s="16">
        <f si="24" t="shared"/>
        <v>0</v>
      </c>
      <c r="M33" s="16">
        <f si="25" t="shared"/>
        <v>-3.7878428538316222E-3</v>
      </c>
      <c r="N33" s="16">
        <f si="26" t="shared"/>
        <v>-3.7878428538316222E-3</v>
      </c>
      <c r="O33" s="16">
        <f si="27" t="shared"/>
        <v>0</v>
      </c>
      <c r="P33" s="16">
        <f si="28" t="shared"/>
        <v>-3.7878428538316222E-3</v>
      </c>
      <c r="Q33" s="16">
        <f si="29" t="shared"/>
        <v>0</v>
      </c>
      <c r="R33" s="16">
        <f si="30" t="shared"/>
        <v>0</v>
      </c>
      <c r="T33" s="30" t="s">
        <v>4</v>
      </c>
      <c r="U33" s="31">
        <f si="32" t="shared"/>
        <v>0</v>
      </c>
      <c r="V33" s="31">
        <f si="31" t="shared"/>
        <v>0</v>
      </c>
      <c r="W33" s="31">
        <f si="33" t="shared"/>
        <v>0</v>
      </c>
    </row>
    <row r="34" spans="11:23" x14ac:dyDescent="0.25">
      <c r="K34" s="9" t="s">
        <v>5</v>
      </c>
      <c r="L34" s="16">
        <f si="24" t="shared"/>
        <v>-1.249044110301713E-3</v>
      </c>
      <c r="M34" s="16">
        <f si="25" t="shared"/>
        <v>-2.1852345991187632E-3</v>
      </c>
      <c r="N34" s="16">
        <f si="26" t="shared"/>
        <v>-3.4342787094204762E-3</v>
      </c>
      <c r="O34" s="16">
        <f si="27" t="shared"/>
        <v>0</v>
      </c>
      <c r="P34" s="16">
        <f si="28" t="shared"/>
        <v>-3.4342787094204762E-3</v>
      </c>
      <c r="Q34" s="16">
        <f si="29" t="shared"/>
        <v>0</v>
      </c>
      <c r="R34" s="16">
        <f si="30" t="shared"/>
        <v>0</v>
      </c>
      <c r="T34" s="23" t="s">
        <v>5</v>
      </c>
      <c r="U34" s="24">
        <f si="32" t="shared"/>
        <v>0</v>
      </c>
      <c r="V34" s="24">
        <f si="31" t="shared"/>
        <v>0</v>
      </c>
      <c r="W34" s="24">
        <f si="33" t="shared"/>
        <v>0</v>
      </c>
    </row>
    <row r="35" spans="11:23" x14ac:dyDescent="0.25">
      <c r="K35" s="9" t="s">
        <v>6</v>
      </c>
      <c r="L35" s="16">
        <f si="24" t="shared"/>
        <v>4.7784329890411103E-4</v>
      </c>
      <c r="M35" s="16">
        <f si="25" t="shared"/>
        <v>3.1506151576095235E-5</v>
      </c>
      <c r="N35" s="16">
        <f si="26" t="shared"/>
        <v>4.935963746921586E-4</v>
      </c>
      <c r="O35" s="16">
        <f si="27" t="shared"/>
        <v>1.5753075788047617E-5</v>
      </c>
      <c r="P35" s="16">
        <f si="28" t="shared"/>
        <v>5.0934945048020628E-4</v>
      </c>
      <c r="Q35" s="16">
        <f si="29" t="shared"/>
        <v>0</v>
      </c>
      <c r="R35" s="16">
        <f si="30" t="shared"/>
        <v>5.0934945048020628E-4</v>
      </c>
      <c r="T35" s="30" t="s">
        <v>6</v>
      </c>
      <c r="U35" s="31">
        <f si="32" t="shared"/>
        <v>0</v>
      </c>
      <c r="V35" s="31">
        <f si="31" t="shared"/>
        <v>5.0934945048020628E-4</v>
      </c>
      <c r="W35" s="31">
        <f si="33" t="shared"/>
        <v>5.0934945048020628E-4</v>
      </c>
    </row>
    <row r="36" spans="11:23" x14ac:dyDescent="0.25">
      <c r="K36" s="9" t="s">
        <v>7</v>
      </c>
      <c r="L36" s="16">
        <f si="24" t="shared"/>
        <v>3.7886260456403528E-3</v>
      </c>
      <c r="M36" s="16">
        <f si="25" t="shared"/>
        <v>-9.3728889766776097E-4</v>
      </c>
      <c r="N36" s="16">
        <f si="26" t="shared"/>
        <v>1.2927538318912787E-4</v>
      </c>
      <c r="O36" s="16">
        <f si="27" t="shared"/>
        <v>2.7220617647834653E-3</v>
      </c>
      <c r="P36" s="16">
        <f si="28" t="shared"/>
        <v>2.5334731073620165E-5</v>
      </c>
      <c r="Q36" s="16">
        <f si="29" t="shared"/>
        <v>2.8260024168989726E-3</v>
      </c>
      <c r="R36" s="16">
        <f si="30" t="shared"/>
        <v>2.6421191259564589E-3</v>
      </c>
      <c r="T36" s="23" t="s">
        <v>7</v>
      </c>
      <c r="U36" s="24">
        <f si="32" t="shared"/>
        <v>2.8969052955392427E-2</v>
      </c>
      <c r="V36" s="24">
        <f si="31" t="shared"/>
        <v>3.1611172081348886E-2</v>
      </c>
      <c r="W36" s="24">
        <f si="33" t="shared"/>
        <v>2.6421191259564589E-3</v>
      </c>
    </row>
    <row r="37" spans="11:23" x14ac:dyDescent="0.25">
      <c r="K37" s="14" t="s">
        <v>8</v>
      </c>
      <c r="L37" s="17">
        <f si="24" t="shared"/>
        <v>0</v>
      </c>
      <c r="M37" s="17">
        <f si="25" t="shared"/>
        <v>-2.1989734662620831E-3</v>
      </c>
      <c r="N37" s="17">
        <f si="26" t="shared"/>
        <v>-2.1989734662620831E-3</v>
      </c>
      <c r="O37" s="17">
        <f si="27" t="shared"/>
        <v>0</v>
      </c>
      <c r="P37" s="17">
        <f si="28" t="shared"/>
        <v>-2.1989734662620831E-3</v>
      </c>
      <c r="Q37" s="17">
        <f si="29" t="shared"/>
        <v>0</v>
      </c>
      <c r="R37" s="17">
        <f si="30" t="shared"/>
        <v>-2.2149702506714187E-3</v>
      </c>
      <c r="T37" s="32" t="s">
        <v>8</v>
      </c>
      <c r="U37" s="33">
        <f si="32" t="shared"/>
        <v>2.2149702506714187E-3</v>
      </c>
      <c r="V37" s="33">
        <f si="31" t="shared"/>
        <v>0</v>
      </c>
      <c r="W37" s="33">
        <f si="33" t="shared"/>
        <v>-2.2149702506714187E-3</v>
      </c>
    </row>
    <row ht="15.75" r="38" spans="11:23" thickBot="1" x14ac:dyDescent="0.3">
      <c r="K38" s="13" t="s">
        <v>19</v>
      </c>
      <c r="L38" s="18">
        <f si="24" t="shared"/>
        <v>2.8687566863820201E-2</v>
      </c>
      <c r="M38" s="18">
        <f si="25" t="shared"/>
        <v>-2.8687566863820235E-2</v>
      </c>
      <c r="N38" s="18">
        <f si="26" t="shared"/>
        <v>-0.15002885637608432</v>
      </c>
      <c r="O38" s="18">
        <f si="27" t="shared"/>
        <v>0.15002885637608435</v>
      </c>
      <c r="P38" s="18">
        <f si="28" t="shared"/>
        <v>-4.2922385369522753E-2</v>
      </c>
      <c r="Q38" s="18">
        <f si="29" t="shared"/>
        <v>4.2922385369522587E-2</v>
      </c>
      <c r="R38" s="18">
        <f si="30" t="shared"/>
        <v>0</v>
      </c>
      <c r="T38" s="25" t="s">
        <v>19</v>
      </c>
      <c r="U38" s="26">
        <f si="32" t="shared"/>
        <v>1</v>
      </c>
      <c r="V38" s="26">
        <f si="31" t="shared"/>
        <v>1</v>
      </c>
      <c r="W38" s="26">
        <f si="33" t="shared"/>
        <v>0</v>
      </c>
    </row>
  </sheetData>
  <pageMargins bottom="0.75" footer="0.3" header="0.3" left="0.7" right="0.7" top="0.75"/>
  <pageSetup horizontalDpi="4294967293"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2:X38"/>
  <sheetViews>
    <sheetView workbookViewId="0">
      <selection activeCell="J3" sqref="J3:J12"/>
    </sheetView>
  </sheetViews>
  <sheetFormatPr defaultRowHeight="15" x14ac:dyDescent="0.25"/>
  <cols>
    <col min="1" max="9" customWidth="true" width="16.7109375" collapsed="true"/>
    <col min="11" max="18" customWidth="true" width="16.7109375" collapsed="true"/>
    <col min="20" max="20" customWidth="true" width="16.7109375" collapsed="true"/>
    <col min="21" max="23" customWidth="true" width="11.85546875" collapsed="true"/>
  </cols>
  <sheetData>
    <row ht="15.75" r="2" spans="1:18" thickBot="1" x14ac:dyDescent="0.3">
      <c r="A2" s="1" t="s">
        <v>281</v>
      </c>
      <c r="B2" s="1"/>
      <c r="C2" s="3"/>
      <c r="D2" s="3"/>
      <c r="E2" s="3"/>
      <c r="F2" s="3"/>
      <c r="G2" s="3"/>
      <c r="H2" s="3" t="s">
        <v>313</v>
      </c>
      <c r="I2" s="3"/>
      <c r="K2" s="1" t="s">
        <v>17</v>
      </c>
      <c r="L2" s="1"/>
      <c r="M2" s="3"/>
      <c r="N2" s="3"/>
      <c r="O2" s="3"/>
      <c r="P2" s="3"/>
      <c r="Q2" s="3"/>
      <c r="R2" s="3"/>
    </row>
    <row r="3" spans="1:18" x14ac:dyDescent="0.25">
      <c r="A3" s="2" t="s">
        <v>0</v>
      </c>
      <c r="B3" s="4" t="s">
        <v>9</v>
      </c>
      <c r="C3" s="4" t="s">
        <v>10</v>
      </c>
      <c r="D3" s="7" t="s">
        <v>235</v>
      </c>
      <c r="E3" s="7" t="s">
        <v>234</v>
      </c>
      <c r="F3" s="7" t="s">
        <v>236</v>
      </c>
      <c r="G3" s="7" t="s">
        <v>237</v>
      </c>
      <c r="H3" s="110" t="s">
        <v>278</v>
      </c>
      <c r="I3" s="7" t="s">
        <v>19</v>
      </c>
      <c r="J3" s="133" t="s">
        <v>331</v>
      </c>
      <c r="K3" s="2" t="s">
        <v>0</v>
      </c>
      <c r="L3" s="4" t="s">
        <v>9</v>
      </c>
      <c r="M3" s="4" t="s">
        <v>10</v>
      </c>
      <c r="N3" s="7" t="s">
        <v>235</v>
      </c>
      <c r="O3" s="7" t="s">
        <v>234</v>
      </c>
      <c r="P3" s="7" t="s">
        <v>236</v>
      </c>
      <c r="Q3" s="7" t="s">
        <v>237</v>
      </c>
      <c r="R3" s="7" t="s">
        <v>19</v>
      </c>
    </row>
    <row r="4" spans="1:18" x14ac:dyDescent="0.25">
      <c r="A4" s="9" t="s">
        <v>1</v>
      </c>
      <c r="B4" s="9" t="n">
        <v>292.894371</v>
      </c>
      <c r="C4" s="9" t="n">
        <v>93803.389088</v>
      </c>
      <c r="D4" s="9" t="n">
        <v>79742.36892</v>
      </c>
      <c r="E4" s="9" t="n">
        <v>14353.914539</v>
      </c>
      <c r="F4" s="9" t="n">
        <v>91788.934719</v>
      </c>
      <c r="G4" s="9" t="n">
        <v>2307.34874</v>
      </c>
      <c r="H4" s="111"/>
      <c r="I4" s="9">
        <f>SUM($B4:$C4)*(SUM($B$12:$C$12)-SUM($I$7:$I$8))/(SUM($B$12:$C$12)-SUM($B$7:$C$8))</f>
        <v>95309.182707741114</v>
      </c>
      <c r="J4" s="125">
        <f>I4*(R$12-SUM($I$7:$I$8))/(I$12-SUM($I$7:$I$8))</f>
        <v>107946.78407242455</v>
      </c>
      <c r="K4" s="118" t="str">
        <f>A4</f>
        <v>Drive Alone</v>
      </c>
      <c r="L4" s="9" t="n">
        <v>0.0</v>
      </c>
      <c r="M4" s="9" t="n">
        <v>111834.0</v>
      </c>
      <c r="N4" s="9" t="n">
        <v>91479.0</v>
      </c>
      <c r="O4" s="9" t="n">
        <v>20355.0</v>
      </c>
      <c r="P4" s="9" t="n">
        <v>107724.0</v>
      </c>
      <c r="Q4" s="9" t="n">
        <v>4110.0</v>
      </c>
      <c r="R4" s="9">
        <f>SUM(L4:M4)</f>
        <v>111845</v>
      </c>
    </row>
    <row r="5" spans="1:18" x14ac:dyDescent="0.25">
      <c r="A5" s="9" t="s">
        <v>2</v>
      </c>
      <c r="B5" s="9" t="n">
        <v>3978.769024</v>
      </c>
      <c r="C5" s="9" t="n">
        <v>59726.712061</v>
      </c>
      <c r="D5" s="9" t="n">
        <v>48933.297039</v>
      </c>
      <c r="E5" s="9" t="n">
        <v>14772.184046</v>
      </c>
      <c r="F5" s="9" t="n">
        <v>63170.075273</v>
      </c>
      <c r="G5" s="9" t="n">
        <v>535.405812</v>
      </c>
      <c r="H5" s="111"/>
      <c r="I5" s="9">
        <f ref="I5:I6" si="0" t="shared">SUM($B5:$C5)*(SUM($B$12:$C$12)-SUM($I$7:$I$8))/(SUM($B$12:$C$12)-SUM($B$7:$C$8))</f>
        <v>64526.643487044872</v>
      </c>
      <c r="J5" s="125">
        <f ref="J5:J6" si="1" t="shared">I5*(R$12-SUM($I$7:$I$8))/(I$12-SUM($I$7:$I$8))</f>
        <v>73082.608134133232</v>
      </c>
      <c r="K5" s="12" t="str">
        <f ref="K5:K11" si="2" t="shared">A5</f>
        <v>Shared Ride 2</v>
      </c>
      <c r="L5" s="9" t="n">
        <v>3931.0</v>
      </c>
      <c r="M5" s="9" t="n">
        <v>62583.0</v>
      </c>
      <c r="N5" s="9" t="n">
        <v>45891.0</v>
      </c>
      <c r="O5" s="9" t="n">
        <v>20623.0</v>
      </c>
      <c r="P5" s="9" t="n">
        <v>62491.0</v>
      </c>
      <c r="Q5" s="9" t="n">
        <v>4023.0</v>
      </c>
      <c r="R5" s="9">
        <f ref="R5:R12" si="3" t="shared">SUM(L5:M5)</f>
        <v>66088</v>
      </c>
    </row>
    <row r="6" spans="1:18" x14ac:dyDescent="0.25">
      <c r="A6" s="9" t="s">
        <v>3</v>
      </c>
      <c r="B6" s="9" t="n">
        <v>1122.989846</v>
      </c>
      <c r="C6" s="9" t="n">
        <v>34366.966709</v>
      </c>
      <c r="D6" s="9" t="n">
        <v>28940.205956</v>
      </c>
      <c r="E6" s="9" t="n">
        <v>6549.750599</v>
      </c>
      <c r="F6" s="9" t="n">
        <v>35433.187678</v>
      </c>
      <c r="G6" s="9" t="n">
        <v>56.768877</v>
      </c>
      <c r="H6" s="111"/>
      <c r="I6" s="9">
        <f si="0" t="shared"/>
        <v>35947.421399104816</v>
      </c>
      <c r="J6" s="125">
        <f si="1" t="shared"/>
        <v>40713.900019776898</v>
      </c>
      <c r="K6" s="12" t="str">
        <f si="2" t="shared"/>
        <v>Shared Ride 3+</v>
      </c>
      <c r="L6" s="9" t="n">
        <v>1274.0</v>
      </c>
      <c r="M6" s="9" t="n">
        <v>38360.0</v>
      </c>
      <c r="N6" s="9" t="n">
        <v>25320.0</v>
      </c>
      <c r="O6" s="9" t="n">
        <v>14314.0</v>
      </c>
      <c r="P6" s="9" t="n">
        <v>38885.0</v>
      </c>
      <c r="Q6" s="9" t="n">
        <v>749.0</v>
      </c>
      <c r="R6" s="9">
        <f si="3" t="shared"/>
        <v>39590</v>
      </c>
    </row>
    <row r="7" spans="1:18" x14ac:dyDescent="0.25">
      <c r="A7" s="9" t="s">
        <v>4</v>
      </c>
      <c r="B7" s="9" t="n">
        <v>25.036661</v>
      </c>
      <c r="C7" s="9" t="n">
        <v>256.178589</v>
      </c>
      <c r="D7" s="9" t="n">
        <v>281.21525</v>
      </c>
      <c r="E7" s="9" t="n">
        <v>0.0</v>
      </c>
      <c r="F7" s="9" t="n">
        <v>281.21525</v>
      </c>
      <c r="G7" s="9" t="n">
        <v>0.0</v>
      </c>
      <c r="H7" s="111">
        <v>0</v>
      </c>
      <c r="I7" s="119">
        <f>(H7*SUM($B$12:$C$12)/(SUM(Personal_Business!$B$12:$C$12)+SUM(Shop!$B$12:$C$12)+SUM(Meal!$B$12:$C$12)+SUM(SocRec!$B$12:$C$12)))</f>
        <v>0</v>
      </c>
      <c r="J7" s="9">
        <f>I7</f>
        <v>0</v>
      </c>
      <c r="K7" s="12" t="str">
        <f si="2" t="shared"/>
        <v>Drive-Transit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 t="n">
        <v>0.0</v>
      </c>
      <c r="R7" s="9">
        <f si="3" t="shared"/>
        <v>0</v>
      </c>
    </row>
    <row r="8" spans="1:18" x14ac:dyDescent="0.25">
      <c r="A8" s="9" t="s">
        <v>5</v>
      </c>
      <c r="B8" s="9" t="n">
        <v>3457.26813</v>
      </c>
      <c r="C8" s="9" t="n">
        <v>563.464973</v>
      </c>
      <c r="D8" s="9" t="n">
        <v>3690.358652</v>
      </c>
      <c r="E8" s="9" t="n">
        <v>330.374451</v>
      </c>
      <c r="F8" s="9" t="n">
        <v>3987.370718</v>
      </c>
      <c r="G8" s="9" t="n">
        <v>33.362385</v>
      </c>
      <c r="H8" s="111">
        <f>1.1*4651.16092221859</f>
        <v>5116.2770144404494</v>
      </c>
      <c r="I8" s="119">
        <f>(H8*SUM($B$12:$C$12)/(SUM(Personal_Business!$B$12:$C$12)+SUM(Shop!$B$12:$C$12)+SUM(Meal!$B$12:$C$12)+SUM(SocRec!$B$12:$C$12)))</f>
        <v>1695.7922676185644</v>
      </c>
      <c r="J8" s="9">
        <f>I8</f>
        <v>1695.7922676185644</v>
      </c>
      <c r="K8" s="12" t="str">
        <f si="2" t="shared"/>
        <v>Walk-Transit</v>
      </c>
      <c r="L8" s="9" t="n">
        <v>1696.0</v>
      </c>
      <c r="M8" s="9" t="n">
        <v>334.0</v>
      </c>
      <c r="N8" s="9" t="n">
        <v>1894.0</v>
      </c>
      <c r="O8" s="9" t="n">
        <v>136.0</v>
      </c>
      <c r="P8" s="9" t="n">
        <v>1994.0</v>
      </c>
      <c r="Q8" s="9" t="n">
        <v>36.0</v>
      </c>
      <c r="R8" s="9">
        <f si="3" t="shared"/>
        <v>2121</v>
      </c>
    </row>
    <row r="9" spans="1:18" x14ac:dyDescent="0.25">
      <c r="A9" s="9" t="s">
        <v>6</v>
      </c>
      <c r="B9" s="9" t="n">
        <v>40.752751</v>
      </c>
      <c r="C9" s="9" t="n">
        <v>682.1319599999999</v>
      </c>
      <c r="D9" s="9" t="n">
        <v>722.884711</v>
      </c>
      <c r="E9" s="9" t="n">
        <v>0.0</v>
      </c>
      <c r="F9" s="9" t="n">
        <v>722.884711</v>
      </c>
      <c r="G9" s="9" t="n">
        <v>0.0</v>
      </c>
      <c r="H9" s="111"/>
      <c r="I9" s="9">
        <f ref="I9:I11" si="4" t="shared">SUM($B9:$C9)*(SUM($B$12:$C$12)-SUM($I$7:$I$8))/(SUM($B$12:$C$12)-SUM($B$7:$C$8))</f>
        <v>732.20268075042441</v>
      </c>
      <c r="J9" s="125">
        <f>I9*(R$12-SUM($I$7:$I$8))/(I$12-SUM($I$7:$I$8))</f>
        <v>829.28971197438295</v>
      </c>
      <c r="K9" s="12" t="str">
        <f si="2" t="shared"/>
        <v>Bike</v>
      </c>
      <c r="L9" s="9" t="n">
        <v>189.0</v>
      </c>
      <c r="M9" s="9" t="n">
        <v>1277.0</v>
      </c>
      <c r="N9" s="9" t="n">
        <v>1005.0</v>
      </c>
      <c r="O9" s="9" t="n">
        <v>461.0</v>
      </c>
      <c r="P9" s="9" t="n">
        <v>1351.0</v>
      </c>
      <c r="Q9" s="9" t="n">
        <v>115.0</v>
      </c>
      <c r="R9" s="9">
        <f si="3" t="shared"/>
        <v>1459</v>
      </c>
    </row>
    <row r="10" spans="1:18" x14ac:dyDescent="0.25">
      <c r="A10" s="9" t="s">
        <v>7</v>
      </c>
      <c r="B10" s="9" t="n">
        <v>939.219203</v>
      </c>
      <c r="C10" s="9" t="n">
        <v>7098.876129</v>
      </c>
      <c r="D10" s="9" t="n">
        <v>6211.241315</v>
      </c>
      <c r="E10" s="9" t="n">
        <v>1826.854017</v>
      </c>
      <c r="F10" s="9" t="n">
        <v>7711.784814</v>
      </c>
      <c r="G10" s="9" t="n">
        <v>326.310518</v>
      </c>
      <c r="H10" s="111"/>
      <c r="I10" s="9">
        <f si="4" t="shared"/>
        <v>8141.7062232180397</v>
      </c>
      <c r="J10" s="125">
        <f ref="J10:J11" si="5" t="shared">I10*(R$12-SUM($I$7:$I$8))/(I$12-SUM($I$7:$I$8))</f>
        <v>9221.2626180399511</v>
      </c>
      <c r="K10" s="12" t="str">
        <f si="2" t="shared"/>
        <v>Walk</v>
      </c>
      <c r="L10" s="9" t="n">
        <v>1670.0</v>
      </c>
      <c r="M10" s="9" t="n">
        <v>10720.0</v>
      </c>
      <c r="N10" s="9" t="n">
        <v>8567.0</v>
      </c>
      <c r="O10" s="9" t="n">
        <v>3823.0</v>
      </c>
      <c r="P10" s="9" t="n">
        <v>11563.0</v>
      </c>
      <c r="Q10" s="9" t="n">
        <v>827.0</v>
      </c>
      <c r="R10" s="9">
        <f si="3" t="shared"/>
        <v>12538</v>
      </c>
    </row>
    <row r="11" spans="1:18" x14ac:dyDescent="0.25">
      <c r="A11" s="14" t="s">
        <v>8</v>
      </c>
      <c r="B11" s="14" t="n">
        <v>48.270624</v>
      </c>
      <c r="C11" s="14" t="n">
        <v>83.671355</v>
      </c>
      <c r="D11" s="14" t="n">
        <v>48.270624</v>
      </c>
      <c r="E11" s="14" t="n">
        <v>83.671355</v>
      </c>
      <c r="F11" s="14" t="n">
        <v>131.941979</v>
      </c>
      <c r="G11" s="14" t="n">
        <v>0.0</v>
      </c>
      <c r="H11" s="112"/>
      <c r="I11" s="14">
        <f si="4" t="shared"/>
        <v>133.64270852218402</v>
      </c>
      <c r="J11" s="125">
        <f si="5" t="shared"/>
        <v>151.36317603242284</v>
      </c>
      <c r="K11" s="14" t="str">
        <f si="2" t="shared"/>
        <v>School Bus</v>
      </c>
      <c r="L11" s="14" t="n">
        <v>0.0</v>
      </c>
      <c r="M11" s="14" t="n">
        <v>0.0</v>
      </c>
      <c r="N11" s="14" t="n">
        <v>0.0</v>
      </c>
      <c r="O11" s="14" t="n">
        <v>0.0</v>
      </c>
      <c r="P11" s="14" t="n">
        <v>0.0</v>
      </c>
      <c r="Q11" s="14" t="n">
        <v>0.0</v>
      </c>
      <c r="R11" s="14">
        <f si="3" t="shared"/>
        <v>0</v>
      </c>
    </row>
    <row ht="15.75" r="12" spans="1:18" thickBot="1" x14ac:dyDescent="0.3">
      <c r="A12" s="13" t="s">
        <v>19</v>
      </c>
      <c r="B12" s="10">
        <f>SUM(B4:B11)</f>
        <v>9905.2006100000017</v>
      </c>
      <c r="C12" s="10">
        <f>SUM(C4:C11)</f>
        <v>196581.39086399999</v>
      </c>
      <c r="D12" s="10">
        <f ref="D12:H12" si="6" t="shared">SUM(D4:D11)</f>
        <v>168569.84246699998</v>
      </c>
      <c r="E12" s="10">
        <f si="6" t="shared"/>
        <v>37916.749006999999</v>
      </c>
      <c r="F12" s="10">
        <f si="6" t="shared"/>
        <v>203227.39514200002</v>
      </c>
      <c r="G12" s="10">
        <f si="6" t="shared"/>
        <v>3259.1963319999995</v>
      </c>
      <c r="H12" s="113">
        <f si="6" t="shared"/>
        <v>5116.2770144404494</v>
      </c>
      <c r="I12" s="10">
        <f>SUM(I4:I11)</f>
        <v>206486.59147400002</v>
      </c>
      <c r="J12" s="131">
        <f>SUM(J4:J11)</f>
        <v>233641</v>
      </c>
      <c r="K12" s="13" t="s">
        <v>19</v>
      </c>
      <c r="L12" s="10">
        <f>SUM(L4:L11)</f>
        <v>8813</v>
      </c>
      <c r="M12" s="10">
        <f>SUM(M4:M11)</f>
        <v>224828</v>
      </c>
      <c r="N12" s="10">
        <f ref="N12:Q12" si="7" t="shared">SUM(N4:N11)</f>
        <v>173215</v>
      </c>
      <c r="O12" s="10">
        <f si="7" t="shared"/>
        <v>60426</v>
      </c>
      <c r="P12" s="10">
        <f si="7" t="shared"/>
        <v>223660</v>
      </c>
      <c r="Q12" s="10">
        <f si="7" t="shared"/>
        <v>9981</v>
      </c>
      <c r="R12" s="10">
        <f si="3" t="shared"/>
        <v>233641</v>
      </c>
    </row>
    <row r="13" spans="1:18" x14ac:dyDescent="0.25">
      <c r="B13" s="120">
        <f>B7/SUM($B7:$C7)</f>
        <v>8.9030239291788063E-2</v>
      </c>
      <c r="C13" s="120">
        <f ref="C13:G14" si="8" t="shared">C7/SUM($B7:$C7)</f>
        <v>0.91096976070821201</v>
      </c>
      <c r="D13" s="120">
        <f si="8" t="shared"/>
        <v>1.0000000000000002</v>
      </c>
      <c r="E13" s="120">
        <f si="8" t="shared"/>
        <v>0</v>
      </c>
      <c r="F13" s="120">
        <f si="8" t="shared"/>
        <v>1.0000000000000002</v>
      </c>
      <c r="G13" s="120">
        <f si="8" t="shared"/>
        <v>0</v>
      </c>
    </row>
    <row r="14" spans="1:18" x14ac:dyDescent="0.25">
      <c r="B14" s="120">
        <f>B8/SUM($B8:$C8)</f>
        <v>0.85986014028646152</v>
      </c>
      <c r="C14" s="120">
        <f si="8" t="shared"/>
        <v>0.1401398597135384</v>
      </c>
      <c r="D14" s="120">
        <f si="8" t="shared"/>
        <v>0.91783228517369209</v>
      </c>
      <c r="E14" s="120">
        <f si="8" t="shared"/>
        <v>8.2167714826307886E-2</v>
      </c>
      <c r="F14" s="120">
        <f si="8" t="shared"/>
        <v>0.99170241243441226</v>
      </c>
      <c r="G14" s="120">
        <f si="8" t="shared"/>
        <v>8.2975875655877888E-3</v>
      </c>
    </row>
    <row ht="15.75" r="15" spans="1:18" thickBot="1" x14ac:dyDescent="0.3">
      <c r="A15" s="1" t="s">
        <v>282</v>
      </c>
      <c r="B15" s="1"/>
      <c r="C15" s="3"/>
      <c r="D15" s="3"/>
      <c r="E15" s="3"/>
      <c r="F15" s="3"/>
      <c r="G15" s="3"/>
      <c r="H15" s="3"/>
      <c r="I15" s="3"/>
      <c r="K15" s="1" t="s">
        <v>29</v>
      </c>
      <c r="L15" s="1"/>
      <c r="M15" s="3"/>
      <c r="N15" s="3"/>
      <c r="O15" s="3"/>
      <c r="P15" s="3"/>
      <c r="Q15" s="3"/>
      <c r="R15" s="3"/>
    </row>
    <row r="16" spans="1:18" x14ac:dyDescent="0.25">
      <c r="A16" s="2" t="s">
        <v>0</v>
      </c>
      <c r="B16" s="4" t="s">
        <v>9</v>
      </c>
      <c r="C16" s="4" t="s">
        <v>10</v>
      </c>
      <c r="D16" s="7" t="s">
        <v>235</v>
      </c>
      <c r="E16" s="7" t="s">
        <v>234</v>
      </c>
      <c r="F16" s="7" t="s">
        <v>236</v>
      </c>
      <c r="G16" s="7" t="s">
        <v>237</v>
      </c>
      <c r="H16" s="7" t="s">
        <v>278</v>
      </c>
      <c r="I16" s="7" t="s">
        <v>19</v>
      </c>
      <c r="K16" s="2" t="s">
        <v>0</v>
      </c>
      <c r="L16" s="4" t="s">
        <v>9</v>
      </c>
      <c r="M16" s="4" t="s">
        <v>10</v>
      </c>
      <c r="N16" s="7" t="s">
        <v>235</v>
      </c>
      <c r="O16" s="7" t="s">
        <v>234</v>
      </c>
      <c r="P16" s="7" t="s">
        <v>236</v>
      </c>
      <c r="Q16" s="7" t="s">
        <v>237</v>
      </c>
      <c r="R16" s="7" t="s">
        <v>19</v>
      </c>
    </row>
    <row r="17" spans="1:23" x14ac:dyDescent="0.25">
      <c r="A17" s="9" t="s">
        <v>1</v>
      </c>
      <c r="B17" s="16">
        <f ref="B17:H17" si="9" t="shared">B4/$I$12</f>
        <v>1.418466782318309E-3</v>
      </c>
      <c r="C17" s="16">
        <f si="9" t="shared"/>
        <v>0.45428319785021659</v>
      </c>
      <c r="D17" s="16">
        <f si="9" t="shared"/>
        <v>0.38618666883288083</v>
      </c>
      <c r="E17" s="16">
        <f si="9" t="shared"/>
        <v>6.9514995799654075E-2</v>
      </c>
      <c r="F17" s="16">
        <f si="9" t="shared"/>
        <v>0.44452733741095096</v>
      </c>
      <c r="G17" s="16">
        <f si="9" t="shared"/>
        <v>1.1174327221583936E-2</v>
      </c>
      <c r="H17" s="16">
        <f si="9" t="shared"/>
        <v>0</v>
      </c>
      <c r="I17" s="16">
        <f ref="I17:I25" si="10" t="shared">I4/$I$12</f>
        <v>0.46157565015422358</v>
      </c>
      <c r="K17" s="9" t="s">
        <v>1</v>
      </c>
      <c r="L17" s="16">
        <f ref="L17:M25" si="11" t="shared">L4/$R$12</f>
        <v>0</v>
      </c>
      <c r="M17" s="16">
        <f si="11" t="shared"/>
        <v>0.47870450819847543</v>
      </c>
      <c r="N17" s="16">
        <f ref="N17:Q17" si="12" t="shared">N4/$R$12</f>
        <v>0.39098445906326373</v>
      </c>
      <c r="O17" s="16">
        <f si="12" t="shared"/>
        <v>8.7720049135211711E-2</v>
      </c>
      <c r="P17" s="16">
        <f si="12" t="shared"/>
        <v>0.46101925603810973</v>
      </c>
      <c r="Q17" s="16">
        <f si="12" t="shared"/>
        <v>1.7685252160365688E-2</v>
      </c>
      <c r="R17" s="16">
        <f ref="R17:R25" si="13" t="shared">R4/$R$12</f>
        <v>0.47870450819847543</v>
      </c>
    </row>
    <row r="18" spans="1:23" x14ac:dyDescent="0.25">
      <c r="A18" s="9" t="s">
        <v>2</v>
      </c>
      <c r="B18" s="16">
        <f ref="B18:G25" si="14" t="shared">B5/$I$12</f>
        <v>1.9268897779742715E-2</v>
      </c>
      <c r="C18" s="16">
        <f si="14" t="shared"/>
        <v>0.28925225427298773</v>
      </c>
      <c r="D18" s="16">
        <f si="14" t="shared"/>
        <v>0.23698050652921687</v>
      </c>
      <c r="E18" s="16">
        <f si="14" t="shared"/>
        <v>7.1540645523513594E-2</v>
      </c>
      <c r="F18" s="16">
        <f si="14" t="shared"/>
        <v>0.30592821946481757</v>
      </c>
      <c r="G18" s="16">
        <f si="14" t="shared"/>
        <v>2.5929325879129358E-3</v>
      </c>
      <c r="H18" s="16">
        <f ref="H18:H24" si="15" t="shared">H5/$I$12</f>
        <v>0</v>
      </c>
      <c r="I18" s="16">
        <f si="10" t="shared"/>
        <v>0.31249798365318948</v>
      </c>
      <c r="K18" s="9" t="s">
        <v>2</v>
      </c>
      <c r="L18" s="16">
        <f si="11" t="shared"/>
        <v>1.6970480352335421E-2</v>
      </c>
      <c r="M18" s="16">
        <f si="11" t="shared"/>
        <v>0.26589083251655315</v>
      </c>
      <c r="N18" s="16">
        <f ref="N18:Q18" si="16" t="shared">N5/$R$12</f>
        <v>0.19356191764287947</v>
      </c>
      <c r="O18" s="16">
        <f si="16" t="shared"/>
        <v>8.9299395226009132E-2</v>
      </c>
      <c r="P18" s="16">
        <f si="16" t="shared"/>
        <v>0.26601923463775623</v>
      </c>
      <c r="Q18" s="16">
        <f si="16" t="shared"/>
        <v>1.6842078231132377E-2</v>
      </c>
      <c r="R18" s="16">
        <f si="13" t="shared"/>
        <v>0.2828613128688886</v>
      </c>
    </row>
    <row r="19" spans="1:23" x14ac:dyDescent="0.25">
      <c r="A19" s="9" t="s">
        <v>3</v>
      </c>
      <c r="B19" s="16">
        <f si="14" t="shared"/>
        <v>5.438560625092223E-3</v>
      </c>
      <c r="C19" s="16">
        <f si="14" t="shared"/>
        <v>0.16643679603441638</v>
      </c>
      <c r="D19" s="16">
        <f si="14" t="shared"/>
        <v>0.1401553764310359</v>
      </c>
      <c r="E19" s="16">
        <f si="14" t="shared"/>
        <v>3.1719980228472701E-2</v>
      </c>
      <c r="F19" s="16">
        <f si="14" t="shared"/>
        <v>0.17160042899183414</v>
      </c>
      <c r="G19" s="16">
        <f si="14" t="shared"/>
        <v>2.7492766767448005E-4</v>
      </c>
      <c r="H19" s="16">
        <f si="15" t="shared"/>
        <v>0</v>
      </c>
      <c r="I19" s="16">
        <f si="10" t="shared"/>
        <v>0.17409082663670766</v>
      </c>
      <c r="K19" s="9" t="s">
        <v>3</v>
      </c>
      <c r="L19" s="16">
        <f si="11" t="shared"/>
        <v>5.5384114945578903E-3</v>
      </c>
      <c r="M19" s="16">
        <f si="11" t="shared"/>
        <v>0.16390958778639023</v>
      </c>
      <c r="N19" s="16">
        <f ref="N19:Q19" si="17" t="shared">N6/$R$12</f>
        <v>0.10698892745708159</v>
      </c>
      <c r="O19" s="16">
        <f si="17" t="shared"/>
        <v>6.2459071823866529E-2</v>
      </c>
      <c r="P19" s="16">
        <f si="17" t="shared"/>
        <v>0.16535625168527784</v>
      </c>
      <c r="Q19" s="16">
        <f si="17" t="shared"/>
        <v>4.0917475956702802E-3</v>
      </c>
      <c r="R19" s="16">
        <f si="13" t="shared"/>
        <v>0.16944799928094811</v>
      </c>
    </row>
    <row r="20" spans="1:23" x14ac:dyDescent="0.25">
      <c r="A20" s="9" t="s">
        <v>4</v>
      </c>
      <c r="B20" s="16">
        <f si="14" t="shared"/>
        <v>1.2125078350742458E-4</v>
      </c>
      <c r="C20" s="16">
        <f si="14" t="shared"/>
        <v>1.2406548394802526E-3</v>
      </c>
      <c r="D20" s="16">
        <f si="14" t="shared"/>
        <v>1.3619056229876773E-3</v>
      </c>
      <c r="E20" s="16">
        <f si="14" t="shared"/>
        <v>0</v>
      </c>
      <c r="F20" s="16">
        <f si="14" t="shared"/>
        <v>1.3619056229876773E-3</v>
      </c>
      <c r="G20" s="16">
        <f si="14" t="shared"/>
        <v>0</v>
      </c>
      <c r="H20" s="16">
        <f si="15" t="shared"/>
        <v>0</v>
      </c>
      <c r="I20" s="16">
        <f si="10" t="shared"/>
        <v>0</v>
      </c>
      <c r="K20" s="9" t="s">
        <v>4</v>
      </c>
      <c r="L20" s="16">
        <f si="11" t="shared"/>
        <v>0</v>
      </c>
      <c r="M20" s="16">
        <f si="11" t="shared"/>
        <v>0</v>
      </c>
      <c r="N20" s="16">
        <f ref="N20:Q20" si="18" t="shared">N7/$R$12</f>
        <v>0</v>
      </c>
      <c r="O20" s="16">
        <f si="18" t="shared"/>
        <v>0</v>
      </c>
      <c r="P20" s="16">
        <f si="18" t="shared"/>
        <v>0</v>
      </c>
      <c r="Q20" s="16">
        <f si="18" t="shared"/>
        <v>0</v>
      </c>
      <c r="R20" s="16">
        <f si="13" t="shared"/>
        <v>0</v>
      </c>
    </row>
    <row r="21" spans="1:23" x14ac:dyDescent="0.25">
      <c r="A21" s="9" t="s">
        <v>5</v>
      </c>
      <c r="B21" s="16">
        <f si="14" t="shared"/>
        <v>1.6743305729056628E-2</v>
      </c>
      <c r="C21" s="16">
        <f si="14" t="shared"/>
        <v>2.7288211257579372E-3</v>
      </c>
      <c r="D21" s="16">
        <f si="14" t="shared"/>
        <v>1.7872146688346472E-2</v>
      </c>
      <c r="E21" s="16">
        <f si="14" t="shared"/>
        <v>1.5999801664680947E-3</v>
      </c>
      <c r="F21" s="16">
        <f si="14" t="shared"/>
        <v>1.9310555177148508E-2</v>
      </c>
      <c r="G21" s="16">
        <f si="14" t="shared"/>
        <v>1.6157167766605739E-4</v>
      </c>
      <c r="H21" s="16">
        <f si="15" t="shared"/>
        <v>2.4777768754464965E-2</v>
      </c>
      <c r="I21" s="16">
        <f si="10" t="shared"/>
        <v>8.2126023559844167E-3</v>
      </c>
      <c r="K21" s="9" t="s">
        <v>5</v>
      </c>
      <c r="L21" s="16">
        <f si="11" t="shared"/>
        <v>7.7041272721825368E-3</v>
      </c>
      <c r="M21" s="16">
        <f si="11" t="shared"/>
        <v>1.3739026968725523E-3</v>
      </c>
      <c r="N21" s="16">
        <f ref="N21:Q21" si="19" t="shared">N8/$R$12</f>
        <v>8.4959403529346299E-3</v>
      </c>
      <c r="O21" s="16">
        <f si="19" t="shared"/>
        <v>5.820896161204583E-4</v>
      </c>
      <c r="P21" s="16">
        <f si="19" t="shared"/>
        <v>8.9539079185588146E-3</v>
      </c>
      <c r="Q21" s="16">
        <f si="19" t="shared"/>
        <v>1.2412205049627421E-4</v>
      </c>
      <c r="R21" s="16">
        <f si="13" t="shared"/>
        <v>9.0780299690550893E-3</v>
      </c>
    </row>
    <row r="22" spans="1:23" x14ac:dyDescent="0.25">
      <c r="A22" s="9" t="s">
        <v>6</v>
      </c>
      <c r="B22" s="16">
        <f si="14" t="shared"/>
        <v>1.973626989970021E-4</v>
      </c>
      <c r="C22" s="16">
        <f si="14" t="shared"/>
        <v>3.3035169747857034E-3</v>
      </c>
      <c r="D22" s="16">
        <f si="14" t="shared"/>
        <v>3.500879673782706E-3</v>
      </c>
      <c r="E22" s="16">
        <f si="14" t="shared"/>
        <v>0</v>
      </c>
      <c r="F22" s="16">
        <f si="14" t="shared"/>
        <v>3.500879673782706E-3</v>
      </c>
      <c r="G22" s="16">
        <f si="14" t="shared"/>
        <v>0</v>
      </c>
      <c r="H22" s="16">
        <f si="15" t="shared"/>
        <v>0</v>
      </c>
      <c r="I22" s="16">
        <f si="10" t="shared"/>
        <v>3.5460059441323119E-3</v>
      </c>
      <c r="K22" s="9" t="s">
        <v>6</v>
      </c>
      <c r="L22" s="16">
        <f si="11" t="shared"/>
        <v>1.0785778181055551E-3</v>
      </c>
      <c r="M22" s="16">
        <f si="11" t="shared"/>
        <v>5.1660453430690673E-3</v>
      </c>
      <c r="N22" s="16">
        <f ref="N22:Q22" si="20" t="shared">N9/$R$12</f>
        <v>4.3357116259560612E-3</v>
      </c>
      <c r="O22" s="16">
        <f si="20" t="shared"/>
        <v>1.9089115352185619E-3</v>
      </c>
      <c r="P22" s="16">
        <f si="20" t="shared"/>
        <v>5.7138943935353811E-3</v>
      </c>
      <c r="Q22" s="16">
        <f si="20" t="shared"/>
        <v>5.307287676392414E-4</v>
      </c>
      <c r="R22" s="16">
        <f si="13" t="shared"/>
        <v>6.2446231611746226E-3</v>
      </c>
    </row>
    <row r="23" spans="1:23" x14ac:dyDescent="0.25">
      <c r="A23" s="9" t="s">
        <v>7</v>
      </c>
      <c r="B23" s="16">
        <f si="14" t="shared"/>
        <v>4.5485723615049491E-3</v>
      </c>
      <c r="C23" s="16">
        <f si="14" t="shared"/>
        <v>3.4379356443073751E-2</v>
      </c>
      <c r="D23" s="16">
        <f si="14" t="shared"/>
        <v>3.0080603639496346E-2</v>
      </c>
      <c r="E23" s="16">
        <f si="14" t="shared"/>
        <v>8.8473251650823554E-3</v>
      </c>
      <c r="F23" s="16">
        <f si="14" t="shared"/>
        <v>3.7347629979019907E-2</v>
      </c>
      <c r="G23" s="16">
        <f si="14" t="shared"/>
        <v>1.5802988255587905E-3</v>
      </c>
      <c r="H23" s="16">
        <f si="15" t="shared"/>
        <v>0</v>
      </c>
      <c r="I23" s="16">
        <f si="10" t="shared"/>
        <v>3.9429709043568628E-2</v>
      </c>
      <c r="K23" s="9" t="s">
        <v>7</v>
      </c>
      <c r="L23" s="16">
        <f si="11" t="shared"/>
        <v>6.42866620156565E-3</v>
      </c>
      <c r="M23" s="16">
        <f si="11" t="shared"/>
        <v>4.7234860319892484E-2</v>
      </c>
      <c r="N23" s="16">
        <f ref="N23:Q23" si="21" t="shared">N10/$R$12</f>
        <v>3.7005491330716782E-2</v>
      </c>
      <c r="O23" s="16">
        <f si="21" t="shared"/>
        <v>1.6658035190741351E-2</v>
      </c>
      <c r="P23" s="16">
        <f si="21" t="shared"/>
        <v>5.0218069602509831E-2</v>
      </c>
      <c r="Q23" s="16">
        <f si="21" t="shared"/>
        <v>3.4454569189483011E-3</v>
      </c>
      <c r="R23" s="16">
        <f si="13" t="shared"/>
        <v>5.3663526521458137E-2</v>
      </c>
    </row>
    <row r="24" spans="1:23" x14ac:dyDescent="0.25">
      <c r="A24" s="14" t="s">
        <v>8</v>
      </c>
      <c r="B24" s="17">
        <f si="14" t="shared"/>
        <v>2.3377122773648984E-4</v>
      </c>
      <c r="C24" s="17">
        <f si="14" t="shared"/>
        <v>4.0521447132578378E-4</v>
      </c>
      <c r="D24" s="17">
        <f si="14" t="shared"/>
        <v>2.3377122773648984E-4</v>
      </c>
      <c r="E24" s="17">
        <f si="14" t="shared"/>
        <v>4.0521447132578378E-4</v>
      </c>
      <c r="F24" s="17">
        <f si="14" t="shared"/>
        <v>6.3898569906227357E-4</v>
      </c>
      <c r="G24" s="17">
        <f si="14" t="shared"/>
        <v>0</v>
      </c>
      <c r="H24" s="16">
        <f si="15" t="shared"/>
        <v>0</v>
      </c>
      <c r="I24" s="17">
        <f si="10" t="shared"/>
        <v>6.4722221219391763E-4</v>
      </c>
      <c r="K24" s="14" t="s">
        <v>8</v>
      </c>
      <c r="L24" s="17">
        <f si="11" t="shared"/>
        <v>0</v>
      </c>
      <c r="M24" s="17">
        <f si="11" t="shared"/>
        <v>0</v>
      </c>
      <c r="N24" s="17">
        <f ref="N24:Q24" si="22" t="shared">N11/$R$12</f>
        <v>0</v>
      </c>
      <c r="O24" s="17">
        <f si="22" t="shared"/>
        <v>0</v>
      </c>
      <c r="P24" s="17">
        <f si="22" t="shared"/>
        <v>0</v>
      </c>
      <c r="Q24" s="17">
        <f si="22" t="shared"/>
        <v>0</v>
      </c>
      <c r="R24" s="17">
        <f si="13" t="shared"/>
        <v>0</v>
      </c>
    </row>
    <row ht="15.75" r="25" spans="1:23" thickBot="1" x14ac:dyDescent="0.3">
      <c r="A25" s="13" t="s">
        <v>19</v>
      </c>
      <c r="B25" s="18">
        <f si="14" t="shared"/>
        <v>4.7970187987955749E-2</v>
      </c>
      <c r="C25" s="18">
        <f si="14" t="shared"/>
        <v>0.95202981201204406</v>
      </c>
      <c r="D25" s="18">
        <f si="14" t="shared"/>
        <v>0.81637185864548323</v>
      </c>
      <c r="E25" s="18">
        <f si="14" t="shared"/>
        <v>0.18362814135451661</v>
      </c>
      <c r="F25" s="18">
        <f si="14" t="shared"/>
        <v>0.98421594201960383</v>
      </c>
      <c r="G25" s="18">
        <f si="14" t="shared"/>
        <v>1.5784057980396199E-2</v>
      </c>
      <c r="H25" s="18">
        <f>H12/$I$12</f>
        <v>2.4777768754464965E-2</v>
      </c>
      <c r="I25" s="18">
        <f si="10" t="shared"/>
        <v>1</v>
      </c>
      <c r="K25" s="13" t="s">
        <v>19</v>
      </c>
      <c r="L25" s="18">
        <f si="11" t="shared"/>
        <v>3.7720263138747052E-2</v>
      </c>
      <c r="M25" s="18">
        <f si="11" t="shared"/>
        <v>0.9622797368612529</v>
      </c>
      <c r="N25" s="18">
        <f ref="N25:Q25" si="23" t="shared">N12/$R$12</f>
        <v>0.74137244747283226</v>
      </c>
      <c r="O25" s="18">
        <f si="23" t="shared"/>
        <v>0.25862755252716774</v>
      </c>
      <c r="P25" s="18">
        <f si="23" t="shared"/>
        <v>0.95728061427574784</v>
      </c>
      <c r="Q25" s="18">
        <f si="23" t="shared"/>
        <v>4.2719385724252164E-2</v>
      </c>
      <c r="R25" s="18">
        <f si="13" t="shared"/>
        <v>1</v>
      </c>
    </row>
    <row ht="15.75" r="28" spans="1:23" thickBot="1" x14ac:dyDescent="0.3">
      <c r="K28" s="1" t="s">
        <v>30</v>
      </c>
      <c r="L28" s="1"/>
      <c r="M28" s="3"/>
      <c r="N28" s="3"/>
      <c r="O28" s="3"/>
      <c r="P28" s="3"/>
      <c r="Q28" s="3"/>
      <c r="R28" s="3"/>
      <c r="T28" s="21" t="s">
        <v>38</v>
      </c>
      <c r="U28" s="21"/>
      <c r="V28" s="22"/>
      <c r="W28" s="22"/>
    </row>
    <row r="29" spans="1:23" x14ac:dyDescent="0.25">
      <c r="K29" s="2" t="s">
        <v>0</v>
      </c>
      <c r="L29" s="4" t="s">
        <v>9</v>
      </c>
      <c r="M29" s="4" t="s">
        <v>10</v>
      </c>
      <c r="N29" s="7" t="s">
        <v>235</v>
      </c>
      <c r="O29" s="7" t="s">
        <v>234</v>
      </c>
      <c r="P29" s="7" t="s">
        <v>236</v>
      </c>
      <c r="Q29" s="7" t="s">
        <v>237</v>
      </c>
      <c r="R29" s="7" t="s">
        <v>19</v>
      </c>
      <c r="T29" s="27" t="s">
        <v>0</v>
      </c>
      <c r="U29" s="28" t="s">
        <v>45</v>
      </c>
      <c r="V29" s="28" t="s">
        <v>33</v>
      </c>
      <c r="W29" s="29" t="s">
        <v>34</v>
      </c>
    </row>
    <row r="30" spans="1:23" x14ac:dyDescent="0.25">
      <c r="K30" s="9" t="s">
        <v>1</v>
      </c>
      <c r="L30" s="16">
        <f ref="L30:L38" si="24" t="shared">L17-B17</f>
        <v>-1.418466782318309E-3</v>
      </c>
      <c r="M30" s="16">
        <f ref="M30:M38" si="25" t="shared">M17-C17</f>
        <v>2.442131034825884E-2</v>
      </c>
      <c r="N30" s="16">
        <f ref="N30:N38" si="26" t="shared">N17-D17</f>
        <v>4.7977902303829034E-3</v>
      </c>
      <c r="O30" s="16">
        <f ref="O30:O38" si="27" t="shared">O17-E17</f>
        <v>1.8205053335557636E-2</v>
      </c>
      <c r="P30" s="16">
        <f ref="P30:P38" si="28" t="shared">P17-F17</f>
        <v>1.6491918627158764E-2</v>
      </c>
      <c r="Q30" s="16">
        <f ref="Q30:Q38" si="29" t="shared">Q17-G17</f>
        <v>6.5109249387817515E-3</v>
      </c>
      <c r="R30" s="16">
        <f ref="R30:R38" si="30" t="shared">R17-I17</f>
        <v>1.7128858044251849E-2</v>
      </c>
      <c r="T30" s="23" t="s">
        <v>1</v>
      </c>
      <c r="U30" s="24">
        <f>I17</f>
        <v>0.46157565015422358</v>
      </c>
      <c r="V30" s="24">
        <f ref="V30:V38" si="31" t="shared">R17</f>
        <v>0.47870450819847543</v>
      </c>
      <c r="W30" s="24">
        <f>V30-U30</f>
        <v>1.7128858044251849E-2</v>
      </c>
    </row>
    <row r="31" spans="1:23" x14ac:dyDescent="0.25">
      <c r="K31" s="9" t="s">
        <v>2</v>
      </c>
      <c r="L31" s="16">
        <f si="24" t="shared"/>
        <v>-2.2984174274072941E-3</v>
      </c>
      <c r="M31" s="16">
        <f si="25" t="shared"/>
        <v>-2.3361421756434575E-2</v>
      </c>
      <c r="N31" s="16">
        <f si="26" t="shared"/>
        <v>-4.34185888863374E-2</v>
      </c>
      <c r="O31" s="16">
        <f si="27" t="shared"/>
        <v>1.7758749702495538E-2</v>
      </c>
      <c r="P31" s="16">
        <f si="28" t="shared"/>
        <v>-3.9908984827061345E-2</v>
      </c>
      <c r="Q31" s="16">
        <f si="29" t="shared"/>
        <v>1.4249145643219441E-2</v>
      </c>
      <c r="R31" s="16">
        <f si="30" t="shared"/>
        <v>-2.9636670784300878E-2</v>
      </c>
      <c r="T31" s="30" t="s">
        <v>2</v>
      </c>
      <c r="U31" s="31">
        <f ref="U31:U38" si="32" t="shared">I18</f>
        <v>0.31249798365318948</v>
      </c>
      <c r="V31" s="31">
        <f si="31" t="shared"/>
        <v>0.2828613128688886</v>
      </c>
      <c r="W31" s="31">
        <f ref="W31:W38" si="33" t="shared">V31-U31</f>
        <v>-2.9636670784300878E-2</v>
      </c>
    </row>
    <row r="32" spans="1:23" x14ac:dyDescent="0.25">
      <c r="K32" s="9" t="s">
        <v>3</v>
      </c>
      <c r="L32" s="16">
        <f si="24" t="shared"/>
        <v>9.9850869465667284E-5</v>
      </c>
      <c r="M32" s="16">
        <f si="25" t="shared"/>
        <v>-2.5272082480261582E-3</v>
      </c>
      <c r="N32" s="16">
        <f si="26" t="shared"/>
        <v>-3.3166448973954307E-2</v>
      </c>
      <c r="O32" s="16">
        <f si="27" t="shared"/>
        <v>3.0739091595393828E-2</v>
      </c>
      <c r="P32" s="16">
        <f si="28" t="shared"/>
        <v>-6.2441773065562978E-3</v>
      </c>
      <c r="Q32" s="16">
        <f si="29" t="shared"/>
        <v>3.8168199279957999E-3</v>
      </c>
      <c r="R32" s="16">
        <f si="30" t="shared"/>
        <v>-4.642827355759549E-3</v>
      </c>
      <c r="T32" s="23" t="s">
        <v>3</v>
      </c>
      <c r="U32" s="24">
        <f si="32" t="shared"/>
        <v>0.17409082663670766</v>
      </c>
      <c r="V32" s="24">
        <f si="31" t="shared"/>
        <v>0.16944799928094811</v>
      </c>
      <c r="W32" s="24">
        <f si="33" t="shared"/>
        <v>-4.642827355759549E-3</v>
      </c>
    </row>
    <row r="33" spans="11:23" x14ac:dyDescent="0.25">
      <c r="K33" s="9" t="s">
        <v>4</v>
      </c>
      <c r="L33" s="16">
        <f si="24" t="shared"/>
        <v>-1.2125078350742458E-4</v>
      </c>
      <c r="M33" s="16">
        <f si="25" t="shared"/>
        <v>-1.2406548394802526E-3</v>
      </c>
      <c r="N33" s="16">
        <f si="26" t="shared"/>
        <v>-1.3619056229876773E-3</v>
      </c>
      <c r="O33" s="16">
        <f si="27" t="shared"/>
        <v>0</v>
      </c>
      <c r="P33" s="16">
        <f si="28" t="shared"/>
        <v>-1.3619056229876773E-3</v>
      </c>
      <c r="Q33" s="16">
        <f si="29" t="shared"/>
        <v>0</v>
      </c>
      <c r="R33" s="16">
        <f si="30" t="shared"/>
        <v>0</v>
      </c>
      <c r="T33" s="30" t="s">
        <v>4</v>
      </c>
      <c r="U33" s="31">
        <f si="32" t="shared"/>
        <v>0</v>
      </c>
      <c r="V33" s="31">
        <f si="31" t="shared"/>
        <v>0</v>
      </c>
      <c r="W33" s="31">
        <f si="33" t="shared"/>
        <v>0</v>
      </c>
    </row>
    <row r="34" spans="11:23" x14ac:dyDescent="0.25">
      <c r="K34" s="9" t="s">
        <v>5</v>
      </c>
      <c r="L34" s="16">
        <f si="24" t="shared"/>
        <v>-9.0391784568740908E-3</v>
      </c>
      <c r="M34" s="16">
        <f si="25" t="shared"/>
        <v>-1.354918428885385E-3</v>
      </c>
      <c r="N34" s="16">
        <f si="26" t="shared"/>
        <v>-9.3762063354118422E-3</v>
      </c>
      <c r="O34" s="16">
        <f si="27" t="shared"/>
        <v>-1.0178905503476364E-3</v>
      </c>
      <c r="P34" s="16">
        <f si="28" t="shared"/>
        <v>-1.0356647258589693E-2</v>
      </c>
      <c r="Q34" s="16">
        <f si="29" t="shared"/>
        <v>-3.7449627169783175E-5</v>
      </c>
      <c r="R34" s="16">
        <f si="30" t="shared"/>
        <v>8.6542761307067256E-4</v>
      </c>
      <c r="T34" s="23" t="s">
        <v>5</v>
      </c>
      <c r="U34" s="24">
        <f si="32" t="shared"/>
        <v>8.2126023559844167E-3</v>
      </c>
      <c r="V34" s="24">
        <f si="31" t="shared"/>
        <v>9.0780299690550893E-3</v>
      </c>
      <c r="W34" s="24">
        <f si="33" t="shared"/>
        <v>8.6542761307067256E-4</v>
      </c>
    </row>
    <row r="35" spans="11:23" x14ac:dyDescent="0.25">
      <c r="K35" s="9" t="s">
        <v>6</v>
      </c>
      <c r="L35" s="16">
        <f si="24" t="shared"/>
        <v>8.8121511910855307E-4</v>
      </c>
      <c r="M35" s="16">
        <f si="25" t="shared"/>
        <v>1.8625283682833639E-3</v>
      </c>
      <c r="N35" s="16">
        <f si="26" t="shared"/>
        <v>8.3483195217335521E-4</v>
      </c>
      <c r="O35" s="16">
        <f si="27" t="shared"/>
        <v>1.9089115352185619E-3</v>
      </c>
      <c r="P35" s="16">
        <f si="28" t="shared"/>
        <v>2.2130147197526751E-3</v>
      </c>
      <c r="Q35" s="16">
        <f si="29" t="shared"/>
        <v>5.307287676392414E-4</v>
      </c>
      <c r="R35" s="16">
        <f si="30" t="shared"/>
        <v>2.6986172170423107E-3</v>
      </c>
      <c r="T35" s="30" t="s">
        <v>6</v>
      </c>
      <c r="U35" s="31">
        <f si="32" t="shared"/>
        <v>3.5460059441323119E-3</v>
      </c>
      <c r="V35" s="31">
        <f si="31" t="shared"/>
        <v>6.2446231611746226E-3</v>
      </c>
      <c r="W35" s="31">
        <f si="33" t="shared"/>
        <v>2.6986172170423107E-3</v>
      </c>
    </row>
    <row r="36" spans="11:23" x14ac:dyDescent="0.25">
      <c r="K36" s="9" t="s">
        <v>7</v>
      </c>
      <c r="L36" s="16">
        <f si="24" t="shared"/>
        <v>1.8800938400607009E-3</v>
      </c>
      <c r="M36" s="16">
        <f si="25" t="shared"/>
        <v>1.2855503876818733E-2</v>
      </c>
      <c r="N36" s="16">
        <f si="26" t="shared"/>
        <v>6.9248876912204362E-3</v>
      </c>
      <c r="O36" s="16">
        <f si="27" t="shared"/>
        <v>7.810710025658996E-3</v>
      </c>
      <c r="P36" s="16">
        <f si="28" t="shared"/>
        <v>1.2870439623489924E-2</v>
      </c>
      <c r="Q36" s="16">
        <f si="29" t="shared"/>
        <v>1.8651580933895105E-3</v>
      </c>
      <c r="R36" s="16">
        <f si="30" t="shared"/>
        <v>1.4233817477889509E-2</v>
      </c>
      <c r="T36" s="23" t="s">
        <v>7</v>
      </c>
      <c r="U36" s="24">
        <f si="32" t="shared"/>
        <v>3.9429709043568628E-2</v>
      </c>
      <c r="V36" s="24">
        <f si="31" t="shared"/>
        <v>5.3663526521458137E-2</v>
      </c>
      <c r="W36" s="24">
        <f si="33" t="shared"/>
        <v>1.4233817477889509E-2</v>
      </c>
    </row>
    <row r="37" spans="11:23" x14ac:dyDescent="0.25">
      <c r="K37" s="14" t="s">
        <v>8</v>
      </c>
      <c r="L37" s="17">
        <f si="24" t="shared"/>
        <v>-2.3377122773648984E-4</v>
      </c>
      <c r="M37" s="17">
        <f si="25" t="shared"/>
        <v>-4.0521447132578378E-4</v>
      </c>
      <c r="N37" s="17">
        <f si="26" t="shared"/>
        <v>-2.3377122773648984E-4</v>
      </c>
      <c r="O37" s="17">
        <f si="27" t="shared"/>
        <v>-4.0521447132578378E-4</v>
      </c>
      <c r="P37" s="17">
        <f si="28" t="shared"/>
        <v>-6.3898569906227357E-4</v>
      </c>
      <c r="Q37" s="17">
        <f si="29" t="shared"/>
        <v>0</v>
      </c>
      <c r="R37" s="17">
        <f si="30" t="shared"/>
        <v>-6.4722221219391763E-4</v>
      </c>
      <c r="T37" s="32" t="s">
        <v>8</v>
      </c>
      <c r="U37" s="33">
        <f si="32" t="shared"/>
        <v>6.4722221219391763E-4</v>
      </c>
      <c r="V37" s="33">
        <f si="31" t="shared"/>
        <v>0</v>
      </c>
      <c r="W37" s="33">
        <f si="33" t="shared"/>
        <v>-6.4722221219391763E-4</v>
      </c>
    </row>
    <row ht="15.75" r="38" spans="11:23" thickBot="1" x14ac:dyDescent="0.3">
      <c r="K38" s="13" t="s">
        <v>19</v>
      </c>
      <c r="L38" s="18">
        <f si="24" t="shared"/>
        <v>-1.0249924849208697E-2</v>
      </c>
      <c r="M38" s="18">
        <f si="25" t="shared"/>
        <v>1.0249924849208836E-2</v>
      </c>
      <c r="N38" s="18">
        <f si="26" t="shared"/>
        <v>-7.4999411172650965E-2</v>
      </c>
      <c r="O38" s="18">
        <f si="27" t="shared"/>
        <v>7.4999411172651131E-2</v>
      </c>
      <c r="P38" s="18">
        <f si="28" t="shared"/>
        <v>-2.6935327743855986E-2</v>
      </c>
      <c r="Q38" s="18">
        <f si="29" t="shared"/>
        <v>2.6935327743855965E-2</v>
      </c>
      <c r="R38" s="18">
        <f si="30" t="shared"/>
        <v>0</v>
      </c>
      <c r="T38" s="25" t="s">
        <v>19</v>
      </c>
      <c r="U38" s="26">
        <f si="32" t="shared"/>
        <v>1</v>
      </c>
      <c r="V38" s="26">
        <f si="31" t="shared"/>
        <v>1</v>
      </c>
      <c r="W38" s="26">
        <f si="33" t="shared"/>
        <v>0</v>
      </c>
    </row>
  </sheetData>
  <pageMargins bottom="0.75" footer="0.3" header="0.3" left="0.7" right="0.7" top="0.75"/>
  <pageSetup orientation="portrait" r:id="rId1"/>
  <ignoredErrors>
    <ignoredError formulaRange="1" sqref="R4:R11"/>
  </ignoredErrors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2:X38"/>
  <sheetViews>
    <sheetView workbookViewId="0">
      <selection activeCell="J3" sqref="J3:J12"/>
    </sheetView>
  </sheetViews>
  <sheetFormatPr defaultRowHeight="15" x14ac:dyDescent="0.25"/>
  <cols>
    <col min="1" max="9" customWidth="true" width="16.7109375" collapsed="true"/>
    <col min="11" max="18" customWidth="true" width="16.7109375" collapsed="true"/>
    <col min="20" max="20" customWidth="true" width="16.7109375" collapsed="true"/>
    <col min="21" max="23" customWidth="true" width="11.85546875" collapsed="true"/>
  </cols>
  <sheetData>
    <row ht="15.75" r="2" spans="1:18" thickBot="1" x14ac:dyDescent="0.3">
      <c r="A2" s="1" t="s">
        <v>283</v>
      </c>
      <c r="B2" s="1"/>
      <c r="C2" s="3"/>
      <c r="D2" s="3"/>
      <c r="E2" s="3"/>
      <c r="F2" s="3"/>
      <c r="G2" s="3"/>
      <c r="H2" s="3" t="s">
        <v>313</v>
      </c>
      <c r="I2" s="3"/>
      <c r="K2" s="1" t="s">
        <v>15</v>
      </c>
      <c r="L2" s="1"/>
      <c r="M2" s="3"/>
      <c r="N2" s="3"/>
      <c r="O2" s="3"/>
      <c r="P2" s="3"/>
      <c r="Q2" s="3"/>
      <c r="R2" s="3"/>
    </row>
    <row r="3" spans="1:18" x14ac:dyDescent="0.25">
      <c r="A3" s="2" t="s">
        <v>0</v>
      </c>
      <c r="B3" s="4" t="s">
        <v>9</v>
      </c>
      <c r="C3" s="4" t="s">
        <v>10</v>
      </c>
      <c r="D3" s="7" t="s">
        <v>235</v>
      </c>
      <c r="E3" s="7" t="s">
        <v>234</v>
      </c>
      <c r="F3" s="7" t="s">
        <v>236</v>
      </c>
      <c r="G3" s="7" t="s">
        <v>237</v>
      </c>
      <c r="H3" s="110" t="s">
        <v>278</v>
      </c>
      <c r="I3" s="7" t="s">
        <v>19</v>
      </c>
      <c r="J3" s="133" t="s">
        <v>331</v>
      </c>
      <c r="K3" s="2" t="s">
        <v>0</v>
      </c>
      <c r="L3" s="4" t="s">
        <v>9</v>
      </c>
      <c r="M3" s="4" t="s">
        <v>10</v>
      </c>
      <c r="N3" s="7" t="s">
        <v>235</v>
      </c>
      <c r="O3" s="7" t="s">
        <v>234</v>
      </c>
      <c r="P3" s="7" t="s">
        <v>236</v>
      </c>
      <c r="Q3" s="7" t="s">
        <v>237</v>
      </c>
      <c r="R3" s="7" t="s">
        <v>19</v>
      </c>
    </row>
    <row r="4" spans="1:18" x14ac:dyDescent="0.25">
      <c r="A4" s="9" t="s">
        <v>1</v>
      </c>
      <c r="B4" s="9" t="n">
        <v>370.763758</v>
      </c>
      <c r="C4" s="9" t="n">
        <v>73428.216296</v>
      </c>
      <c r="D4" s="9" t="n">
        <v>63023.513343</v>
      </c>
      <c r="E4" s="9" t="n">
        <v>10775.466711</v>
      </c>
      <c r="F4" s="9" t="n">
        <v>72746.800173</v>
      </c>
      <c r="G4" s="9" t="n">
        <v>1052.179881</v>
      </c>
      <c r="H4" s="111"/>
      <c r="I4" s="9">
        <f>SUM($B4:$C4)*(SUM($B$12:$C$12)-SUM($I$7:$I$8))/(SUM($B$12:$C$12)-SUM($B$7:$C$8))</f>
        <v>75118.141389851167</v>
      </c>
      <c r="J4" s="125">
        <f>I4*(R$12-SUM($I$7:$I$8))/(I$12-SUM($I$7:$I$8))</f>
        <v>83664.896964733576</v>
      </c>
      <c r="K4" s="118" t="str">
        <f>A4</f>
        <v>Drive Alone</v>
      </c>
      <c r="L4" s="9" t="n">
        <v>0.0</v>
      </c>
      <c r="M4" s="9" t="n">
        <v>77489.0</v>
      </c>
      <c r="N4" s="9" t="n">
        <v>63308.0</v>
      </c>
      <c r="O4" s="9" t="n">
        <v>14181.0</v>
      </c>
      <c r="P4" s="9" t="n">
        <v>74622.0</v>
      </c>
      <c r="Q4" s="9" t="n">
        <v>2867.0</v>
      </c>
      <c r="R4" s="9">
        <f>SUM(L4:M4)</f>
        <v>77441</v>
      </c>
    </row>
    <row r="5" spans="1:18" x14ac:dyDescent="0.25">
      <c r="A5" s="9" t="s">
        <v>2</v>
      </c>
      <c r="B5" s="9" t="n">
        <v>1635.759569</v>
      </c>
      <c r="C5" s="9" t="n">
        <v>42050.586126</v>
      </c>
      <c r="D5" s="9" t="n">
        <v>28020.941526</v>
      </c>
      <c r="E5" s="9" t="n">
        <v>15665.404169</v>
      </c>
      <c r="F5" s="9" t="n">
        <v>40846.847105</v>
      </c>
      <c r="G5" s="9" t="n">
        <v>2839.49859</v>
      </c>
      <c r="H5" s="111"/>
      <c r="I5" s="9">
        <f ref="I5:I6" si="0" t="shared">SUM($B5:$C5)*(SUM($B$12:$C$12)-SUM($I$7:$I$8))/(SUM($B$12:$C$12)-SUM($B$7:$C$8))</f>
        <v>44467.241828026556</v>
      </c>
      <c r="J5" s="125">
        <f ref="J5:J6" si="1" t="shared">I5*(R$12-SUM($I$7:$I$8))/(I$12-SUM($I$7:$I$8))</f>
        <v>49526.614170866189</v>
      </c>
      <c r="K5" s="12" t="str">
        <f ref="K5:K11" si="2" t="shared">A5</f>
        <v>Shared Ride 2</v>
      </c>
      <c r="L5" s="9" t="n">
        <v>3185.0</v>
      </c>
      <c r="M5" s="9" t="n">
        <v>41810.0</v>
      </c>
      <c r="N5" s="9" t="n">
        <v>30637.0</v>
      </c>
      <c r="O5" s="9" t="n">
        <v>14358.0</v>
      </c>
      <c r="P5" s="9" t="n">
        <v>42243.0</v>
      </c>
      <c r="Q5" s="9" t="n">
        <v>2752.0</v>
      </c>
      <c r="R5" s="9">
        <f ref="R5:R12" si="3" t="shared">SUM(L5:M5)</f>
        <v>44587</v>
      </c>
    </row>
    <row r="6" spans="1:18" x14ac:dyDescent="0.25">
      <c r="A6" s="9" t="s">
        <v>3</v>
      </c>
      <c r="B6" s="9" t="n">
        <v>941.2668709999999</v>
      </c>
      <c r="C6" s="9" t="n">
        <v>14820.425899</v>
      </c>
      <c r="D6" s="9" t="n">
        <v>12500.956792</v>
      </c>
      <c r="E6" s="9" t="n">
        <v>3260.735978</v>
      </c>
      <c r="F6" s="9" t="n">
        <v>15578.472547</v>
      </c>
      <c r="G6" s="9" t="n">
        <v>183.220223</v>
      </c>
      <c r="H6" s="111"/>
      <c r="I6" s="9">
        <f si="0" t="shared"/>
        <v>16043.434003747878</v>
      </c>
      <c r="J6" s="125">
        <f si="1" t="shared"/>
        <v>17868.816081562643</v>
      </c>
      <c r="K6" s="12" t="str">
        <f si="2" t="shared"/>
        <v>Shared Ride 3+</v>
      </c>
      <c r="L6" s="9" t="n">
        <v>994.0</v>
      </c>
      <c r="M6" s="9" t="n">
        <v>25707.0</v>
      </c>
      <c r="N6" s="9" t="n">
        <v>16613.0</v>
      </c>
      <c r="O6" s="9" t="n">
        <v>10088.0</v>
      </c>
      <c r="P6" s="9" t="n">
        <v>26234.0</v>
      </c>
      <c r="Q6" s="9" t="n">
        <v>467.0</v>
      </c>
      <c r="R6" s="9">
        <f si="3" t="shared"/>
        <v>26753</v>
      </c>
    </row>
    <row r="7" spans="1:18" x14ac:dyDescent="0.25">
      <c r="A7" s="9" t="s">
        <v>4</v>
      </c>
      <c r="B7" s="9" t="n">
        <v>137.011743</v>
      </c>
      <c r="C7" s="9" t="n">
        <v>102.630533</v>
      </c>
      <c r="D7" s="9" t="n">
        <v>137.011743</v>
      </c>
      <c r="E7" s="9" t="n">
        <v>102.630533</v>
      </c>
      <c r="F7" s="9" t="n">
        <v>137.011743</v>
      </c>
      <c r="G7" s="9" t="n">
        <v>102.630533</v>
      </c>
      <c r="H7" s="111">
        <v>0</v>
      </c>
      <c r="I7" s="119">
        <f>(H7*SUM($B$12:$C$12)/(SUM(Personal_Business!$B$12:$C$12)+SUM(Shop!$B$12:$C$12)+SUM(Meal!$B$12:$C$12)+SUM(SocRec!$B$12:$C$12)))</f>
        <v>0</v>
      </c>
      <c r="J7" s="9">
        <f>I7</f>
        <v>0</v>
      </c>
      <c r="K7" s="12" t="str">
        <f si="2" t="shared"/>
        <v>Drive-Transit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 t="n">
        <v>0.0</v>
      </c>
      <c r="R7" s="9">
        <f si="3" t="shared"/>
        <v>0</v>
      </c>
    </row>
    <row r="8" spans="1:18" x14ac:dyDescent="0.25">
      <c r="A8" s="9" t="s">
        <v>5</v>
      </c>
      <c r="B8" s="9" t="n">
        <v>3102.739614</v>
      </c>
      <c r="C8" s="9" t="n">
        <v>279.399991</v>
      </c>
      <c r="D8" s="9" t="n">
        <v>3298.46825</v>
      </c>
      <c r="E8" s="9" t="n">
        <v>83.671355</v>
      </c>
      <c r="F8" s="9" t="n">
        <v>3382.139605</v>
      </c>
      <c r="G8" s="9" t="n">
        <v>0.0</v>
      </c>
      <c r="H8" s="111">
        <f>1.1*4651.16092221859</f>
        <v>5116.2770144404494</v>
      </c>
      <c r="I8" s="119">
        <f>(H8*SUM($B$12:$C$12)/(SUM(Personal_Business!$B$12:$C$12)+SUM(Shop!$B$12:$C$12)+SUM(Meal!$B$12:$C$12)+SUM(SocRec!$B$12:$C$12)))</f>
        <v>1160.5460156271411</v>
      </c>
      <c r="J8" s="9">
        <f>I8</f>
        <v>1160.5460156271411</v>
      </c>
      <c r="K8" s="12" t="str">
        <f si="2" t="shared"/>
        <v>Walk-Transit</v>
      </c>
      <c r="L8" s="9" t="n">
        <v>1017.0</v>
      </c>
      <c r="M8" s="9" t="n">
        <v>98.0</v>
      </c>
      <c r="N8" s="9" t="n">
        <v>1070.0</v>
      </c>
      <c r="O8" s="9" t="n">
        <v>45.0</v>
      </c>
      <c r="P8" s="9" t="n">
        <v>1103.0</v>
      </c>
      <c r="Q8" s="9" t="n">
        <v>12.0</v>
      </c>
      <c r="R8" s="9">
        <f si="3" t="shared"/>
        <v>1319</v>
      </c>
    </row>
    <row r="9" spans="1:18" x14ac:dyDescent="0.25">
      <c r="A9" s="9" t="s">
        <v>6</v>
      </c>
      <c r="B9" s="9" t="n">
        <v>336.59556699999996</v>
      </c>
      <c r="C9" s="9" t="n">
        <v>237.204087</v>
      </c>
      <c r="D9" s="9" t="n">
        <v>525.5290299999999</v>
      </c>
      <c r="E9" s="9" t="n">
        <v>48.270624</v>
      </c>
      <c r="F9" s="9" t="n">
        <v>573.7996539999999</v>
      </c>
      <c r="G9" s="9" t="n">
        <v>0.0</v>
      </c>
      <c r="H9" s="111"/>
      <c r="I9" s="9">
        <f ref="I9:I11" si="4" t="shared">SUM($B9:$C9)*(SUM($B$12:$C$12)-SUM($I$7:$I$8))/(SUM($B$12:$C$12)-SUM($B$7:$C$8))</f>
        <v>584.05635832745429</v>
      </c>
      <c r="J9" s="125">
        <f>I9*(R$12-SUM($I$7:$I$8))/(I$12-SUM($I$7:$I$8))</f>
        <v>650.50884030080488</v>
      </c>
      <c r="K9" s="12" t="str">
        <f si="2" t="shared"/>
        <v>Bike</v>
      </c>
      <c r="L9" s="9" t="n">
        <v>134.0</v>
      </c>
      <c r="M9" s="9" t="n">
        <v>807.0</v>
      </c>
      <c r="N9" s="9" t="n">
        <v>642.0</v>
      </c>
      <c r="O9" s="9" t="n">
        <v>299.0</v>
      </c>
      <c r="P9" s="9" t="n">
        <v>869.0</v>
      </c>
      <c r="Q9" s="9" t="n">
        <v>72.0</v>
      </c>
      <c r="R9" s="9">
        <f si="3" t="shared"/>
        <v>917</v>
      </c>
    </row>
    <row r="10" spans="1:18" x14ac:dyDescent="0.25">
      <c r="A10" s="9" t="s">
        <v>7</v>
      </c>
      <c r="B10" s="9" t="n">
        <v>1192.990899</v>
      </c>
      <c r="C10" s="9" t="n">
        <v>2677.231137</v>
      </c>
      <c r="D10" s="9" t="n">
        <v>2032.292107</v>
      </c>
      <c r="E10" s="9" t="n">
        <v>1837.929929</v>
      </c>
      <c r="F10" s="9" t="n">
        <v>3431.075451</v>
      </c>
      <c r="G10" s="9" t="n">
        <v>439.146585</v>
      </c>
      <c r="H10" s="111"/>
      <c r="I10" s="9">
        <f si="4" t="shared"/>
        <v>3939.4024944198136</v>
      </c>
      <c r="J10" s="125">
        <f ref="J10:J11" si="5" t="shared">I10*(R$12-SUM($I$7:$I$8))/(I$12-SUM($I$7:$I$8))</f>
        <v>4387.6179269096947</v>
      </c>
      <c r="K10" s="12" t="str">
        <f si="2" t="shared"/>
        <v>Walk</v>
      </c>
      <c r="L10" s="9" t="n">
        <v>1247.0</v>
      </c>
      <c r="M10" s="9" t="n">
        <v>5158.0</v>
      </c>
      <c r="N10" s="9" t="n">
        <v>4323.0</v>
      </c>
      <c r="O10" s="9" t="n">
        <v>2082.0</v>
      </c>
      <c r="P10" s="9" t="n">
        <v>5925.0</v>
      </c>
      <c r="Q10" s="9" t="n">
        <v>480.0</v>
      </c>
      <c r="R10" s="9">
        <f si="3" t="shared"/>
        <v>6242</v>
      </c>
    </row>
    <row r="11" spans="1:18" x14ac:dyDescent="0.25">
      <c r="A11" s="14" t="s">
        <v>8</v>
      </c>
      <c r="B11" s="14" t="n">
        <v>0.0</v>
      </c>
      <c r="C11" s="14" t="n">
        <v>0.0</v>
      </c>
      <c r="D11" s="14" t="n">
        <v>0.0</v>
      </c>
      <c r="E11" s="14" t="n">
        <v>0.0</v>
      </c>
      <c r="F11" s="14" t="n">
        <v>0.0</v>
      </c>
      <c r="G11" s="14" t="n">
        <v>0.0</v>
      </c>
      <c r="H11" s="112"/>
      <c r="I11" s="14">
        <f si="4" t="shared"/>
        <v>0</v>
      </c>
      <c r="J11" s="125">
        <f si="5" t="shared"/>
        <v>0</v>
      </c>
      <c r="K11" s="14" t="str">
        <f si="2" t="shared"/>
        <v>School Bus</v>
      </c>
      <c r="L11" s="14" t="n">
        <v>0.0</v>
      </c>
      <c r="M11" s="14" t="n">
        <v>0.0</v>
      </c>
      <c r="N11" s="14" t="n">
        <v>0.0</v>
      </c>
      <c r="O11" s="14" t="n">
        <v>0.0</v>
      </c>
      <c r="P11" s="14" t="n">
        <v>0.0</v>
      </c>
      <c r="Q11" s="14" t="n">
        <v>0.0</v>
      </c>
      <c r="R11" s="14">
        <f si="3" t="shared"/>
        <v>0</v>
      </c>
    </row>
    <row ht="15.75" r="12" spans="1:18" thickBot="1" x14ac:dyDescent="0.3">
      <c r="A12" s="13" t="s">
        <v>19</v>
      </c>
      <c r="B12" s="10">
        <f>SUM(B4:B11)</f>
        <v>7717.1280210000004</v>
      </c>
      <c r="C12" s="10">
        <f>SUM(C4:C11)</f>
        <v>133595.69406900002</v>
      </c>
      <c r="D12" s="10">
        <f ref="D12:H12" si="6" t="shared">SUM(D4:D11)</f>
        <v>109538.712791</v>
      </c>
      <c r="E12" s="10">
        <f si="6" t="shared"/>
        <v>31774.109298999996</v>
      </c>
      <c r="F12" s="10">
        <f si="6" t="shared"/>
        <v>136696.146278</v>
      </c>
      <c r="G12" s="10">
        <f si="6" t="shared"/>
        <v>4616.6758120000004</v>
      </c>
      <c r="H12" s="113">
        <f si="6" t="shared"/>
        <v>5116.2770144404494</v>
      </c>
      <c r="I12" s="10">
        <f>SUM(I4:I11)</f>
        <v>141312.82208999997</v>
      </c>
      <c r="J12" s="131">
        <f>SUM(J4:J11)</f>
        <v>157259.00000000003</v>
      </c>
      <c r="K12" s="13" t="s">
        <v>19</v>
      </c>
      <c r="L12" s="10">
        <f>SUM(L4:L11)</f>
        <v>6536</v>
      </c>
      <c r="M12" s="10">
        <f>SUM(M4:M11)</f>
        <v>150723</v>
      </c>
      <c r="N12" s="10">
        <f ref="N12:Q12" si="7" t="shared">SUM(N4:N11)</f>
        <v>116060</v>
      </c>
      <c r="O12" s="10">
        <f si="7" t="shared"/>
        <v>41199</v>
      </c>
      <c r="P12" s="10">
        <f si="7" t="shared"/>
        <v>150618</v>
      </c>
      <c r="Q12" s="10">
        <f si="7" t="shared"/>
        <v>6641</v>
      </c>
      <c r="R12" s="10">
        <f si="3" t="shared"/>
        <v>157259</v>
      </c>
    </row>
    <row r="13" spans="1:18" x14ac:dyDescent="0.25">
      <c r="B13" s="120">
        <f>B7/SUM($B7:$C7)</f>
        <v>0.57173444221502889</v>
      </c>
      <c r="C13" s="120">
        <f ref="C13:G14" si="8" t="shared">C7/SUM($B7:$C7)</f>
        <v>0.42826555778497116</v>
      </c>
      <c r="D13" s="120">
        <f si="8" t="shared"/>
        <v>0.57173444221502889</v>
      </c>
      <c r="E13" s="120">
        <f si="8" t="shared"/>
        <v>0.42826555778497116</v>
      </c>
      <c r="F13" s="120">
        <f si="8" t="shared"/>
        <v>0.57173444221502889</v>
      </c>
      <c r="G13" s="120">
        <f si="8" t="shared"/>
        <v>0.42826555778497116</v>
      </c>
    </row>
    <row r="14" spans="1:18" x14ac:dyDescent="0.25">
      <c r="B14" s="120">
        <f>B8/SUM($B8:$C8)</f>
        <v>0.9173895747570715</v>
      </c>
      <c r="C14" s="120">
        <f si="8" t="shared"/>
        <v>8.2610425242928429E-2</v>
      </c>
      <c r="D14" s="120">
        <f si="8" t="shared"/>
        <v>0.97526082161827254</v>
      </c>
      <c r="E14" s="120">
        <f si="8" t="shared"/>
        <v>2.4739178381727386E-2</v>
      </c>
      <c r="F14" s="120">
        <f si="8" t="shared"/>
        <v>0.99999999999999989</v>
      </c>
      <c r="G14" s="120">
        <f si="8" t="shared"/>
        <v>0</v>
      </c>
    </row>
    <row ht="15.75" r="15" spans="1:18" thickBot="1" x14ac:dyDescent="0.3">
      <c r="A15" s="1" t="s">
        <v>283</v>
      </c>
      <c r="B15" s="1"/>
      <c r="C15" s="3"/>
      <c r="D15" s="3"/>
      <c r="E15" s="3"/>
      <c r="F15" s="3"/>
      <c r="G15" s="3"/>
      <c r="H15" s="3"/>
      <c r="I15" s="3"/>
      <c r="K15" s="1" t="s">
        <v>15</v>
      </c>
      <c r="L15" s="1"/>
      <c r="M15" s="3"/>
      <c r="N15" s="3"/>
      <c r="O15" s="3"/>
      <c r="P15" s="3"/>
      <c r="Q15" s="3"/>
      <c r="R15" s="3"/>
    </row>
    <row r="16" spans="1:18" x14ac:dyDescent="0.25">
      <c r="A16" s="2" t="s">
        <v>0</v>
      </c>
      <c r="B16" s="4" t="s">
        <v>9</v>
      </c>
      <c r="C16" s="4" t="s">
        <v>10</v>
      </c>
      <c r="D16" s="7" t="s">
        <v>235</v>
      </c>
      <c r="E16" s="7" t="s">
        <v>234</v>
      </c>
      <c r="F16" s="7" t="s">
        <v>236</v>
      </c>
      <c r="G16" s="7" t="s">
        <v>237</v>
      </c>
      <c r="H16" s="7" t="s">
        <v>278</v>
      </c>
      <c r="I16" s="7" t="s">
        <v>19</v>
      </c>
      <c r="K16" s="2" t="s">
        <v>0</v>
      </c>
      <c r="L16" s="4" t="s">
        <v>9</v>
      </c>
      <c r="M16" s="4" t="s">
        <v>10</v>
      </c>
      <c r="N16" s="7" t="s">
        <v>235</v>
      </c>
      <c r="O16" s="7" t="s">
        <v>234</v>
      </c>
      <c r="P16" s="7" t="s">
        <v>236</v>
      </c>
      <c r="Q16" s="7" t="s">
        <v>237</v>
      </c>
      <c r="R16" s="7" t="s">
        <v>19</v>
      </c>
    </row>
    <row r="17" spans="1:23" x14ac:dyDescent="0.25">
      <c r="A17" s="9" t="s">
        <v>1</v>
      </c>
      <c r="B17" s="16">
        <f ref="B17:H17" si="9" t="shared">B4/$I$12</f>
        <v>2.6237092467367626E-3</v>
      </c>
      <c r="C17" s="16">
        <f si="9" t="shared"/>
        <v>0.51961467621978907</v>
      </c>
      <c r="D17" s="16">
        <f si="9" t="shared"/>
        <v>0.44598580943250349</v>
      </c>
      <c r="E17" s="16">
        <f si="9" t="shared"/>
        <v>7.6252576034022371E-2</v>
      </c>
      <c r="F17" s="16">
        <f si="9" t="shared"/>
        <v>0.51479263591996394</v>
      </c>
      <c r="G17" s="16">
        <f si="9" t="shared"/>
        <v>7.4457495465619023E-3</v>
      </c>
      <c r="H17" s="16">
        <f si="9" t="shared"/>
        <v>0</v>
      </c>
      <c r="I17" s="16">
        <f ref="I17:I25" si="10" t="shared">I4/$I$12</f>
        <v>0.53157342892784054</v>
      </c>
      <c r="K17" s="9" t="s">
        <v>1</v>
      </c>
      <c r="L17" s="16">
        <f ref="L17:M25" si="11" t="shared">L4/$R$12</f>
        <v>0</v>
      </c>
      <c r="M17" s="16">
        <f si="11" t="shared"/>
        <v>0.49244240393236632</v>
      </c>
      <c r="N17" s="16">
        <f ref="N17:Q17" si="12" t="shared">N4/$R$12</f>
        <v>0.40104540916577114</v>
      </c>
      <c r="O17" s="16">
        <f si="12" t="shared"/>
        <v>9.1396994766595241E-2</v>
      </c>
      <c r="P17" s="16">
        <f si="12" t="shared"/>
        <v>0.47381071989520473</v>
      </c>
      <c r="Q17" s="16">
        <f si="12" t="shared"/>
        <v>1.8631684037161624E-2</v>
      </c>
      <c r="R17" s="16">
        <f ref="R17:R25" si="13" t="shared">R4/$R$12</f>
        <v>0.49244240393236632</v>
      </c>
    </row>
    <row r="18" spans="1:23" x14ac:dyDescent="0.25">
      <c r="A18" s="9" t="s">
        <v>2</v>
      </c>
      <c r="B18" s="16">
        <f ref="B18:G25" si="14" t="shared">B5/$I$12</f>
        <v>1.1575450442552268E-2</v>
      </c>
      <c r="C18" s="16">
        <f si="14" t="shared"/>
        <v>0.29757091751531667</v>
      </c>
      <c r="D18" s="16">
        <f si="14" t="shared"/>
        <v>0.19829015592197211</v>
      </c>
      <c r="E18" s="16">
        <f si="14" t="shared"/>
        <v>0.11085621203589681</v>
      </c>
      <c r="F18" s="16">
        <f si="14" t="shared"/>
        <v>0.28905265991351636</v>
      </c>
      <c r="G18" s="16">
        <f si="14" t="shared"/>
        <v>2.00937080443526E-2</v>
      </c>
      <c r="H18" s="16">
        <f ref="H18:H24" si="15" t="shared">H5/$I$12</f>
        <v>0</v>
      </c>
      <c r="I18" s="16">
        <f si="10" t="shared"/>
        <v>0.31467237841804652</v>
      </c>
      <c r="K18" s="9" t="s">
        <v>2</v>
      </c>
      <c r="L18" s="16">
        <f si="11" t="shared"/>
        <v>1.8924195117608532E-2</v>
      </c>
      <c r="M18" s="16">
        <f si="11" t="shared"/>
        <v>0.26460170801035232</v>
      </c>
      <c r="N18" s="16">
        <f ref="N18:Q18" si="16" t="shared">N5/$R$12</f>
        <v>0.19336254204846781</v>
      </c>
      <c r="O18" s="16">
        <f si="16" t="shared"/>
        <v>9.0163361079493062E-2</v>
      </c>
      <c r="P18" s="16">
        <f si="16" t="shared"/>
        <v>0.26722158986131161</v>
      </c>
      <c r="Q18" s="16">
        <f si="16" t="shared"/>
        <v>1.6304313266649287E-2</v>
      </c>
      <c r="R18" s="16">
        <f si="13" t="shared"/>
        <v>0.28352590312796089</v>
      </c>
    </row>
    <row r="19" spans="1:23" x14ac:dyDescent="0.25">
      <c r="A19" s="9" t="s">
        <v>3</v>
      </c>
      <c r="B19" s="16">
        <f si="14" t="shared"/>
        <v>6.6608737769069636E-3</v>
      </c>
      <c r="C19" s="16">
        <f si="14" t="shared"/>
        <v>0.10487672441755566</v>
      </c>
      <c r="D19" s="16">
        <f si="14" t="shared"/>
        <v>8.8463004326941638E-2</v>
      </c>
      <c r="E19" s="16">
        <f si="14" t="shared"/>
        <v>2.3074593867521004E-2</v>
      </c>
      <c r="F19" s="16">
        <f si="14" t="shared"/>
        <v>0.11024104052694035</v>
      </c>
      <c r="G19" s="16">
        <f si="14" t="shared"/>
        <v>1.296557667522271E-3</v>
      </c>
      <c r="H19" s="16">
        <f si="15" t="shared"/>
        <v>0</v>
      </c>
      <c r="I19" s="16">
        <f si="10" t="shared"/>
        <v>0.11353133966520081</v>
      </c>
      <c r="K19" s="9" t="s">
        <v>3</v>
      </c>
      <c r="L19" s="16">
        <f si="11" t="shared"/>
        <v>6.5942171831182951E-3</v>
      </c>
      <c r="M19" s="16">
        <f si="11" t="shared"/>
        <v>0.16352641184288338</v>
      </c>
      <c r="N19" s="16">
        <f ref="N19:Q19" si="17" t="shared">N6/$R$12</f>
        <v>0.10464901849814637</v>
      </c>
      <c r="O19" s="16">
        <f si="17" t="shared"/>
        <v>6.5471610527855315E-2</v>
      </c>
      <c r="P19" s="16">
        <f si="17" t="shared"/>
        <v>0.16618444731303136</v>
      </c>
      <c r="Q19" s="16">
        <f si="17" t="shared"/>
        <v>3.9361817129703229E-3</v>
      </c>
      <c r="R19" s="16">
        <f si="13" t="shared"/>
        <v>0.1701206290260017</v>
      </c>
    </row>
    <row r="20" spans="1:23" x14ac:dyDescent="0.25">
      <c r="A20" s="9" t="s">
        <v>4</v>
      </c>
      <c r="B20" s="16">
        <f si="14" t="shared"/>
        <v>9.6956341946620613E-4</v>
      </c>
      <c r="C20" s="16">
        <f si="14" t="shared"/>
        <v>7.2626483203793205E-4</v>
      </c>
      <c r="D20" s="16">
        <f si="14" t="shared"/>
        <v>9.6956341946620613E-4</v>
      </c>
      <c r="E20" s="16">
        <f si="14" t="shared"/>
        <v>7.2626483203793205E-4</v>
      </c>
      <c r="F20" s="16">
        <f si="14" t="shared"/>
        <v>9.6956341946620613E-4</v>
      </c>
      <c r="G20" s="16">
        <f si="14" t="shared"/>
        <v>7.2626483203793205E-4</v>
      </c>
      <c r="H20" s="16">
        <f si="15" t="shared"/>
        <v>0</v>
      </c>
      <c r="I20" s="16">
        <f si="10" t="shared"/>
        <v>0</v>
      </c>
      <c r="K20" s="9" t="s">
        <v>4</v>
      </c>
      <c r="L20" s="16">
        <f si="11" t="shared"/>
        <v>0</v>
      </c>
      <c r="M20" s="16">
        <f si="11" t="shared"/>
        <v>0</v>
      </c>
      <c r="N20" s="16">
        <f ref="N20:Q20" si="18" t="shared">N7/$R$12</f>
        <v>0</v>
      </c>
      <c r="O20" s="16">
        <f si="18" t="shared"/>
        <v>0</v>
      </c>
      <c r="P20" s="16">
        <f si="18" t="shared"/>
        <v>0</v>
      </c>
      <c r="Q20" s="16">
        <f si="18" t="shared"/>
        <v>0</v>
      </c>
      <c r="R20" s="16">
        <f si="13" t="shared"/>
        <v>0</v>
      </c>
    </row>
    <row r="21" spans="1:23" x14ac:dyDescent="0.25">
      <c r="A21" s="9" t="s">
        <v>5</v>
      </c>
      <c r="B21" s="16">
        <f si="14" t="shared"/>
        <v>2.1956532805097562E-2</v>
      </c>
      <c r="C21" s="16">
        <f si="14" t="shared"/>
        <v>1.9771736695064685E-3</v>
      </c>
      <c r="D21" s="16">
        <f si="14" t="shared"/>
        <v>2.3341606240792897E-2</v>
      </c>
      <c r="E21" s="16">
        <f si="14" t="shared"/>
        <v>5.9210023381113292E-4</v>
      </c>
      <c r="F21" s="16">
        <f si="14" t="shared"/>
        <v>2.3933706474604032E-2</v>
      </c>
      <c r="G21" s="16">
        <f si="14" t="shared"/>
        <v>0</v>
      </c>
      <c r="H21" s="16">
        <f si="15" t="shared"/>
        <v>3.6205327575879638E-2</v>
      </c>
      <c r="I21" s="16">
        <f si="10" t="shared"/>
        <v>8.2126023559844202E-3</v>
      </c>
      <c r="K21" s="9" t="s">
        <v>5</v>
      </c>
      <c r="L21" s="16">
        <f si="11" t="shared"/>
        <v>7.8342098067519187E-3</v>
      </c>
      <c r="M21" s="16">
        <f si="11" t="shared"/>
        <v>5.5322747823653977E-4</v>
      </c>
      <c r="N21" s="16">
        <f ref="N21:Q21" si="19" t="shared">N8/$R$12</f>
        <v>8.1521566333246434E-3</v>
      </c>
      <c r="O21" s="16">
        <f si="19" t="shared"/>
        <v>2.3528065166381575E-4</v>
      </c>
      <c r="P21" s="16">
        <f si="19" t="shared"/>
        <v>8.3429247292682775E-3</v>
      </c>
      <c r="Q21" s="16">
        <f si="19" t="shared"/>
        <v>4.4512555720181356E-5</v>
      </c>
      <c r="R21" s="16">
        <f si="13" t="shared"/>
        <v>8.3874372849884592E-3</v>
      </c>
    </row>
    <row r="22" spans="1:23" x14ac:dyDescent="0.25">
      <c r="A22" s="9" t="s">
        <v>6</v>
      </c>
      <c r="B22" s="16">
        <f si="14" t="shared"/>
        <v>2.3819180879823304E-3</v>
      </c>
      <c r="C22" s="16">
        <f si="14" t="shared"/>
        <v>1.6785744102465687E-3</v>
      </c>
      <c r="D22" s="16">
        <f si="14" t="shared"/>
        <v>3.7189054908640814E-3</v>
      </c>
      <c r="E22" s="16">
        <f si="14" t="shared"/>
        <v>3.4158700736481771E-4</v>
      </c>
      <c r="F22" s="16">
        <f si="14" t="shared"/>
        <v>4.0604924982288989E-3</v>
      </c>
      <c r="G22" s="16">
        <f si="14" t="shared"/>
        <v>0</v>
      </c>
      <c r="H22" s="16">
        <f si="15" t="shared"/>
        <v>0</v>
      </c>
      <c r="I22" s="16">
        <f si="10" t="shared"/>
        <v>4.1330740529368082E-3</v>
      </c>
      <c r="K22" s="9" t="s">
        <v>6</v>
      </c>
      <c r="L22" s="16">
        <f si="11" t="shared"/>
        <v>1.100096019941625E-3</v>
      </c>
      <c r="M22" s="16">
        <f si="11" t="shared"/>
        <v>4.731048779402133E-3</v>
      </c>
      <c r="N22" s="16">
        <f ref="N22:Q22" si="20" t="shared">N9/$R$12</f>
        <v>3.9997710782848674E-3</v>
      </c>
      <c r="O22" s="16">
        <f si="20" t="shared"/>
        <v>1.8313737210588902E-3</v>
      </c>
      <c r="P22" s="16">
        <f si="20" t="shared"/>
        <v>5.3923781786733987E-3</v>
      </c>
      <c r="Q22" s="16">
        <f si="20" t="shared"/>
        <v>4.3876662067035907E-4</v>
      </c>
      <c r="R22" s="16">
        <f si="13" t="shared"/>
        <v>5.8311447993437578E-3</v>
      </c>
    </row>
    <row r="23" spans="1:23" x14ac:dyDescent="0.25">
      <c r="A23" s="9" t="s">
        <v>7</v>
      </c>
      <c r="B23" s="16">
        <f si="14" t="shared"/>
        <v>8.4421985305778002E-3</v>
      </c>
      <c r="C23" s="16">
        <f si="14" t="shared"/>
        <v>1.8945422626227879E-2</v>
      </c>
      <c r="D23" s="16">
        <f si="14" t="shared"/>
        <v>1.4381512427128972E-2</v>
      </c>
      <c r="E23" s="16">
        <f si="14" t="shared"/>
        <v>1.3006108729676707E-2</v>
      </c>
      <c r="F23" s="16">
        <f si="14" t="shared"/>
        <v>2.4280000924578528E-2</v>
      </c>
      <c r="G23" s="16">
        <f si="14" t="shared"/>
        <v>3.1076202322271526E-3</v>
      </c>
      <c r="H23" s="16">
        <f si="15" t="shared"/>
        <v>0</v>
      </c>
      <c r="I23" s="16">
        <f si="10" t="shared"/>
        <v>2.7877176579991222E-2</v>
      </c>
      <c r="K23" s="9" t="s">
        <v>7</v>
      </c>
      <c r="L23" s="16">
        <f si="11" t="shared"/>
        <v>7.1092910421661085E-3</v>
      </c>
      <c r="M23" s="16">
        <f si="11" t="shared"/>
        <v>3.2583190787172756E-2</v>
      </c>
      <c r="N23" s="16">
        <f ref="N23:Q23" si="21" t="shared">N10/$R$12</f>
        <v>2.6809276416612085E-2</v>
      </c>
      <c r="O23" s="16">
        <f si="21" t="shared"/>
        <v>1.2883205412726776E-2</v>
      </c>
      <c r="P23" s="16">
        <f si="21" t="shared"/>
        <v>3.6818242517121437E-2</v>
      </c>
      <c r="Q23" s="16">
        <f si="21" t="shared"/>
        <v>2.8742393122174249E-3</v>
      </c>
      <c r="R23" s="16">
        <f si="13" t="shared"/>
        <v>3.9692481829338863E-2</v>
      </c>
    </row>
    <row r="24" spans="1:23" x14ac:dyDescent="0.25">
      <c r="A24" s="14" t="s">
        <v>8</v>
      </c>
      <c r="B24" s="17">
        <f si="14" t="shared"/>
        <v>0</v>
      </c>
      <c r="C24" s="17">
        <f si="14" t="shared"/>
        <v>0</v>
      </c>
      <c r="D24" s="17">
        <f si="14" t="shared"/>
        <v>0</v>
      </c>
      <c r="E24" s="17">
        <f si="14" t="shared"/>
        <v>0</v>
      </c>
      <c r="F24" s="17">
        <f si="14" t="shared"/>
        <v>0</v>
      </c>
      <c r="G24" s="17">
        <f si="14" t="shared"/>
        <v>0</v>
      </c>
      <c r="H24" s="16">
        <f si="15" t="shared"/>
        <v>0</v>
      </c>
      <c r="I24" s="17">
        <f si="10" t="shared"/>
        <v>0</v>
      </c>
      <c r="K24" s="14" t="s">
        <v>8</v>
      </c>
      <c r="L24" s="17">
        <f si="11" t="shared"/>
        <v>0</v>
      </c>
      <c r="M24" s="17">
        <f si="11" t="shared"/>
        <v>0</v>
      </c>
      <c r="N24" s="17">
        <f ref="N24:Q24" si="22" t="shared">N11/$R$12</f>
        <v>0</v>
      </c>
      <c r="O24" s="17">
        <f si="22" t="shared"/>
        <v>0</v>
      </c>
      <c r="P24" s="17">
        <f si="22" t="shared"/>
        <v>0</v>
      </c>
      <c r="Q24" s="17">
        <f si="22" t="shared"/>
        <v>0</v>
      </c>
      <c r="R24" s="17">
        <f si="13" t="shared"/>
        <v>0</v>
      </c>
    </row>
    <row ht="15.75" r="25" spans="1:23" thickBot="1" x14ac:dyDescent="0.3">
      <c r="A25" s="13" t="s">
        <v>19</v>
      </c>
      <c r="B25" s="18">
        <f si="14" t="shared"/>
        <v>5.4610246309319897E-2</v>
      </c>
      <c r="C25" s="18">
        <f si="14" t="shared"/>
        <v>0.94538975369068046</v>
      </c>
      <c r="D25" s="18">
        <f si="14" t="shared"/>
        <v>0.77515055725966941</v>
      </c>
      <c r="E25" s="18">
        <f si="14" t="shared"/>
        <v>0.22484944274033075</v>
      </c>
      <c r="F25" s="18">
        <f si="14" t="shared"/>
        <v>0.96733009967729833</v>
      </c>
      <c r="G25" s="18">
        <f si="14" t="shared"/>
        <v>3.266990032270186E-2</v>
      </c>
      <c r="H25" s="18">
        <f>H12/$I$12</f>
        <v>3.6205327575879638E-2</v>
      </c>
      <c r="I25" s="18">
        <f si="10" t="shared"/>
        <v>1</v>
      </c>
      <c r="K25" s="13" t="s">
        <v>19</v>
      </c>
      <c r="L25" s="18">
        <f si="11" t="shared"/>
        <v>4.1562009169586481E-2</v>
      </c>
      <c r="M25" s="18">
        <f si="11" t="shared"/>
        <v>0.95843799083041348</v>
      </c>
      <c r="N25" s="18">
        <f ref="N25:Q25" si="23" t="shared">N12/$R$12</f>
        <v>0.73801817384060686</v>
      </c>
      <c r="O25" s="18">
        <f si="23" t="shared"/>
        <v>0.26198182615939308</v>
      </c>
      <c r="P25" s="18">
        <f si="23" t="shared"/>
        <v>0.95777030249461081</v>
      </c>
      <c r="Q25" s="18">
        <f si="23" t="shared"/>
        <v>4.2229697505389199E-2</v>
      </c>
      <c r="R25" s="18">
        <f si="13" t="shared"/>
        <v>1</v>
      </c>
    </row>
    <row ht="15.75" r="28" spans="1:23" thickBot="1" x14ac:dyDescent="0.3">
      <c r="K28" s="1" t="s">
        <v>31</v>
      </c>
      <c r="L28" s="1"/>
      <c r="M28" s="3"/>
      <c r="N28" s="3"/>
      <c r="O28" s="3"/>
      <c r="P28" s="3"/>
      <c r="Q28" s="3"/>
      <c r="R28" s="3"/>
      <c r="T28" s="21" t="s">
        <v>39</v>
      </c>
      <c r="U28" s="21"/>
      <c r="V28" s="22"/>
      <c r="W28" s="22"/>
    </row>
    <row r="29" spans="1:23" x14ac:dyDescent="0.25">
      <c r="K29" s="2" t="s">
        <v>0</v>
      </c>
      <c r="L29" s="4" t="s">
        <v>9</v>
      </c>
      <c r="M29" s="4" t="s">
        <v>10</v>
      </c>
      <c r="N29" s="7" t="s">
        <v>235</v>
      </c>
      <c r="O29" s="7" t="s">
        <v>234</v>
      </c>
      <c r="P29" s="7" t="s">
        <v>236</v>
      </c>
      <c r="Q29" s="7" t="s">
        <v>237</v>
      </c>
      <c r="R29" s="7" t="s">
        <v>19</v>
      </c>
      <c r="T29" s="27" t="s">
        <v>0</v>
      </c>
      <c r="U29" s="28" t="s">
        <v>45</v>
      </c>
      <c r="V29" s="28" t="s">
        <v>33</v>
      </c>
      <c r="W29" s="29" t="s">
        <v>34</v>
      </c>
    </row>
    <row r="30" spans="1:23" x14ac:dyDescent="0.25">
      <c r="K30" s="9" t="s">
        <v>1</v>
      </c>
      <c r="L30" s="16">
        <f ref="L30:L38" si="24" t="shared">L17-B17</f>
        <v>-2.6237092467367626E-3</v>
      </c>
      <c r="M30" s="16">
        <f ref="M30:M38" si="25" t="shared">M17-C17</f>
        <v>-2.717227228742275E-2</v>
      </c>
      <c r="N30" s="16">
        <f ref="N30:N38" si="26" t="shared">N17-D17</f>
        <v>-4.494040026673235E-2</v>
      </c>
      <c r="O30" s="16">
        <f ref="O30:O38" si="27" t="shared">O17-E17</f>
        <v>1.514441873257287E-2</v>
      </c>
      <c r="P30" s="16">
        <f ref="P30:P38" si="28" t="shared">P17-F17</f>
        <v>-4.0981916024759202E-2</v>
      </c>
      <c r="Q30" s="16">
        <f ref="Q30:Q38" si="29" t="shared">Q17-G17</f>
        <v>1.1185934490599722E-2</v>
      </c>
      <c r="R30" s="16">
        <f ref="R30:R38" si="30" t="shared">R17-I17</f>
        <v>-3.9131024995474217E-2</v>
      </c>
      <c r="T30" s="23" t="s">
        <v>1</v>
      </c>
      <c r="U30" s="24">
        <f>I17</f>
        <v>0.53157342892784054</v>
      </c>
      <c r="V30" s="24">
        <f ref="V30:V38" si="31" t="shared">R17</f>
        <v>0.49244240393236632</v>
      </c>
      <c r="W30" s="24">
        <f>V30-U30</f>
        <v>-3.9131024995474217E-2</v>
      </c>
    </row>
    <row r="31" spans="1:23" x14ac:dyDescent="0.25">
      <c r="K31" s="9" t="s">
        <v>2</v>
      </c>
      <c r="L31" s="16">
        <f si="24" t="shared"/>
        <v>7.3487446750562634E-3</v>
      </c>
      <c r="M31" s="16">
        <f si="25" t="shared"/>
        <v>-3.2969209504964347E-2</v>
      </c>
      <c r="N31" s="16">
        <f si="26" t="shared"/>
        <v>-4.927613873504294E-3</v>
      </c>
      <c r="O31" s="16">
        <f si="27" t="shared"/>
        <v>-2.0692850956403747E-2</v>
      </c>
      <c r="P31" s="16">
        <f si="28" t="shared"/>
        <v>-2.1831070052204748E-2</v>
      </c>
      <c r="Q31" s="16">
        <f si="29" t="shared"/>
        <v>-3.789394777703313E-3</v>
      </c>
      <c r="R31" s="16">
        <f si="30" t="shared"/>
        <v>-3.1146475290085629E-2</v>
      </c>
      <c r="T31" s="30" t="s">
        <v>2</v>
      </c>
      <c r="U31" s="31">
        <f ref="U31:U38" si="32" t="shared">I18</f>
        <v>0.31467237841804652</v>
      </c>
      <c r="V31" s="31">
        <f si="31" t="shared"/>
        <v>0.28352590312796089</v>
      </c>
      <c r="W31" s="31">
        <f ref="W31:W38" si="33" t="shared">V31-U31</f>
        <v>-3.1146475290085629E-2</v>
      </c>
    </row>
    <row r="32" spans="1:23" x14ac:dyDescent="0.25">
      <c r="K32" s="9" t="s">
        <v>3</v>
      </c>
      <c r="L32" s="16">
        <f si="24" t="shared"/>
        <v>-6.6656593788668415E-5</v>
      </c>
      <c r="M32" s="16">
        <f si="25" t="shared"/>
        <v>5.8649687425327723E-2</v>
      </c>
      <c r="N32" s="16">
        <f si="26" t="shared"/>
        <v>1.618601417120473E-2</v>
      </c>
      <c r="O32" s="16">
        <f si="27" t="shared"/>
        <v>4.2397016660334311E-2</v>
      </c>
      <c r="P32" s="16">
        <f si="28" t="shared"/>
        <v>5.5943406786091013E-2</v>
      </c>
      <c r="Q32" s="16">
        <f si="29" t="shared"/>
        <v>2.6396240454480517E-3</v>
      </c>
      <c r="R32" s="16">
        <f si="30" t="shared"/>
        <v>5.658928936080089E-2</v>
      </c>
      <c r="T32" s="23" t="s">
        <v>3</v>
      </c>
      <c r="U32" s="24">
        <f si="32" t="shared"/>
        <v>0.11353133966520081</v>
      </c>
      <c r="V32" s="24">
        <f si="31" t="shared"/>
        <v>0.1701206290260017</v>
      </c>
      <c r="W32" s="24">
        <f si="33" t="shared"/>
        <v>5.658928936080089E-2</v>
      </c>
    </row>
    <row r="33" spans="11:23" x14ac:dyDescent="0.25">
      <c r="K33" s="9" t="s">
        <v>4</v>
      </c>
      <c r="L33" s="16">
        <f si="24" t="shared"/>
        <v>-9.6956341946620613E-4</v>
      </c>
      <c r="M33" s="16">
        <f si="25" t="shared"/>
        <v>-7.2626483203793205E-4</v>
      </c>
      <c r="N33" s="16">
        <f si="26" t="shared"/>
        <v>-9.6956341946620613E-4</v>
      </c>
      <c r="O33" s="16">
        <f si="27" t="shared"/>
        <v>-7.2626483203793205E-4</v>
      </c>
      <c r="P33" s="16">
        <f si="28" t="shared"/>
        <v>-9.6956341946620613E-4</v>
      </c>
      <c r="Q33" s="16">
        <f si="29" t="shared"/>
        <v>-7.2626483203793205E-4</v>
      </c>
      <c r="R33" s="16">
        <f si="30" t="shared"/>
        <v>0</v>
      </c>
      <c r="T33" s="30" t="s">
        <v>4</v>
      </c>
      <c r="U33" s="31">
        <f si="32" t="shared"/>
        <v>0</v>
      </c>
      <c r="V33" s="31">
        <f si="31" t="shared"/>
        <v>0</v>
      </c>
      <c r="W33" s="31">
        <f si="33" t="shared"/>
        <v>0</v>
      </c>
    </row>
    <row r="34" spans="11:23" x14ac:dyDescent="0.25">
      <c r="K34" s="9" t="s">
        <v>5</v>
      </c>
      <c r="L34" s="16">
        <f si="24" t="shared"/>
        <v>-1.4122322998345644E-2</v>
      </c>
      <c r="M34" s="16">
        <f si="25" t="shared"/>
        <v>-1.4239461912699289E-3</v>
      </c>
      <c r="N34" s="16">
        <f si="26" t="shared"/>
        <v>-1.5189449607468253E-2</v>
      </c>
      <c r="O34" s="16">
        <f si="27" t="shared"/>
        <v>-3.568195821473172E-4</v>
      </c>
      <c r="P34" s="16">
        <f si="28" t="shared"/>
        <v>-1.5590781745335755E-2</v>
      </c>
      <c r="Q34" s="16">
        <f si="29" t="shared"/>
        <v>4.4512555720181356E-5</v>
      </c>
      <c r="R34" s="16">
        <f si="30" t="shared"/>
        <v>1.7483492900403907E-4</v>
      </c>
      <c r="T34" s="23" t="s">
        <v>5</v>
      </c>
      <c r="U34" s="24">
        <f si="32" t="shared"/>
        <v>8.2126023559844202E-3</v>
      </c>
      <c r="V34" s="24">
        <f si="31" t="shared"/>
        <v>8.3874372849884592E-3</v>
      </c>
      <c r="W34" s="24">
        <f si="33" t="shared"/>
        <v>1.7483492900403907E-4</v>
      </c>
    </row>
    <row r="35" spans="11:23" x14ac:dyDescent="0.25">
      <c r="K35" s="9" t="s">
        <v>6</v>
      </c>
      <c r="L35" s="16">
        <f si="24" t="shared"/>
        <v>-1.2818220680407054E-3</v>
      </c>
      <c r="M35" s="16">
        <f si="25" t="shared"/>
        <v>3.0524743691555641E-3</v>
      </c>
      <c r="N35" s="16">
        <f si="26" t="shared"/>
        <v>2.8086558742078599E-4</v>
      </c>
      <c r="O35" s="16">
        <f si="27" t="shared"/>
        <v>1.4897867136940725E-3</v>
      </c>
      <c r="P35" s="16">
        <f si="28" t="shared"/>
        <v>1.3318856804444999E-3</v>
      </c>
      <c r="Q35" s="16">
        <f si="29" t="shared"/>
        <v>4.3876662067035907E-4</v>
      </c>
      <c r="R35" s="16">
        <f si="30" t="shared"/>
        <v>1.6980707464069496E-3</v>
      </c>
      <c r="T35" s="30" t="s">
        <v>6</v>
      </c>
      <c r="U35" s="31">
        <f si="32" t="shared"/>
        <v>4.1330740529368082E-3</v>
      </c>
      <c r="V35" s="31">
        <f si="31" t="shared"/>
        <v>5.8311447993437578E-3</v>
      </c>
      <c r="W35" s="31">
        <f si="33" t="shared"/>
        <v>1.6980707464069496E-3</v>
      </c>
    </row>
    <row r="36" spans="11:23" x14ac:dyDescent="0.25">
      <c r="K36" s="9" t="s">
        <v>7</v>
      </c>
      <c r="L36" s="16">
        <f si="24" t="shared"/>
        <v>-1.3329074884116917E-3</v>
      </c>
      <c r="M36" s="16">
        <f si="25" t="shared"/>
        <v>1.3637768160944877E-2</v>
      </c>
      <c r="N36" s="16">
        <f si="26" t="shared"/>
        <v>1.2427763989483113E-2</v>
      </c>
      <c r="O36" s="16">
        <f si="27" t="shared"/>
        <v>-1.2290331694993044E-4</v>
      </c>
      <c r="P36" s="16">
        <f si="28" t="shared"/>
        <v>1.2538241592542909E-2</v>
      </c>
      <c r="Q36" s="16">
        <f si="29" t="shared"/>
        <v>-2.3338092000972773E-4</v>
      </c>
      <c r="R36" s="16">
        <f si="30" t="shared"/>
        <v>1.1815305249347641E-2</v>
      </c>
      <c r="T36" s="23" t="s">
        <v>7</v>
      </c>
      <c r="U36" s="24">
        <f si="32" t="shared"/>
        <v>2.7877176579991222E-2</v>
      </c>
      <c r="V36" s="24">
        <f si="31" t="shared"/>
        <v>3.9692481829338863E-2</v>
      </c>
      <c r="W36" s="24">
        <f si="33" t="shared"/>
        <v>1.1815305249347641E-2</v>
      </c>
    </row>
    <row r="37" spans="11:23" x14ac:dyDescent="0.25">
      <c r="K37" s="14" t="s">
        <v>8</v>
      </c>
      <c r="L37" s="17">
        <f si="24" t="shared"/>
        <v>0</v>
      </c>
      <c r="M37" s="17">
        <f si="25" t="shared"/>
        <v>0</v>
      </c>
      <c r="N37" s="17">
        <f si="26" t="shared"/>
        <v>0</v>
      </c>
      <c r="O37" s="17">
        <f si="27" t="shared"/>
        <v>0</v>
      </c>
      <c r="P37" s="17">
        <f si="28" t="shared"/>
        <v>0</v>
      </c>
      <c r="Q37" s="17">
        <f si="29" t="shared"/>
        <v>0</v>
      </c>
      <c r="R37" s="17">
        <f si="30" t="shared"/>
        <v>0</v>
      </c>
      <c r="T37" s="32" t="s">
        <v>8</v>
      </c>
      <c r="U37" s="33">
        <f si="32" t="shared"/>
        <v>0</v>
      </c>
      <c r="V37" s="33">
        <f si="31" t="shared"/>
        <v>0</v>
      </c>
      <c r="W37" s="33">
        <f si="33" t="shared"/>
        <v>0</v>
      </c>
    </row>
    <row ht="15.75" r="38" spans="11:23" thickBot="1" x14ac:dyDescent="0.3">
      <c r="K38" s="13" t="s">
        <v>19</v>
      </c>
      <c r="L38" s="18">
        <f si="24" t="shared"/>
        <v>-1.3048237139733417E-2</v>
      </c>
      <c r="M38" s="18">
        <f si="25" t="shared"/>
        <v>1.3048237139733021E-2</v>
      </c>
      <c r="N38" s="18">
        <f si="26" t="shared"/>
        <v>-3.7132383419062553E-2</v>
      </c>
      <c r="O38" s="18">
        <f si="27" t="shared"/>
        <v>3.7132383419062331E-2</v>
      </c>
      <c r="P38" s="18">
        <f si="28" t="shared"/>
        <v>-9.5597971826875128E-3</v>
      </c>
      <c r="Q38" s="18">
        <f si="29" t="shared"/>
        <v>9.5597971826873393E-3</v>
      </c>
      <c r="R38" s="18">
        <f si="30" t="shared"/>
        <v>0</v>
      </c>
      <c r="T38" s="25" t="s">
        <v>19</v>
      </c>
      <c r="U38" s="26">
        <f si="32" t="shared"/>
        <v>1</v>
      </c>
      <c r="V38" s="26">
        <f si="31" t="shared"/>
        <v>1</v>
      </c>
      <c r="W38" s="26">
        <f si="33" t="shared"/>
        <v>0</v>
      </c>
    </row>
  </sheetData>
  <pageMargins bottom="0.75" footer="0.3" header="0.3" left="0.7" right="0.7" top="0.75"/>
  <pageSetup orientation="portrait" r:id="rId1"/>
  <ignoredErrors>
    <ignoredError formulaRange="1" sqref="R4:R11"/>
  </ignoredErrors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2:X38"/>
  <sheetViews>
    <sheetView workbookViewId="0">
      <selection activeCell="J3" sqref="J3:J12"/>
    </sheetView>
  </sheetViews>
  <sheetFormatPr defaultRowHeight="15" x14ac:dyDescent="0.25"/>
  <cols>
    <col min="1" max="9" customWidth="true" width="16.7109375" collapsed="true"/>
    <col min="11" max="18" customWidth="true" width="16.7109375" collapsed="true"/>
    <col min="20" max="20" customWidth="true" width="16.7109375" collapsed="true"/>
    <col min="21" max="23" customWidth="true" width="11.85546875" collapsed="true"/>
  </cols>
  <sheetData>
    <row ht="15.75" r="2" spans="1:18" thickBot="1" x14ac:dyDescent="0.3">
      <c r="A2" s="1" t="s">
        <v>284</v>
      </c>
      <c r="B2" s="1"/>
      <c r="C2" s="3"/>
      <c r="D2" s="3"/>
      <c r="E2" s="3"/>
      <c r="F2" s="3"/>
      <c r="G2" s="3"/>
      <c r="H2" s="3" t="s">
        <v>313</v>
      </c>
      <c r="I2" s="3"/>
      <c r="K2" s="1" t="s">
        <v>14</v>
      </c>
      <c r="L2" s="1"/>
      <c r="M2" s="3"/>
      <c r="N2" s="3"/>
      <c r="O2" s="3"/>
      <c r="P2" s="3"/>
      <c r="Q2" s="3"/>
      <c r="R2" s="3"/>
    </row>
    <row r="3" spans="1:18" x14ac:dyDescent="0.25">
      <c r="A3" s="2" t="s">
        <v>0</v>
      </c>
      <c r="B3" s="4" t="s">
        <v>9</v>
      </c>
      <c r="C3" s="4" t="s">
        <v>10</v>
      </c>
      <c r="D3" s="7" t="s">
        <v>235</v>
      </c>
      <c r="E3" s="7" t="s">
        <v>234</v>
      </c>
      <c r="F3" s="7" t="s">
        <v>236</v>
      </c>
      <c r="G3" s="7" t="s">
        <v>237</v>
      </c>
      <c r="H3" s="110" t="s">
        <v>278</v>
      </c>
      <c r="I3" s="7" t="s">
        <v>19</v>
      </c>
      <c r="J3" s="133" t="s">
        <v>331</v>
      </c>
      <c r="K3" s="2" t="s">
        <v>0</v>
      </c>
      <c r="L3" s="4" t="s">
        <v>9</v>
      </c>
      <c r="M3" s="4" t="s">
        <v>10</v>
      </c>
      <c r="N3" s="7" t="s">
        <v>235</v>
      </c>
      <c r="O3" s="7" t="s">
        <v>234</v>
      </c>
      <c r="P3" s="7" t="s">
        <v>236</v>
      </c>
      <c r="Q3" s="7" t="s">
        <v>237</v>
      </c>
      <c r="R3" s="7" t="s">
        <v>19</v>
      </c>
    </row>
    <row r="4" spans="1:18" x14ac:dyDescent="0.25">
      <c r="A4" s="9" t="s">
        <v>1</v>
      </c>
      <c r="B4" s="9" t="n">
        <v>38.359917</v>
      </c>
      <c r="C4" s="9" t="n">
        <v>15688.721536</v>
      </c>
      <c r="D4" s="9" t="n">
        <v>13964.942058999999</v>
      </c>
      <c r="E4" s="9" t="n">
        <v>1762.139394</v>
      </c>
      <c r="F4" s="9" t="n">
        <v>15299.702002</v>
      </c>
      <c r="G4" s="9" t="n">
        <v>427.379451</v>
      </c>
      <c r="H4" s="111"/>
      <c r="I4" s="9">
        <f>SUM($B4:$C4)*(SUM($B$12:$C$12)-SUM($I$7:$I$8))/(SUM($B$12:$C$12)-SUM($B$7:$C$8))</f>
        <v>15602.740268661428</v>
      </c>
      <c r="J4" s="125">
        <f>I4*(R$12-SUM($I$7:$I$8))/(I$12-SUM($I$7:$I$8))</f>
        <v>17719.671741039696</v>
      </c>
      <c r="K4" s="118" t="str">
        <f>A4</f>
        <v>Drive Alone</v>
      </c>
      <c r="L4" s="9" t="n">
        <v>0.0</v>
      </c>
      <c r="M4" s="9" t="n">
        <v>19551.0</v>
      </c>
      <c r="N4" s="9" t="n">
        <v>17290.0</v>
      </c>
      <c r="O4" s="9" t="n">
        <v>2261.0</v>
      </c>
      <c r="P4" s="9" t="n">
        <v>18875.0</v>
      </c>
      <c r="Q4" s="9" t="n">
        <v>676.0</v>
      </c>
      <c r="R4" s="9">
        <f>SUM(L4:M4)</f>
        <v>19697</v>
      </c>
    </row>
    <row r="5" spans="1:18" x14ac:dyDescent="0.25">
      <c r="A5" s="9" t="s">
        <v>2</v>
      </c>
      <c r="B5" s="9" t="n">
        <v>1060.312579</v>
      </c>
      <c r="C5" s="9" t="n">
        <v>37809.565524</v>
      </c>
      <c r="D5" s="9" t="n">
        <v>28670.613038</v>
      </c>
      <c r="E5" s="9" t="n">
        <v>10199.265065</v>
      </c>
      <c r="F5" s="9" t="n">
        <v>35625.703182</v>
      </c>
      <c r="G5" s="9" t="n">
        <v>3244.174921</v>
      </c>
      <c r="H5" s="111"/>
      <c r="I5" s="9">
        <f ref="I5:I6" si="0" t="shared">SUM($B5:$C5)*(SUM($B$12:$C$12)-SUM($I$7:$I$8))/(SUM($B$12:$C$12)-SUM($B$7:$C$8))</f>
        <v>38562.565732750845</v>
      </c>
      <c r="J5" s="125">
        <f ref="J5:J6" si="1" t="shared">I5*(R$12-SUM($I$7:$I$8))/(I$12-SUM($I$7:$I$8))</f>
        <v>43794.615209295735</v>
      </c>
      <c r="K5" s="12" t="str">
        <f ref="K5:K11" si="2" t="shared">A5</f>
        <v>Shared Ride 2</v>
      </c>
      <c r="L5" s="9" t="n">
        <v>1757.0</v>
      </c>
      <c r="M5" s="9" t="n">
        <v>43712.0</v>
      </c>
      <c r="N5" s="9" t="n">
        <v>34148.0</v>
      </c>
      <c r="O5" s="9" t="n">
        <v>11321.0</v>
      </c>
      <c r="P5" s="9" t="n">
        <v>42352.0</v>
      </c>
      <c r="Q5" s="9" t="n">
        <v>3117.0</v>
      </c>
      <c r="R5" s="9">
        <f ref="R5:R12" si="3" t="shared">SUM(L5:M5)</f>
        <v>45753</v>
      </c>
    </row>
    <row r="6" spans="1:18" x14ac:dyDescent="0.25">
      <c r="A6" s="9" t="s">
        <v>3</v>
      </c>
      <c r="B6" s="9" t="n">
        <v>0.0</v>
      </c>
      <c r="C6" s="9" t="n">
        <v>23492.27815</v>
      </c>
      <c r="D6" s="9" t="n">
        <v>20293.023957</v>
      </c>
      <c r="E6" s="9" t="n">
        <v>3199.2541929999998</v>
      </c>
      <c r="F6" s="9" t="n">
        <v>22866.566653</v>
      </c>
      <c r="G6" s="9" t="n">
        <v>625.711497</v>
      </c>
      <c r="H6" s="111"/>
      <c r="I6" s="9">
        <f si="0" t="shared"/>
        <v>23306.543899388296</v>
      </c>
      <c r="J6" s="125">
        <f si="1" t="shared"/>
        <v>26468.703586945125</v>
      </c>
      <c r="K6" s="12" t="str">
        <f si="2" t="shared"/>
        <v>Shared Ride 3+</v>
      </c>
      <c r="L6" s="9" t="n">
        <v>490.0</v>
      </c>
      <c r="M6" s="9" t="n">
        <v>22716.0</v>
      </c>
      <c r="N6" s="9" t="n">
        <v>16318.0</v>
      </c>
      <c r="O6" s="9" t="n">
        <v>6888.0</v>
      </c>
      <c r="P6" s="9" t="n">
        <v>22707.0</v>
      </c>
      <c r="Q6" s="9" t="n">
        <v>499.0</v>
      </c>
      <c r="R6" s="9">
        <f si="3" t="shared"/>
        <v>23138</v>
      </c>
    </row>
    <row r="7" spans="1:18" x14ac:dyDescent="0.25">
      <c r="A7" s="9" t="s">
        <v>4</v>
      </c>
      <c r="B7" s="9" t="n">
        <v>0.0</v>
      </c>
      <c r="C7" s="9" t="n">
        <v>0.0</v>
      </c>
      <c r="D7" s="9" t="n">
        <v>0.0</v>
      </c>
      <c r="E7" s="9" t="n">
        <v>0.0</v>
      </c>
      <c r="F7" s="9" t="n">
        <v>0.0</v>
      </c>
      <c r="G7" s="9" t="n">
        <v>0.0</v>
      </c>
      <c r="H7" s="111">
        <v>0</v>
      </c>
      <c r="I7" s="119">
        <f>(H7*SUM($B$12:$C$12)/(SUM(Personal_Business!$B$12:$C$12)+SUM(Shop!$B$12:$C$12)+SUM(Meal!$B$12:$C$12)+SUM(SocRec!$B$12:$C$12)))</f>
        <v>0</v>
      </c>
      <c r="J7" s="9">
        <f>I7</f>
        <v>0</v>
      </c>
      <c r="K7" s="12" t="str">
        <f si="2" t="shared"/>
        <v>Drive-Transit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 t="n">
        <v>0.0</v>
      </c>
      <c r="R7" s="9">
        <f si="3" t="shared"/>
        <v>0</v>
      </c>
    </row>
    <row r="8" spans="1:18" x14ac:dyDescent="0.25">
      <c r="A8" s="9" t="s">
        <v>5</v>
      </c>
      <c r="B8" s="9" t="n">
        <v>0.0</v>
      </c>
      <c r="C8" s="9" t="n">
        <v>25.036661</v>
      </c>
      <c r="D8" s="9" t="n">
        <v>25.036661</v>
      </c>
      <c r="E8" s="9" t="n">
        <v>0.0</v>
      </c>
      <c r="F8" s="9" t="n">
        <v>25.036661</v>
      </c>
      <c r="G8" s="9" t="n">
        <v>0.0</v>
      </c>
      <c r="H8" s="111">
        <f>1.1*4651.16092221859</f>
        <v>5116.2770144404494</v>
      </c>
      <c r="I8" s="119">
        <f>(H8*SUM($B$12:$C$12)/(SUM(Personal_Business!$B$12:$C$12)+SUM(Shop!$B$12:$C$12)+SUM(Meal!$B$12:$C$12)+SUM(SocRec!$B$12:$C$12)))</f>
        <v>665.72333513336457</v>
      </c>
      <c r="J8" s="9">
        <f>I8</f>
        <v>665.72333513336457</v>
      </c>
      <c r="K8" s="12" t="str">
        <f si="2" t="shared"/>
        <v>Walk-Transit</v>
      </c>
      <c r="L8" s="9" t="n">
        <v>359.0</v>
      </c>
      <c r="M8" s="9" t="n">
        <v>94.0</v>
      </c>
      <c r="N8" s="9" t="n">
        <v>425.0</v>
      </c>
      <c r="O8" s="9" t="n">
        <v>28.0</v>
      </c>
      <c r="P8" s="9" t="n">
        <v>440.0</v>
      </c>
      <c r="Q8" s="9" t="n">
        <v>13.0</v>
      </c>
      <c r="R8" s="9">
        <f si="3" t="shared"/>
        <v>493</v>
      </c>
    </row>
    <row r="9" spans="1:18" x14ac:dyDescent="0.25">
      <c r="A9" s="9" t="s">
        <v>6</v>
      </c>
      <c r="B9" s="9" t="n">
        <v>0.0</v>
      </c>
      <c r="C9" s="9" t="n">
        <v>449.244182</v>
      </c>
      <c r="D9" s="9" t="n">
        <v>80.547413</v>
      </c>
      <c r="E9" s="9" t="n">
        <v>368.696769</v>
      </c>
      <c r="F9" s="9" t="n">
        <v>449.244182</v>
      </c>
      <c r="G9" s="9" t="n">
        <v>0.0</v>
      </c>
      <c r="H9" s="111"/>
      <c r="I9" s="9">
        <f ref="I9:I11" si="4" t="shared">SUM($B9:$C9)*(SUM($B$12:$C$12)-SUM($I$7:$I$8))/(SUM($B$12:$C$12)-SUM($B$7:$C$8))</f>
        <v>445.69237527641769</v>
      </c>
      <c r="J9" s="125">
        <f>I9*(R$12-SUM($I$7:$I$8))/(I$12-SUM($I$7:$I$8))</f>
        <v>506.16253628504018</v>
      </c>
      <c r="K9" s="12" t="str">
        <f si="2" t="shared"/>
        <v>Bike</v>
      </c>
      <c r="L9" s="9" t="n">
        <v>23.0</v>
      </c>
      <c r="M9" s="9" t="n">
        <v>151.0</v>
      </c>
      <c r="N9" s="9" t="n">
        <v>139.0</v>
      </c>
      <c r="O9" s="9" t="n">
        <v>35.0</v>
      </c>
      <c r="P9" s="9" t="n">
        <v>162.0</v>
      </c>
      <c r="Q9" s="9" t="n">
        <v>12.0</v>
      </c>
      <c r="R9" s="9">
        <f si="3" t="shared"/>
        <v>191</v>
      </c>
    </row>
    <row r="10" spans="1:18" x14ac:dyDescent="0.25">
      <c r="A10" s="9" t="s">
        <v>7</v>
      </c>
      <c r="B10" s="9" t="n">
        <v>260.911742</v>
      </c>
      <c r="C10" s="9" t="n">
        <v>2037.896487</v>
      </c>
      <c r="D10" s="9" t="n">
        <v>869.102708</v>
      </c>
      <c r="E10" s="9" t="n">
        <v>1429.705521</v>
      </c>
      <c r="F10" s="9" t="n">
        <v>1482.386813</v>
      </c>
      <c r="G10" s="9" t="n">
        <v>816.421416</v>
      </c>
      <c r="H10" s="111"/>
      <c r="I10" s="9">
        <f si="4" t="shared"/>
        <v>2280.6334304135412</v>
      </c>
      <c r="J10" s="125">
        <f ref="J10:J11" si="5" t="shared">I10*(R$12-SUM($I$7:$I$8))/(I$12-SUM($I$7:$I$8))</f>
        <v>2590.0627103136562</v>
      </c>
      <c r="K10" s="12" t="str">
        <f si="2" t="shared"/>
        <v>Walk</v>
      </c>
      <c r="L10" s="9" t="n">
        <v>351.0</v>
      </c>
      <c r="M10" s="9" t="n">
        <v>2262.0</v>
      </c>
      <c r="N10" s="9" t="n">
        <v>1956.0</v>
      </c>
      <c r="O10" s="9" t="n">
        <v>657.0</v>
      </c>
      <c r="P10" s="9" t="n">
        <v>2412.0</v>
      </c>
      <c r="Q10" s="9" t="n">
        <v>201.0</v>
      </c>
      <c r="R10" s="9">
        <f si="3" t="shared"/>
        <v>2697</v>
      </c>
    </row>
    <row r="11" spans="1:18" x14ac:dyDescent="0.25">
      <c r="A11" s="14" t="s">
        <v>8</v>
      </c>
      <c r="B11" s="14" t="n">
        <v>0.0</v>
      </c>
      <c r="C11" s="14" t="n">
        <v>198.865068</v>
      </c>
      <c r="D11" s="14" t="n">
        <v>198.865068</v>
      </c>
      <c r="E11" s="14" t="n">
        <v>0.0</v>
      </c>
      <c r="F11" s="14" t="n">
        <v>198.865068</v>
      </c>
      <c r="G11" s="14" t="n">
        <v>0.0</v>
      </c>
      <c r="H11" s="112"/>
      <c r="I11" s="14">
        <f si="4" t="shared"/>
        <v>197.29280437609833</v>
      </c>
      <c r="J11" s="125">
        <f si="5" t="shared"/>
        <v>224.06088098738468</v>
      </c>
      <c r="K11" s="14" t="str">
        <f si="2" t="shared"/>
        <v>School Bus</v>
      </c>
      <c r="L11" s="14" t="n">
        <v>0.0</v>
      </c>
      <c r="M11" s="14" t="n">
        <v>0.0</v>
      </c>
      <c r="N11" s="14" t="n">
        <v>0.0</v>
      </c>
      <c r="O11" s="14" t="n">
        <v>0.0</v>
      </c>
      <c r="P11" s="14" t="n">
        <v>0.0</v>
      </c>
      <c r="Q11" s="14" t="n">
        <v>0.0</v>
      </c>
      <c r="R11" s="14">
        <f si="3" t="shared"/>
        <v>0</v>
      </c>
    </row>
    <row ht="15.75" r="12" spans="1:18" thickBot="1" x14ac:dyDescent="0.3">
      <c r="A12" s="13" t="s">
        <v>19</v>
      </c>
      <c r="B12" s="10">
        <f>SUM(B4:B11)</f>
        <v>1359.5842379999999</v>
      </c>
      <c r="C12" s="10">
        <f>SUM(C4:C11)</f>
        <v>79701.607608000006</v>
      </c>
      <c r="D12" s="10">
        <f ref="D12:H12" si="6" t="shared">SUM(D4:D11)</f>
        <v>64102.130903999998</v>
      </c>
      <c r="E12" s="10">
        <f si="6" t="shared"/>
        <v>16959.060942</v>
      </c>
      <c r="F12" s="10">
        <f si="6" t="shared"/>
        <v>75947.504560999994</v>
      </c>
      <c r="G12" s="10">
        <f si="6" t="shared"/>
        <v>5113.687285</v>
      </c>
      <c r="H12" s="113">
        <f si="6" t="shared"/>
        <v>5116.2770144404494</v>
      </c>
      <c r="I12" s="10">
        <f>SUM(I4:I11)</f>
        <v>81061.191845999987</v>
      </c>
      <c r="J12" s="131">
        <f>SUM(J4:J11)</f>
        <v>91969</v>
      </c>
      <c r="K12" s="13" t="s">
        <v>19</v>
      </c>
      <c r="L12" s="10">
        <f>SUM(L4:L11)</f>
        <v>3064</v>
      </c>
      <c r="M12" s="10">
        <f>SUM(M4:M11)</f>
        <v>88905</v>
      </c>
      <c r="N12" s="10">
        <f ref="N12:Q12" si="7" t="shared">SUM(N4:N11)</f>
        <v>70430</v>
      </c>
      <c r="O12" s="10">
        <f si="7" t="shared"/>
        <v>21539</v>
      </c>
      <c r="P12" s="10">
        <f si="7" t="shared"/>
        <v>87397</v>
      </c>
      <c r="Q12" s="10">
        <f si="7" t="shared"/>
        <v>4572</v>
      </c>
      <c r="R12" s="10">
        <f si="3" t="shared"/>
        <v>91969</v>
      </c>
    </row>
    <row r="13" spans="1:18" x14ac:dyDescent="0.25">
      <c r="B13" s="120" t="e">
        <f>B7/SUM($B7:$C7)</f>
        <v>#DIV/0!</v>
      </c>
      <c r="C13" s="120" t="e">
        <f ref="C13:G14" si="8" t="shared">C7/SUM($B7:$C7)</f>
        <v>#DIV/0!</v>
      </c>
      <c r="D13" s="120" t="e">
        <f si="8" t="shared"/>
        <v>#DIV/0!</v>
      </c>
      <c r="E13" s="120" t="e">
        <f si="8" t="shared"/>
        <v>#DIV/0!</v>
      </c>
      <c r="F13" s="120" t="e">
        <f si="8" t="shared"/>
        <v>#DIV/0!</v>
      </c>
      <c r="G13" s="120" t="e">
        <f si="8" t="shared"/>
        <v>#DIV/0!</v>
      </c>
    </row>
    <row r="14" spans="1:18" x14ac:dyDescent="0.25">
      <c r="B14" s="120">
        <f>B8/SUM($B8:$C8)</f>
        <v>0</v>
      </c>
      <c r="C14" s="120">
        <f si="8" t="shared"/>
        <v>1</v>
      </c>
      <c r="D14" s="120">
        <f si="8" t="shared"/>
        <v>1</v>
      </c>
      <c r="E14" s="120">
        <f si="8" t="shared"/>
        <v>0</v>
      </c>
      <c r="F14" s="120">
        <f si="8" t="shared"/>
        <v>1</v>
      </c>
      <c r="G14" s="120">
        <f si="8" t="shared"/>
        <v>0</v>
      </c>
    </row>
    <row ht="15.75" r="15" spans="1:18" thickBot="1" x14ac:dyDescent="0.3">
      <c r="A15" s="1" t="s">
        <v>284</v>
      </c>
      <c r="B15" s="1"/>
      <c r="C15" s="3"/>
      <c r="D15" s="3"/>
      <c r="E15" s="3"/>
      <c r="F15" s="3"/>
      <c r="G15" s="3"/>
      <c r="H15" s="3"/>
      <c r="I15" s="3"/>
      <c r="K15" s="1" t="s">
        <v>14</v>
      </c>
      <c r="L15" s="1"/>
      <c r="M15" s="3"/>
      <c r="N15" s="3"/>
      <c r="O15" s="3"/>
      <c r="P15" s="3"/>
      <c r="Q15" s="3"/>
      <c r="R15" s="3"/>
    </row>
    <row r="16" spans="1:18" x14ac:dyDescent="0.25">
      <c r="A16" s="2" t="s">
        <v>0</v>
      </c>
      <c r="B16" s="4" t="s">
        <v>9</v>
      </c>
      <c r="C16" s="4" t="s">
        <v>10</v>
      </c>
      <c r="D16" s="7" t="s">
        <v>235</v>
      </c>
      <c r="E16" s="7" t="s">
        <v>234</v>
      </c>
      <c r="F16" s="7" t="s">
        <v>236</v>
      </c>
      <c r="G16" s="7" t="s">
        <v>237</v>
      </c>
      <c r="H16" s="7" t="s">
        <v>278</v>
      </c>
      <c r="I16" s="7" t="s">
        <v>19</v>
      </c>
      <c r="K16" s="2" t="s">
        <v>0</v>
      </c>
      <c r="L16" s="4" t="s">
        <v>9</v>
      </c>
      <c r="M16" s="4" t="s">
        <v>10</v>
      </c>
      <c r="N16" s="7" t="s">
        <v>235</v>
      </c>
      <c r="O16" s="7" t="s">
        <v>234</v>
      </c>
      <c r="P16" s="7" t="s">
        <v>236</v>
      </c>
      <c r="Q16" s="7" t="s">
        <v>237</v>
      </c>
      <c r="R16" s="7" t="s">
        <v>19</v>
      </c>
    </row>
    <row r="17" spans="1:23" x14ac:dyDescent="0.25">
      <c r="A17" s="9" t="s">
        <v>1</v>
      </c>
      <c r="B17" s="16">
        <f ref="B17:H17" si="9" t="shared">B4/$I$12</f>
        <v>4.732217245568774E-4</v>
      </c>
      <c r="C17" s="16">
        <f si="9" t="shared"/>
        <v>0.19354170816789154</v>
      </c>
      <c r="D17" s="16">
        <f si="9" t="shared"/>
        <v>0.17227654492831279</v>
      </c>
      <c r="E17" s="16">
        <f si="9" t="shared"/>
        <v>2.1738384964135632E-2</v>
      </c>
      <c r="F17" s="16">
        <f si="9" t="shared"/>
        <v>0.18874262336367278</v>
      </c>
      <c r="G17" s="16">
        <f si="9" t="shared"/>
        <v>5.2723065287756353E-3</v>
      </c>
      <c r="H17" s="16">
        <f si="9" t="shared"/>
        <v>0</v>
      </c>
      <c r="I17" s="16">
        <f ref="I17:I25" si="10" t="shared">I4/$I$12</f>
        <v>0.19248101234809756</v>
      </c>
      <c r="K17" s="9" t="s">
        <v>1</v>
      </c>
      <c r="L17" s="16">
        <f ref="L17:M25" si="11" t="shared">L4/$R$12</f>
        <v>0</v>
      </c>
      <c r="M17" s="16">
        <f si="11" t="shared"/>
        <v>0.21416999206254281</v>
      </c>
      <c r="N17" s="16">
        <f ref="N17:Q17" si="12" t="shared">N4/$R$12</f>
        <v>0.18894410072959367</v>
      </c>
      <c r="O17" s="16">
        <f si="12" t="shared"/>
        <v>2.5225891332949144E-2</v>
      </c>
      <c r="P17" s="16">
        <f si="12" t="shared"/>
        <v>0.20698278767845688</v>
      </c>
      <c r="Q17" s="16">
        <f si="12" t="shared"/>
        <v>7.1872043840859419E-3</v>
      </c>
      <c r="R17" s="16">
        <f ref="R17:R25" si="13" t="shared">R4/$R$12</f>
        <v>0.21416999206254281</v>
      </c>
    </row>
    <row r="18" spans="1:23" x14ac:dyDescent="0.25">
      <c r="A18" s="9" t="s">
        <v>2</v>
      </c>
      <c r="B18" s="16">
        <f ref="B18:G25" si="14" t="shared">B5/$I$12</f>
        <v>1.308039710314624E-2</v>
      </c>
      <c r="C18" s="16">
        <f si="14" t="shared"/>
        <v>0.46643239092549482</v>
      </c>
      <c r="D18" s="16">
        <f si="14" t="shared"/>
        <v>0.35369098806822896</v>
      </c>
      <c r="E18" s="16">
        <f si="14" t="shared"/>
        <v>0.12582179996041212</v>
      </c>
      <c r="F18" s="16">
        <f si="14" t="shared"/>
        <v>0.43949148008681749</v>
      </c>
      <c r="G18" s="16">
        <f si="14" t="shared"/>
        <v>4.0021307941823528E-2</v>
      </c>
      <c r="H18" s="16">
        <f ref="H18:H24" si="15" t="shared">H5/$I$12</f>
        <v>0</v>
      </c>
      <c r="I18" s="16">
        <f si="10" t="shared"/>
        <v>0.47572167216603461</v>
      </c>
      <c r="K18" s="9" t="s">
        <v>2</v>
      </c>
      <c r="L18" s="16">
        <f si="11" t="shared"/>
        <v>1.9397840576716067E-2</v>
      </c>
      <c r="M18" s="16">
        <f si="11" t="shared"/>
        <v>0.47808500690450045</v>
      </c>
      <c r="N18" s="16">
        <f ref="N18:Q18" si="16" t="shared">N5/$R$12</f>
        <v>0.37260381215409538</v>
      </c>
      <c r="O18" s="16">
        <f si="16" t="shared"/>
        <v>0.12487903532712109</v>
      </c>
      <c r="P18" s="16">
        <f si="16" t="shared"/>
        <v>0.46381933042655676</v>
      </c>
      <c r="Q18" s="16">
        <f si="16" t="shared"/>
        <v>3.3663517054659725E-2</v>
      </c>
      <c r="R18" s="16">
        <f si="13" t="shared"/>
        <v>0.49748284748121652</v>
      </c>
    </row>
    <row r="19" spans="1:23" x14ac:dyDescent="0.25">
      <c r="A19" s="9" t="s">
        <v>3</v>
      </c>
      <c r="B19" s="16">
        <f si="14" t="shared"/>
        <v>0</v>
      </c>
      <c r="C19" s="16">
        <f si="14" t="shared"/>
        <v>0.28980918754106916</v>
      </c>
      <c r="D19" s="16">
        <f si="14" t="shared"/>
        <v>0.25034203784657744</v>
      </c>
      <c r="E19" s="16">
        <f si="14" t="shared"/>
        <v>3.9467149694491804E-2</v>
      </c>
      <c r="F19" s="16">
        <f si="14" t="shared"/>
        <v>0.28209018560252475</v>
      </c>
      <c r="G19" s="16">
        <f si="14" t="shared"/>
        <v>7.7190019385444814E-3</v>
      </c>
      <c r="H19" s="16">
        <f si="15" t="shared"/>
        <v>0</v>
      </c>
      <c r="I19" s="16">
        <f si="10" t="shared"/>
        <v>0.28751790306347896</v>
      </c>
      <c r="K19" s="9" t="s">
        <v>3</v>
      </c>
      <c r="L19" s="16">
        <f si="11" t="shared"/>
        <v>5.9367830464613072E-3</v>
      </c>
      <c r="M19" s="16">
        <f si="11" t="shared"/>
        <v>0.24564799008361513</v>
      </c>
      <c r="N19" s="16">
        <f ref="N19:Q19" si="17" t="shared">N6/$R$12</f>
        <v>0.17574400069588667</v>
      </c>
      <c r="O19" s="16">
        <f si="17" t="shared"/>
        <v>7.5840772434189782E-2</v>
      </c>
      <c r="P19" s="16">
        <f si="17" t="shared"/>
        <v>0.24499559634224577</v>
      </c>
      <c r="Q19" s="16">
        <f si="17" t="shared"/>
        <v>6.5891767878306822E-3</v>
      </c>
      <c r="R19" s="16">
        <f si="13" t="shared"/>
        <v>0.25158477313007643</v>
      </c>
    </row>
    <row r="20" spans="1:23" x14ac:dyDescent="0.25">
      <c r="A20" s="9" t="s">
        <v>4</v>
      </c>
      <c r="B20" s="16">
        <f si="14" t="shared"/>
        <v>0</v>
      </c>
      <c r="C20" s="16">
        <f si="14" t="shared"/>
        <v>0</v>
      </c>
      <c r="D20" s="16">
        <f si="14" t="shared"/>
        <v>0</v>
      </c>
      <c r="E20" s="16">
        <f si="14" t="shared"/>
        <v>0</v>
      </c>
      <c r="F20" s="16">
        <f si="14" t="shared"/>
        <v>0</v>
      </c>
      <c r="G20" s="16">
        <f si="14" t="shared"/>
        <v>0</v>
      </c>
      <c r="H20" s="16">
        <f si="15" t="shared"/>
        <v>0</v>
      </c>
      <c r="I20" s="16">
        <f si="10" t="shared"/>
        <v>0</v>
      </c>
      <c r="K20" s="9" t="s">
        <v>4</v>
      </c>
      <c r="L20" s="16">
        <f si="11" t="shared"/>
        <v>0</v>
      </c>
      <c r="M20" s="16">
        <f si="11" t="shared"/>
        <v>0</v>
      </c>
      <c r="N20" s="16">
        <f ref="N20:Q20" si="18" t="shared">N7/$R$12</f>
        <v>0</v>
      </c>
      <c r="O20" s="16">
        <f si="18" t="shared"/>
        <v>0</v>
      </c>
      <c r="P20" s="16">
        <f si="18" t="shared"/>
        <v>0</v>
      </c>
      <c r="Q20" s="16">
        <f si="18" t="shared"/>
        <v>0</v>
      </c>
      <c r="R20" s="16">
        <f si="13" t="shared"/>
        <v>0</v>
      </c>
    </row>
    <row r="21" spans="1:23" x14ac:dyDescent="0.25">
      <c r="A21" s="9" t="s">
        <v>5</v>
      </c>
      <c r="B21" s="16">
        <f si="14" t="shared"/>
        <v>0</v>
      </c>
      <c r="C21" s="16">
        <f si="14" t="shared"/>
        <v>3.0886124950598598E-4</v>
      </c>
      <c r="D21" s="16">
        <f si="14" t="shared"/>
        <v>3.0886124950598598E-4</v>
      </c>
      <c r="E21" s="16">
        <f si="14" t="shared"/>
        <v>0</v>
      </c>
      <c r="F21" s="16">
        <f si="14" t="shared"/>
        <v>3.0886124950598598E-4</v>
      </c>
      <c r="G21" s="16">
        <f si="14" t="shared"/>
        <v>0</v>
      </c>
      <c r="H21" s="16">
        <f si="15" t="shared"/>
        <v>6.3116232292270633E-2</v>
      </c>
      <c r="I21" s="16">
        <f si="10" t="shared"/>
        <v>8.2126023559844202E-3</v>
      </c>
      <c r="K21" s="9" t="s">
        <v>5</v>
      </c>
      <c r="L21" s="16">
        <f si="11" t="shared"/>
        <v>4.1644467157411734E-3</v>
      </c>
      <c r="M21" s="16">
        <f si="11" t="shared"/>
        <v>1.1960551925105198E-3</v>
      </c>
      <c r="N21" s="16">
        <f ref="N21:Q21" si="19" t="shared">N8/$R$12</f>
        <v>5.0016853504985378E-3</v>
      </c>
      <c r="O21" s="16">
        <f si="19" t="shared"/>
        <v>3.5881655775315597E-4</v>
      </c>
      <c r="P21" s="16">
        <f si="19" t="shared"/>
        <v>5.2517696180234648E-3</v>
      </c>
      <c r="Q21" s="16">
        <f si="19" t="shared"/>
        <v>1.0873229022822908E-4</v>
      </c>
      <c r="R21" s="16">
        <f si="13" t="shared"/>
        <v>5.3605019082516936E-3</v>
      </c>
    </row>
    <row r="22" spans="1:23" x14ac:dyDescent="0.25">
      <c r="A22" s="9" t="s">
        <v>6</v>
      </c>
      <c r="B22" s="16">
        <f si="14" t="shared"/>
        <v>0</v>
      </c>
      <c r="C22" s="16">
        <f si="14" t="shared"/>
        <v>5.5420377096536393E-3</v>
      </c>
      <c r="D22" s="16">
        <f si="14" t="shared"/>
        <v>9.9366183947830356E-4</v>
      </c>
      <c r="E22" s="16">
        <f si="14" t="shared"/>
        <v>4.5483758701753358E-3</v>
      </c>
      <c r="F22" s="16">
        <f si="14" t="shared"/>
        <v>5.5420377096536393E-3</v>
      </c>
      <c r="G22" s="16">
        <f si="14" t="shared"/>
        <v>0</v>
      </c>
      <c r="H22" s="16">
        <f si="15" t="shared"/>
        <v>0</v>
      </c>
      <c r="I22" s="16">
        <f si="10" t="shared"/>
        <v>5.4982213452171276E-3</v>
      </c>
      <c r="K22" s="9" t="s">
        <v>6</v>
      </c>
      <c r="L22" s="16">
        <f si="11" t="shared"/>
        <v>3.4794332873033307E-4</v>
      </c>
      <c r="M22" s="16">
        <f si="11" t="shared"/>
        <v>1.7288434146288424E-3</v>
      </c>
      <c r="N22" s="16">
        <f ref="N22:Q22" si="20" t="shared">N9/$R$12</f>
        <v>1.6636040404919049E-3</v>
      </c>
      <c r="O22" s="16">
        <f si="20" t="shared"/>
        <v>4.1318270286727052E-4</v>
      </c>
      <c r="P22" s="16">
        <f si="20" t="shared"/>
        <v>2.0224205982450607E-3</v>
      </c>
      <c r="Q22" s="16">
        <f si="20" t="shared"/>
        <v>5.4366145114114539E-5</v>
      </c>
      <c r="R22" s="16">
        <f si="13" t="shared"/>
        <v>2.0767867433591752E-3</v>
      </c>
    </row>
    <row r="23" spans="1:23" x14ac:dyDescent="0.25">
      <c r="A23" s="9" t="s">
        <v>7</v>
      </c>
      <c r="B23" s="16">
        <f si="14" t="shared"/>
        <v>3.2187010338520557E-3</v>
      </c>
      <c r="C23" s="16">
        <f si="14" t="shared"/>
        <v>2.5140223584074545E-2</v>
      </c>
      <c r="D23" s="16">
        <f si="14" t="shared"/>
        <v>1.0721563404238132E-2</v>
      </c>
      <c r="E23" s="16">
        <f si="14" t="shared"/>
        <v>1.7637361213688467E-2</v>
      </c>
      <c r="F23" s="16">
        <f si="14" t="shared"/>
        <v>1.8287256568053401E-2</v>
      </c>
      <c r="G23" s="16">
        <f si="14" t="shared"/>
        <v>1.00716680498732E-2</v>
      </c>
      <c r="H23" s="16">
        <f si="15" t="shared"/>
        <v>0</v>
      </c>
      <c r="I23" s="16">
        <f si="10" t="shared"/>
        <v>2.813471376964562E-2</v>
      </c>
      <c r="K23" s="9" t="s">
        <v>7</v>
      </c>
      <c r="L23" s="16">
        <f si="11" t="shared"/>
        <v>3.4685600582805075E-3</v>
      </c>
      <c r="M23" s="16">
        <f si="11" t="shared"/>
        <v>2.5856538616272875E-2</v>
      </c>
      <c r="N23" s="16">
        <f ref="N23:Q23" si="21" t="shared">N10/$R$12</f>
        <v>2.1844317106851221E-2</v>
      </c>
      <c r="O23" s="16">
        <f si="21" t="shared"/>
        <v>7.4807815677021602E-3</v>
      </c>
      <c r="P23" s="16">
        <f si="21" t="shared"/>
        <v>2.7215692244125737E-2</v>
      </c>
      <c r="Q23" s="16">
        <f si="21" t="shared"/>
        <v>2.1094064304276439E-3</v>
      </c>
      <c r="R23" s="16">
        <f si="13" t="shared"/>
        <v>2.9325098674553383E-2</v>
      </c>
    </row>
    <row r="24" spans="1:23" x14ac:dyDescent="0.25">
      <c r="A24" s="14" t="s">
        <v>8</v>
      </c>
      <c r="B24" s="17">
        <f si="14" t="shared"/>
        <v>0</v>
      </c>
      <c r="C24" s="17">
        <f si="14" t="shared"/>
        <v>2.453270960755225E-3</v>
      </c>
      <c r="D24" s="17">
        <f si="14" t="shared"/>
        <v>2.453270960755225E-3</v>
      </c>
      <c r="E24" s="17">
        <f si="14" t="shared"/>
        <v>0</v>
      </c>
      <c r="F24" s="17">
        <f si="14" t="shared"/>
        <v>2.453270960755225E-3</v>
      </c>
      <c r="G24" s="17">
        <f si="14" t="shared"/>
        <v>0</v>
      </c>
      <c r="H24" s="16">
        <f si="15" t="shared"/>
        <v>0</v>
      </c>
      <c r="I24" s="17">
        <f si="10" t="shared"/>
        <v>2.4338749515417329E-3</v>
      </c>
      <c r="K24" s="14" t="s">
        <v>8</v>
      </c>
      <c r="L24" s="17">
        <f si="11" t="shared"/>
        <v>0</v>
      </c>
      <c r="M24" s="17">
        <f si="11" t="shared"/>
        <v>0</v>
      </c>
      <c r="N24" s="17">
        <f ref="N24:Q24" si="22" t="shared">N11/$R$12</f>
        <v>0</v>
      </c>
      <c r="O24" s="17">
        <f si="22" t="shared"/>
        <v>0</v>
      </c>
      <c r="P24" s="17">
        <f si="22" t="shared"/>
        <v>0</v>
      </c>
      <c r="Q24" s="17">
        <f si="22" t="shared"/>
        <v>0</v>
      </c>
      <c r="R24" s="17">
        <f si="13" t="shared"/>
        <v>0</v>
      </c>
    </row>
    <row ht="15.75" r="25" spans="1:23" thickBot="1" x14ac:dyDescent="0.3">
      <c r="A25" s="13" t="s">
        <v>19</v>
      </c>
      <c r="B25" s="18">
        <f si="14" t="shared"/>
        <v>1.6772319861555175E-2</v>
      </c>
      <c r="C25" s="18">
        <f si="14" t="shared"/>
        <v>0.98322768013844508</v>
      </c>
      <c r="D25" s="18">
        <f si="14" t="shared"/>
        <v>0.79078692829709674</v>
      </c>
      <c r="E25" s="18">
        <f si="14" t="shared"/>
        <v>0.20921307170290335</v>
      </c>
      <c r="F25" s="18">
        <f si="14" t="shared"/>
        <v>0.9369157155409833</v>
      </c>
      <c r="G25" s="18">
        <f si="14" t="shared"/>
        <v>6.3084284459016843E-2</v>
      </c>
      <c r="H25" s="18">
        <f>H12/$I$12</f>
        <v>6.3116232292270633E-2</v>
      </c>
      <c r="I25" s="18">
        <f si="10" t="shared"/>
        <v>1</v>
      </c>
      <c r="K25" s="13" t="s">
        <v>19</v>
      </c>
      <c r="L25" s="18">
        <f si="11" t="shared"/>
        <v>3.3315573725929387E-2</v>
      </c>
      <c r="M25" s="18">
        <f si="11" t="shared"/>
        <v>0.96668442627407059</v>
      </c>
      <c r="N25" s="18">
        <f ref="N25:Q25" si="23" t="shared">N12/$R$12</f>
        <v>0.76580152007741742</v>
      </c>
      <c r="O25" s="18">
        <f si="23" t="shared"/>
        <v>0.23419847992258261</v>
      </c>
      <c r="P25" s="18">
        <f si="23" t="shared"/>
        <v>0.95028759690765363</v>
      </c>
      <c r="Q25" s="18">
        <f si="23" t="shared"/>
        <v>4.9712403092346334E-2</v>
      </c>
      <c r="R25" s="18">
        <f si="13" t="shared"/>
        <v>1</v>
      </c>
    </row>
    <row ht="15.75" r="28" spans="1:23" thickBot="1" x14ac:dyDescent="0.3">
      <c r="K28" s="1" t="s">
        <v>32</v>
      </c>
      <c r="L28" s="1"/>
      <c r="M28" s="3"/>
      <c r="N28" s="3"/>
      <c r="O28" s="3"/>
      <c r="P28" s="3"/>
      <c r="Q28" s="3"/>
      <c r="R28" s="3"/>
      <c r="T28" s="21" t="s">
        <v>40</v>
      </c>
      <c r="U28" s="21"/>
      <c r="V28" s="22"/>
      <c r="W28" s="22"/>
    </row>
    <row r="29" spans="1:23" x14ac:dyDescent="0.25">
      <c r="K29" s="2" t="s">
        <v>0</v>
      </c>
      <c r="L29" s="4" t="s">
        <v>9</v>
      </c>
      <c r="M29" s="4" t="s">
        <v>10</v>
      </c>
      <c r="N29" s="7" t="s">
        <v>235</v>
      </c>
      <c r="O29" s="7" t="s">
        <v>234</v>
      </c>
      <c r="P29" s="7" t="s">
        <v>236</v>
      </c>
      <c r="Q29" s="7" t="s">
        <v>237</v>
      </c>
      <c r="R29" s="7" t="s">
        <v>19</v>
      </c>
      <c r="T29" s="27" t="s">
        <v>0</v>
      </c>
      <c r="U29" s="28" t="s">
        <v>45</v>
      </c>
      <c r="V29" s="28" t="s">
        <v>33</v>
      </c>
      <c r="W29" s="29" t="s">
        <v>34</v>
      </c>
    </row>
    <row r="30" spans="1:23" x14ac:dyDescent="0.25">
      <c r="K30" s="9" t="s">
        <v>1</v>
      </c>
      <c r="L30" s="16">
        <f ref="L30:L38" si="24" t="shared">L17-B17</f>
        <v>-4.732217245568774E-4</v>
      </c>
      <c r="M30" s="16">
        <f ref="M30:M38" si="25" t="shared">M17-C17</f>
        <v>2.0628283894651267E-2</v>
      </c>
      <c r="N30" s="16">
        <f ref="N30:N38" si="26" t="shared">N17-D17</f>
        <v>1.6667555801280876E-2</v>
      </c>
      <c r="O30" s="16">
        <f ref="O30:O38" si="27" t="shared">O17-E17</f>
        <v>3.4875063688135123E-3</v>
      </c>
      <c r="P30" s="16">
        <f ref="P30:P38" si="28" t="shared">P17-F17</f>
        <v>1.8240164314784091E-2</v>
      </c>
      <c r="Q30" s="16">
        <f ref="Q30:Q38" si="29" t="shared">Q17-G17</f>
        <v>1.9148978553103066E-3</v>
      </c>
      <c r="R30" s="16">
        <f ref="R30:R38" si="30" t="shared">R17-I17</f>
        <v>2.168897971444525E-2</v>
      </c>
      <c r="T30" s="23" t="s">
        <v>1</v>
      </c>
      <c r="U30" s="24">
        <f>I17</f>
        <v>0.19248101234809756</v>
      </c>
      <c r="V30" s="24">
        <f ref="V30:V38" si="31" t="shared">R17</f>
        <v>0.21416999206254281</v>
      </c>
      <c r="W30" s="24">
        <f>V30-U30</f>
        <v>2.168897971444525E-2</v>
      </c>
    </row>
    <row r="31" spans="1:23" x14ac:dyDescent="0.25">
      <c r="K31" s="9" t="s">
        <v>2</v>
      </c>
      <c r="L31" s="16">
        <f si="24" t="shared"/>
        <v>6.3174434735698264E-3</v>
      </c>
      <c r="M31" s="16">
        <f si="25" t="shared"/>
        <v>1.1652615979005632E-2</v>
      </c>
      <c r="N31" s="16">
        <f si="26" t="shared"/>
        <v>1.891282408586642E-2</v>
      </c>
      <c r="O31" s="16">
        <f si="27" t="shared"/>
        <v>-9.4276463329102944E-4</v>
      </c>
      <c r="P31" s="16">
        <f si="28" t="shared"/>
        <v>2.4327850339739276E-2</v>
      </c>
      <c r="Q31" s="16">
        <f si="29" t="shared"/>
        <v>-6.3577908871638028E-3</v>
      </c>
      <c r="R31" s="16">
        <f si="30" t="shared"/>
        <v>2.1761175315181902E-2</v>
      </c>
      <c r="T31" s="30" t="s">
        <v>2</v>
      </c>
      <c r="U31" s="31">
        <f ref="U31:U38" si="32" t="shared">I18</f>
        <v>0.47572167216603461</v>
      </c>
      <c r="V31" s="31">
        <f si="31" t="shared"/>
        <v>0.49748284748121652</v>
      </c>
      <c r="W31" s="31">
        <f ref="W31:W38" si="33" t="shared">V31-U31</f>
        <v>2.1761175315181902E-2</v>
      </c>
    </row>
    <row r="32" spans="1:23" x14ac:dyDescent="0.25">
      <c r="K32" s="9" t="s">
        <v>3</v>
      </c>
      <c r="L32" s="16">
        <f si="24" t="shared"/>
        <v>5.9367830464613072E-3</v>
      </c>
      <c r="M32" s="16">
        <f si="25" t="shared"/>
        <v>-4.4161197457454032E-2</v>
      </c>
      <c r="N32" s="16">
        <f si="26" t="shared"/>
        <v>-7.4598037150690771E-2</v>
      </c>
      <c r="O32" s="16">
        <f si="27" t="shared"/>
        <v>3.6373622739697978E-2</v>
      </c>
      <c r="P32" s="16">
        <f si="28" t="shared"/>
        <v>-3.7094589260278976E-2</v>
      </c>
      <c r="Q32" s="16">
        <f si="29" t="shared"/>
        <v>-1.1298251507137992E-3</v>
      </c>
      <c r="R32" s="16">
        <f si="30" t="shared"/>
        <v>-3.593312993340253E-2</v>
      </c>
      <c r="T32" s="23" t="s">
        <v>3</v>
      </c>
      <c r="U32" s="24">
        <f si="32" t="shared"/>
        <v>0.28751790306347896</v>
      </c>
      <c r="V32" s="24">
        <f si="31" t="shared"/>
        <v>0.25158477313007643</v>
      </c>
      <c r="W32" s="24">
        <f si="33" t="shared"/>
        <v>-3.593312993340253E-2</v>
      </c>
    </row>
    <row r="33" spans="11:23" x14ac:dyDescent="0.25">
      <c r="K33" s="9" t="s">
        <v>4</v>
      </c>
      <c r="L33" s="16">
        <f si="24" t="shared"/>
        <v>0</v>
      </c>
      <c r="M33" s="16">
        <f si="25" t="shared"/>
        <v>0</v>
      </c>
      <c r="N33" s="16">
        <f si="26" t="shared"/>
        <v>0</v>
      </c>
      <c r="O33" s="16">
        <f si="27" t="shared"/>
        <v>0</v>
      </c>
      <c r="P33" s="16">
        <f si="28" t="shared"/>
        <v>0</v>
      </c>
      <c r="Q33" s="16">
        <f si="29" t="shared"/>
        <v>0</v>
      </c>
      <c r="R33" s="16">
        <f si="30" t="shared"/>
        <v>0</v>
      </c>
      <c r="T33" s="30" t="s">
        <v>4</v>
      </c>
      <c r="U33" s="31">
        <f si="32" t="shared"/>
        <v>0</v>
      </c>
      <c r="V33" s="31">
        <f si="31" t="shared"/>
        <v>0</v>
      </c>
      <c r="W33" s="31">
        <f si="33" t="shared"/>
        <v>0</v>
      </c>
    </row>
    <row r="34" spans="11:23" x14ac:dyDescent="0.25">
      <c r="K34" s="9" t="s">
        <v>5</v>
      </c>
      <c r="L34" s="16">
        <f si="24" t="shared"/>
        <v>4.1644467157411734E-3</v>
      </c>
      <c r="M34" s="16">
        <f si="25" t="shared"/>
        <v>8.8719394300453382E-4</v>
      </c>
      <c r="N34" s="16">
        <f si="26" t="shared"/>
        <v>4.6928241009925519E-3</v>
      </c>
      <c r="O34" s="16">
        <f si="27" t="shared"/>
        <v>3.5881655775315597E-4</v>
      </c>
      <c r="P34" s="16">
        <f si="28" t="shared"/>
        <v>4.9429083685174789E-3</v>
      </c>
      <c r="Q34" s="16">
        <f si="29" t="shared"/>
        <v>1.0873229022822908E-4</v>
      </c>
      <c r="R34" s="16">
        <f si="30" t="shared"/>
        <v>-2.8521004477327265E-3</v>
      </c>
      <c r="T34" s="23" t="s">
        <v>5</v>
      </c>
      <c r="U34" s="24">
        <f si="32" t="shared"/>
        <v>8.2126023559844202E-3</v>
      </c>
      <c r="V34" s="24">
        <f si="31" t="shared"/>
        <v>5.3605019082516936E-3</v>
      </c>
      <c r="W34" s="24">
        <f si="33" t="shared"/>
        <v>-2.8521004477327265E-3</v>
      </c>
    </row>
    <row r="35" spans="11:23" x14ac:dyDescent="0.25">
      <c r="K35" s="9" t="s">
        <v>6</v>
      </c>
      <c r="L35" s="16">
        <f si="24" t="shared"/>
        <v>3.4794332873033307E-4</v>
      </c>
      <c r="M35" s="16">
        <f si="25" t="shared"/>
        <v>-3.8131942950247969E-3</v>
      </c>
      <c r="N35" s="16">
        <f si="26" t="shared"/>
        <v>6.6994220101360136E-4</v>
      </c>
      <c r="O35" s="16">
        <f si="27" t="shared"/>
        <v>-4.1351931673080655E-3</v>
      </c>
      <c r="P35" s="16">
        <f si="28" t="shared"/>
        <v>-3.5196171114085786E-3</v>
      </c>
      <c r="Q35" s="16">
        <f si="29" t="shared"/>
        <v>5.4366145114114539E-5</v>
      </c>
      <c r="R35" s="16">
        <f si="30" t="shared"/>
        <v>-3.4214346018579525E-3</v>
      </c>
      <c r="T35" s="30" t="s">
        <v>6</v>
      </c>
      <c r="U35" s="31">
        <f si="32" t="shared"/>
        <v>5.4982213452171276E-3</v>
      </c>
      <c r="V35" s="31">
        <f si="31" t="shared"/>
        <v>2.0767867433591752E-3</v>
      </c>
      <c r="W35" s="31">
        <f si="33" t="shared"/>
        <v>-3.4214346018579525E-3</v>
      </c>
    </row>
    <row r="36" spans="11:23" x14ac:dyDescent="0.25">
      <c r="K36" s="9" t="s">
        <v>7</v>
      </c>
      <c r="L36" s="16">
        <f si="24" t="shared"/>
        <v>2.4985902442845173E-4</v>
      </c>
      <c r="M36" s="16">
        <f si="25" t="shared"/>
        <v>7.1631503219832943E-4</v>
      </c>
      <c r="N36" s="16">
        <f si="26" t="shared"/>
        <v>1.1122753702613088E-2</v>
      </c>
      <c r="O36" s="16">
        <f si="27" t="shared"/>
        <v>-1.0156579645986307E-2</v>
      </c>
      <c r="P36" s="16">
        <f si="28" t="shared"/>
        <v>8.9284356760723355E-3</v>
      </c>
      <c r="Q36" s="16">
        <f si="29" t="shared"/>
        <v>-7.9622616194455556E-3</v>
      </c>
      <c r="R36" s="16">
        <f si="30" t="shared"/>
        <v>1.1903849049077625E-3</v>
      </c>
      <c r="T36" s="23" t="s">
        <v>7</v>
      </c>
      <c r="U36" s="24">
        <f si="32" t="shared"/>
        <v>2.813471376964562E-2</v>
      </c>
      <c r="V36" s="24">
        <f si="31" t="shared"/>
        <v>2.9325098674553383E-2</v>
      </c>
      <c r="W36" s="24">
        <f si="33" t="shared"/>
        <v>1.1903849049077625E-3</v>
      </c>
    </row>
    <row r="37" spans="11:23" x14ac:dyDescent="0.25">
      <c r="K37" s="14" t="s">
        <v>8</v>
      </c>
      <c r="L37" s="17">
        <f si="24" t="shared"/>
        <v>0</v>
      </c>
      <c r="M37" s="17">
        <f si="25" t="shared"/>
        <v>-2.453270960755225E-3</v>
      </c>
      <c r="N37" s="17">
        <f si="26" t="shared"/>
        <v>-2.453270960755225E-3</v>
      </c>
      <c r="O37" s="17">
        <f si="27" t="shared"/>
        <v>0</v>
      </c>
      <c r="P37" s="17">
        <f si="28" t="shared"/>
        <v>-2.453270960755225E-3</v>
      </c>
      <c r="Q37" s="17">
        <f si="29" t="shared"/>
        <v>0</v>
      </c>
      <c r="R37" s="17">
        <f si="30" t="shared"/>
        <v>-2.4338749515417329E-3</v>
      </c>
      <c r="T37" s="32" t="s">
        <v>8</v>
      </c>
      <c r="U37" s="33">
        <f si="32" t="shared"/>
        <v>2.4338749515417329E-3</v>
      </c>
      <c r="V37" s="33">
        <f si="31" t="shared"/>
        <v>0</v>
      </c>
      <c r="W37" s="33">
        <f si="33" t="shared"/>
        <v>-2.4338749515417329E-3</v>
      </c>
    </row>
    <row ht="15.75" r="38" spans="11:23" thickBot="1" x14ac:dyDescent="0.3">
      <c r="K38" s="13" t="s">
        <v>19</v>
      </c>
      <c r="L38" s="18">
        <f si="24" t="shared"/>
        <v>1.6543253864374212E-2</v>
      </c>
      <c r="M38" s="18">
        <f si="25" t="shared"/>
        <v>-1.6543253864374496E-2</v>
      </c>
      <c r="N38" s="18">
        <f si="26" t="shared"/>
        <v>-2.4985408219679317E-2</v>
      </c>
      <c r="O38" s="18">
        <f si="27" t="shared"/>
        <v>2.4985408219679262E-2</v>
      </c>
      <c r="P38" s="18">
        <f si="28" t="shared"/>
        <v>1.3371881366670335E-2</v>
      </c>
      <c r="Q38" s="18">
        <f si="29" t="shared"/>
        <v>-1.3371881366670509E-2</v>
      </c>
      <c r="R38" s="18">
        <f si="30" t="shared"/>
        <v>0</v>
      </c>
      <c r="T38" s="25" t="s">
        <v>19</v>
      </c>
      <c r="U38" s="26">
        <f si="32" t="shared"/>
        <v>1</v>
      </c>
      <c r="V38" s="26">
        <f si="31" t="shared"/>
        <v>1</v>
      </c>
      <c r="W38" s="26">
        <f si="33" t="shared"/>
        <v>0</v>
      </c>
    </row>
  </sheetData>
  <pageMargins bottom="0.75" footer="0.3" header="0.3" left="0.7" right="0.7" top="0.75"/>
  <pageSetup orientation="portrait" r:id="rId1"/>
  <ignoredErrors>
    <ignoredError formulaRange="1" sqref="R4:R11"/>
  </ignoredErrors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X38"/>
  <sheetViews>
    <sheetView workbookViewId="0">
      <selection activeCell="J3" sqref="J3:J12"/>
    </sheetView>
  </sheetViews>
  <sheetFormatPr defaultRowHeight="15" x14ac:dyDescent="0.25"/>
  <cols>
    <col min="1" max="9" customWidth="true" width="16.7109375" collapsed="true"/>
    <col min="11" max="18" customWidth="true" width="16.7109375" collapsed="true"/>
    <col min="20" max="20" customWidth="true" width="16.7109375" collapsed="true"/>
    <col min="21" max="23" customWidth="true" width="11.85546875" collapsed="true"/>
  </cols>
  <sheetData>
    <row ht="15.75" r="2" spans="1:18" thickBot="1" x14ac:dyDescent="0.3">
      <c r="A2" s="1" t="s">
        <v>285</v>
      </c>
      <c r="B2" s="1"/>
      <c r="C2" s="3"/>
      <c r="D2" s="3"/>
      <c r="E2" s="3"/>
      <c r="F2" s="3"/>
      <c r="G2" s="3"/>
      <c r="H2" s="3" t="s">
        <v>313</v>
      </c>
      <c r="I2" s="3"/>
      <c r="K2" s="1" t="s">
        <v>16</v>
      </c>
      <c r="L2" s="1"/>
      <c r="M2" s="3"/>
      <c r="N2" s="3"/>
      <c r="O2" s="3"/>
      <c r="P2" s="3"/>
      <c r="Q2" s="3"/>
      <c r="R2" s="3"/>
    </row>
    <row r="3" spans="1:18" x14ac:dyDescent="0.25">
      <c r="A3" s="2" t="s">
        <v>0</v>
      </c>
      <c r="B3" s="4" t="s">
        <v>9</v>
      </c>
      <c r="C3" s="4" t="s">
        <v>10</v>
      </c>
      <c r="D3" s="7" t="s">
        <v>235</v>
      </c>
      <c r="E3" s="7" t="s">
        <v>234</v>
      </c>
      <c r="F3" s="7" t="s">
        <v>236</v>
      </c>
      <c r="G3" s="7" t="s">
        <v>237</v>
      </c>
      <c r="H3" s="110" t="s">
        <v>278</v>
      </c>
      <c r="I3" s="7" t="s">
        <v>19</v>
      </c>
      <c r="J3" s="133" t="s">
        <v>331</v>
      </c>
      <c r="K3" s="2" t="s">
        <v>0</v>
      </c>
      <c r="L3" s="4" t="s">
        <v>9</v>
      </c>
      <c r="M3" s="4" t="s">
        <v>10</v>
      </c>
      <c r="N3" s="7" t="s">
        <v>235</v>
      </c>
      <c r="O3" s="7" t="s">
        <v>234</v>
      </c>
      <c r="P3" s="7" t="s">
        <v>236</v>
      </c>
      <c r="Q3" s="7" t="s">
        <v>237</v>
      </c>
      <c r="R3" s="7" t="s">
        <v>19</v>
      </c>
    </row>
    <row r="4" spans="1:18" x14ac:dyDescent="0.25">
      <c r="A4" s="9" t="s">
        <v>1</v>
      </c>
      <c r="B4" s="9" t="n">
        <v>167.34271</v>
      </c>
      <c r="C4" s="9" t="n">
        <v>61937.556961</v>
      </c>
      <c r="D4" s="9" t="n">
        <v>56381.271351</v>
      </c>
      <c r="E4" s="9" t="n">
        <v>5723.62832</v>
      </c>
      <c r="F4" s="9" t="n">
        <v>60727.573074</v>
      </c>
      <c r="G4" s="9" t="n">
        <v>1377.326597</v>
      </c>
      <c r="H4" s="111"/>
      <c r="I4" s="9">
        <f>SUM($B4:$C4)*(SUM($B$12:$C$12)-SUM($I$7:$I$8))/(SUM($B$12:$C$12)-SUM($B$7:$C$8))</f>
        <v>61790.680903686014</v>
      </c>
      <c r="J4" s="125">
        <f>I4*(R$12-SUM($I$7:$I$8))/(I$12-SUM($I$7:$I$8))</f>
        <v>67556.501689254364</v>
      </c>
      <c r="K4" s="118" t="str">
        <f>A4</f>
        <v>Drive Alone</v>
      </c>
      <c r="L4" s="9" t="n">
        <v>0.0</v>
      </c>
      <c r="M4" s="9" t="n">
        <v>69456.0</v>
      </c>
      <c r="N4" s="9" t="n">
        <v>57811.0</v>
      </c>
      <c r="O4" s="9" t="n">
        <v>11645.0</v>
      </c>
      <c r="P4" s="9" t="n">
        <v>66175.0</v>
      </c>
      <c r="Q4" s="9" t="n">
        <v>3281.0</v>
      </c>
      <c r="R4" s="9">
        <f>SUM(L4:M4)</f>
        <v>69525</v>
      </c>
    </row>
    <row r="5" spans="1:18" x14ac:dyDescent="0.25">
      <c r="A5" s="9" t="s">
        <v>2</v>
      </c>
      <c r="B5" s="9" t="n">
        <v>1321.359296</v>
      </c>
      <c r="C5" s="9" t="n">
        <v>56698.137357</v>
      </c>
      <c r="D5" s="9" t="n">
        <v>47870.342484</v>
      </c>
      <c r="E5" s="9" t="n">
        <v>10149.154169</v>
      </c>
      <c r="F5" s="9" t="n">
        <v>54628.266657</v>
      </c>
      <c r="G5" s="9" t="n">
        <v>3391.229996</v>
      </c>
      <c r="H5" s="111"/>
      <c r="I5" s="9">
        <f ref="I5:I6" si="0" t="shared">SUM($B5:$C5)*(SUM($B$12:$C$12)-SUM($I$7:$I$8))/(SUM($B$12:$C$12)-SUM($B$7:$C$8))</f>
        <v>57725.947918277598</v>
      </c>
      <c r="J5" s="125">
        <f ref="J5:J6" si="1" t="shared">I5*(R$12-SUM($I$7:$I$8))/(I$12-SUM($I$7:$I$8))</f>
        <v>63112.479762661045</v>
      </c>
      <c r="K5" s="12" t="str">
        <f ref="K5:K11" si="2" t="shared">A5</f>
        <v>Shared Ride 2</v>
      </c>
      <c r="L5" s="9" t="n">
        <v>2657.0</v>
      </c>
      <c r="M5" s="9" t="n">
        <v>71597.0</v>
      </c>
      <c r="N5" s="9" t="n">
        <v>52486.0</v>
      </c>
      <c r="O5" s="9" t="n">
        <v>21768.0</v>
      </c>
      <c r="P5" s="9" t="n">
        <v>68123.0</v>
      </c>
      <c r="Q5" s="9" t="n">
        <v>6131.0</v>
      </c>
      <c r="R5" s="9">
        <f ref="R5:R12" si="3" t="shared">SUM(L5:M5)</f>
        <v>74326</v>
      </c>
    </row>
    <row r="6" spans="1:18" x14ac:dyDescent="0.25">
      <c r="A6" s="9" t="s">
        <v>3</v>
      </c>
      <c r="B6" s="9" t="n">
        <v>813.781119</v>
      </c>
      <c r="C6" s="9" t="n">
        <v>49032.520786</v>
      </c>
      <c r="D6" s="9" t="n">
        <v>43984.729687</v>
      </c>
      <c r="E6" s="9" t="n">
        <v>5861.572218</v>
      </c>
      <c r="F6" s="9" t="n">
        <v>49384.231749</v>
      </c>
      <c r="G6" s="9" t="n">
        <v>462.070156</v>
      </c>
      <c r="H6" s="111"/>
      <c r="I6" s="9">
        <f si="0" t="shared"/>
        <v>49594.105321111732</v>
      </c>
      <c r="J6" s="125">
        <f si="1" t="shared"/>
        <v>54221.837515030216</v>
      </c>
      <c r="K6" s="12" t="str">
        <f si="2" t="shared"/>
        <v>Shared Ride 3+</v>
      </c>
      <c r="L6" s="9" t="n">
        <v>1078.0</v>
      </c>
      <c r="M6" s="9" t="n">
        <v>50142.0</v>
      </c>
      <c r="N6" s="9" t="n">
        <v>35719.0</v>
      </c>
      <c r="O6" s="9" t="n">
        <v>15501.0</v>
      </c>
      <c r="P6" s="9" t="n">
        <v>50136.0</v>
      </c>
      <c r="Q6" s="9" t="n">
        <v>1084.0</v>
      </c>
      <c r="R6" s="9">
        <f si="3" t="shared"/>
        <v>51042</v>
      </c>
    </row>
    <row r="7" spans="1:18" x14ac:dyDescent="0.25">
      <c r="A7" s="9" t="s">
        <v>4</v>
      </c>
      <c r="B7" s="9" t="n">
        <v>0.0</v>
      </c>
      <c r="C7" s="9" t="n">
        <v>196.146961</v>
      </c>
      <c r="D7" s="9" t="n">
        <v>196.146961</v>
      </c>
      <c r="E7" s="9" t="n">
        <v>0.0</v>
      </c>
      <c r="F7" s="9" t="n">
        <v>196.146961</v>
      </c>
      <c r="G7" s="9" t="n">
        <v>0.0</v>
      </c>
      <c r="H7" s="111">
        <v>0</v>
      </c>
      <c r="I7" s="119">
        <f>(H7*SUM($B$12:$C$12)/(SUM(Personal_Business!$B$12:$C$12)+SUM(Shop!$B$12:$C$12)+SUM(Meal!$B$12:$C$12)+SUM(SocRec!$B$12:$C$12)))</f>
        <v>0</v>
      </c>
      <c r="J7" s="9">
        <f>I7</f>
        <v>0</v>
      </c>
      <c r="K7" s="12" t="str">
        <f si="2" t="shared"/>
        <v>Drive-Transit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 t="n">
        <v>0.0</v>
      </c>
      <c r="R7" s="9">
        <f si="3" t="shared"/>
        <v>0</v>
      </c>
    </row>
    <row r="8" spans="1:18" x14ac:dyDescent="0.25">
      <c r="A8" s="9" t="s">
        <v>5</v>
      </c>
      <c r="B8" s="9" t="n">
        <v>244.3142</v>
      </c>
      <c r="C8" s="9" t="n">
        <v>174.728904</v>
      </c>
      <c r="D8" s="9" t="n">
        <v>346.68446</v>
      </c>
      <c r="E8" s="9" t="n">
        <v>72.358644</v>
      </c>
      <c r="F8" s="9" t="n">
        <v>385.680719</v>
      </c>
      <c r="G8" s="9" t="n">
        <v>33.362385</v>
      </c>
      <c r="H8" s="111">
        <f>1.1*4651.16092221859</f>
        <v>5116.2770144404494</v>
      </c>
      <c r="I8" s="119">
        <f>(H8*SUM($B$12:$C$12)/(SUM(Personal_Business!$B$12:$C$12)+SUM(Shop!$B$12:$C$12)+SUM(Meal!$B$12:$C$12)+SUM(SocRec!$B$12:$C$12)))</f>
        <v>1594.2153960613791</v>
      </c>
      <c r="J8" s="9">
        <f>I8</f>
        <v>1594.2153960613791</v>
      </c>
      <c r="K8" s="12" t="str">
        <f si="2" t="shared"/>
        <v>Walk-Transit</v>
      </c>
      <c r="L8" s="9" t="n">
        <v>924.0</v>
      </c>
      <c r="M8" s="9" t="n">
        <v>238.0</v>
      </c>
      <c r="N8" s="9" t="n">
        <v>1074.0</v>
      </c>
      <c r="O8" s="9" t="n">
        <v>88.0</v>
      </c>
      <c r="P8" s="9" t="n">
        <v>1132.0</v>
      </c>
      <c r="Q8" s="9" t="n">
        <v>30.0</v>
      </c>
      <c r="R8" s="9">
        <f si="3" t="shared"/>
        <v>1384</v>
      </c>
    </row>
    <row r="9" spans="1:18" x14ac:dyDescent="0.25">
      <c r="A9" s="9" t="s">
        <v>6</v>
      </c>
      <c r="B9" s="9" t="n">
        <v>0.0</v>
      </c>
      <c r="C9" s="9" t="n">
        <v>2522.990847</v>
      </c>
      <c r="D9" s="9" t="n">
        <v>2135.584476</v>
      </c>
      <c r="E9" s="9" t="n">
        <v>387.40637100000004</v>
      </c>
      <c r="F9" s="9" t="n">
        <v>2522.990847</v>
      </c>
      <c r="G9" s="9" t="n">
        <v>0.0</v>
      </c>
      <c r="H9" s="111"/>
      <c r="I9" s="9">
        <f ref="I9:I11" si="4" t="shared">SUM($B9:$C9)*(SUM($B$12:$C$12)-SUM($I$7:$I$8))/(SUM($B$12:$C$12)-SUM($B$7:$C$8))</f>
        <v>2510.2258143199938</v>
      </c>
      <c r="J9" s="125">
        <f>I9*(R$12-SUM($I$7:$I$8))/(I$12-SUM($I$7:$I$8))</f>
        <v>2744.4603617469193</v>
      </c>
      <c r="K9" s="12" t="str">
        <f si="2" t="shared"/>
        <v>Bike</v>
      </c>
      <c r="L9" s="9" t="n">
        <v>167.0</v>
      </c>
      <c r="M9" s="9" t="n">
        <v>2023.0</v>
      </c>
      <c r="N9" s="9" t="n">
        <v>1493.0</v>
      </c>
      <c r="O9" s="9" t="n">
        <v>697.0</v>
      </c>
      <c r="P9" s="9" t="n">
        <v>1971.0</v>
      </c>
      <c r="Q9" s="9" t="n">
        <v>219.0</v>
      </c>
      <c r="R9" s="9">
        <f si="3" t="shared"/>
        <v>2210</v>
      </c>
    </row>
    <row r="10" spans="1:18" x14ac:dyDescent="0.25">
      <c r="A10" s="9" t="s">
        <v>7</v>
      </c>
      <c r="B10" s="9" t="n">
        <v>2351.484909</v>
      </c>
      <c r="C10" s="9" t="n">
        <v>16313.318913</v>
      </c>
      <c r="D10" s="9" t="n">
        <v>16260.022726</v>
      </c>
      <c r="E10" s="9" t="n">
        <v>2404.781096</v>
      </c>
      <c r="F10" s="9" t="n">
        <v>18443.150665</v>
      </c>
      <c r="G10" s="9" t="n">
        <v>221.65315700000002</v>
      </c>
      <c r="H10" s="111"/>
      <c r="I10" s="9">
        <f si="4" t="shared"/>
        <v>18570.369539356034</v>
      </c>
      <c r="J10" s="125">
        <f ref="J10:J11" si="5" t="shared">I10*(R$12-SUM($I$7:$I$8))/(I$12-SUM($I$7:$I$8))</f>
        <v>20303.210497244185</v>
      </c>
      <c r="K10" s="12" t="str">
        <f si="2" t="shared"/>
        <v>Walk</v>
      </c>
      <c r="L10" s="9" t="n">
        <v>1401.0</v>
      </c>
      <c r="M10" s="9" t="n">
        <v>12972.0</v>
      </c>
      <c r="N10" s="9" t="n">
        <v>10089.0</v>
      </c>
      <c r="O10" s="9" t="n">
        <v>4284.0</v>
      </c>
      <c r="P10" s="9" t="n">
        <v>13211.0</v>
      </c>
      <c r="Q10" s="9" t="n">
        <v>1162.0</v>
      </c>
      <c r="R10" s="9">
        <f si="3" t="shared"/>
        <v>13596</v>
      </c>
    </row>
    <row r="11" spans="1:18" x14ac:dyDescent="0.25">
      <c r="A11" s="14" t="s">
        <v>8</v>
      </c>
      <c r="B11" s="14" t="n">
        <v>38.996259</v>
      </c>
      <c r="C11" s="14" t="n">
        <v>2305.49757</v>
      </c>
      <c r="D11" s="14" t="n">
        <v>1202.127813</v>
      </c>
      <c r="E11" s="14" t="n">
        <v>1142.366016</v>
      </c>
      <c r="F11" s="14" t="n">
        <v>2120.769203</v>
      </c>
      <c r="G11" s="14" t="n">
        <v>223.724626</v>
      </c>
      <c r="H11" s="112"/>
      <c r="I11" s="14">
        <f si="4" t="shared"/>
        <v>2332.6318991872768</v>
      </c>
      <c r="J11" s="125">
        <f si="5" t="shared"/>
        <v>2550.2947780019276</v>
      </c>
      <c r="K11" s="14" t="str">
        <f si="2" t="shared"/>
        <v>School Bus</v>
      </c>
      <c r="L11" s="14" t="n">
        <v>0.0</v>
      </c>
      <c r="M11" s="14" t="n">
        <v>0.0</v>
      </c>
      <c r="N11" s="14" t="n">
        <v>0.0</v>
      </c>
      <c r="O11" s="14" t="n">
        <v>0.0</v>
      </c>
      <c r="P11" s="14" t="n">
        <v>0.0</v>
      </c>
      <c r="Q11" s="14" t="n">
        <v>0.0</v>
      </c>
      <c r="R11" s="14">
        <f si="3" t="shared"/>
        <v>0</v>
      </c>
    </row>
    <row ht="15.75" r="12" spans="1:18" thickBot="1" x14ac:dyDescent="0.3">
      <c r="A12" s="13" t="s">
        <v>19</v>
      </c>
      <c r="B12" s="10">
        <f>SUM(B4:B11)</f>
        <v>4937.2784929999989</v>
      </c>
      <c r="C12" s="10">
        <f>SUM(C4:C11)</f>
        <v>189180.89829899999</v>
      </c>
      <c r="D12" s="10">
        <f ref="D12:H12" si="6" t="shared">SUM(D4:D11)</f>
        <v>168376.90995799997</v>
      </c>
      <c r="E12" s="10">
        <f si="6" t="shared"/>
        <v>25741.266833999998</v>
      </c>
      <c r="F12" s="10">
        <f si="6" t="shared"/>
        <v>188408.80987499998</v>
      </c>
      <c r="G12" s="10">
        <f si="6" t="shared"/>
        <v>5709.3669170000003</v>
      </c>
      <c r="H12" s="113">
        <f si="6" t="shared"/>
        <v>5116.2770144404494</v>
      </c>
      <c r="I12" s="10">
        <f ref="I12" si="7" t="shared">SUM(B12:C12)</f>
        <v>194118.17679199998</v>
      </c>
      <c r="J12" s="131">
        <f>SUM(J4:J11)</f>
        <v>212083.00000000003</v>
      </c>
      <c r="K12" s="13" t="s">
        <v>19</v>
      </c>
      <c r="L12" s="10">
        <f>SUM(L4:L11)</f>
        <v>6195</v>
      </c>
      <c r="M12" s="10">
        <f>SUM(M4:M11)</f>
        <v>205888</v>
      </c>
      <c r="N12" s="10">
        <f ref="N12:Q12" si="8" t="shared">SUM(N4:N11)</f>
        <v>157594</v>
      </c>
      <c r="O12" s="10">
        <f si="8" t="shared"/>
        <v>54489</v>
      </c>
      <c r="P12" s="10">
        <f si="8" t="shared"/>
        <v>200128</v>
      </c>
      <c r="Q12" s="10">
        <f si="8" t="shared"/>
        <v>11955</v>
      </c>
      <c r="R12" s="10">
        <f si="3" t="shared"/>
        <v>212083</v>
      </c>
    </row>
    <row r="13" spans="1:18" x14ac:dyDescent="0.25">
      <c r="B13" s="120">
        <f>B7/SUM($B7:$C7)</f>
        <v>0</v>
      </c>
      <c r="C13" s="120">
        <f ref="C13:G14" si="9" t="shared">C7/SUM($B7:$C7)</f>
        <v>1</v>
      </c>
      <c r="D13" s="120">
        <f si="9" t="shared"/>
        <v>1</v>
      </c>
      <c r="E13" s="120">
        <f si="9" t="shared"/>
        <v>0</v>
      </c>
      <c r="F13" s="120">
        <f si="9" t="shared"/>
        <v>1</v>
      </c>
      <c r="G13" s="120">
        <f si="9" t="shared"/>
        <v>0</v>
      </c>
    </row>
    <row r="14" spans="1:18" x14ac:dyDescent="0.25">
      <c r="B14" s="120">
        <f>B8/SUM($B8:$C8)</f>
        <v>0.58302880459762918</v>
      </c>
      <c r="C14" s="120">
        <f si="9" t="shared"/>
        <v>0.41697119540237088</v>
      </c>
      <c r="D14" s="120">
        <f si="9" t="shared"/>
        <v>0.82732410267751366</v>
      </c>
      <c r="E14" s="120">
        <f si="9" t="shared"/>
        <v>0.17267589732248642</v>
      </c>
      <c r="F14" s="120">
        <f si="9" t="shared"/>
        <v>0.92038435979130218</v>
      </c>
      <c r="G14" s="120">
        <f si="9" t="shared"/>
        <v>7.9615640208697977E-2</v>
      </c>
    </row>
    <row ht="15.75" r="15" spans="1:18" thickBot="1" x14ac:dyDescent="0.3">
      <c r="A15" s="1" t="s">
        <v>286</v>
      </c>
      <c r="B15" s="1"/>
      <c r="C15" s="3"/>
      <c r="D15" s="3"/>
      <c r="E15" s="3"/>
      <c r="F15" s="3"/>
      <c r="G15" s="3"/>
      <c r="H15" s="3"/>
      <c r="I15" s="3"/>
      <c r="K15" s="1" t="s">
        <v>22</v>
      </c>
      <c r="L15" s="1"/>
      <c r="M15" s="3"/>
      <c r="N15" s="3"/>
      <c r="O15" s="3"/>
      <c r="P15" s="3"/>
      <c r="Q15" s="3"/>
      <c r="R15" s="3"/>
    </row>
    <row r="16" spans="1:18" x14ac:dyDescent="0.25">
      <c r="A16" s="2" t="s">
        <v>0</v>
      </c>
      <c r="B16" s="4" t="s">
        <v>9</v>
      </c>
      <c r="C16" s="4" t="s">
        <v>10</v>
      </c>
      <c r="D16" s="7" t="s">
        <v>235</v>
      </c>
      <c r="E16" s="7" t="s">
        <v>234</v>
      </c>
      <c r="F16" s="7" t="s">
        <v>236</v>
      </c>
      <c r="G16" s="7" t="s">
        <v>237</v>
      </c>
      <c r="H16" s="7" t="s">
        <v>278</v>
      </c>
      <c r="I16" s="7" t="s">
        <v>19</v>
      </c>
      <c r="K16" s="2" t="s">
        <v>0</v>
      </c>
      <c r="L16" s="4" t="s">
        <v>9</v>
      </c>
      <c r="M16" s="4" t="s">
        <v>10</v>
      </c>
      <c r="N16" s="7" t="s">
        <v>235</v>
      </c>
      <c r="O16" s="7" t="s">
        <v>234</v>
      </c>
      <c r="P16" s="7" t="s">
        <v>236</v>
      </c>
      <c r="Q16" s="7" t="s">
        <v>237</v>
      </c>
      <c r="R16" s="7" t="s">
        <v>19</v>
      </c>
    </row>
    <row r="17" spans="1:23" x14ac:dyDescent="0.25">
      <c r="A17" s="9" t="s">
        <v>1</v>
      </c>
      <c r="B17" s="16">
        <f ref="B17:H17" si="10" t="shared">B4/$I$12</f>
        <v>8.6206615354372394E-4</v>
      </c>
      <c r="C17" s="16">
        <f si="10" t="shared"/>
        <v>0.31907139240941285</v>
      </c>
      <c r="D17" s="16">
        <f si="10" t="shared"/>
        <v>0.29044818101404912</v>
      </c>
      <c r="E17" s="16">
        <f si="10" t="shared"/>
        <v>2.9485277548907427E-2</v>
      </c>
      <c r="F17" s="16">
        <f si="10" t="shared"/>
        <v>0.31283815909249107</v>
      </c>
      <c r="G17" s="16">
        <f si="10" t="shared"/>
        <v>7.0952994704654698E-3</v>
      </c>
      <c r="H17" s="16">
        <f si="10" t="shared"/>
        <v>0</v>
      </c>
      <c r="I17" s="16">
        <f ref="I17:I25" si="11" t="shared">I4/$I$12</f>
        <v>0.31831476023956012</v>
      </c>
      <c r="K17" s="9" t="s">
        <v>1</v>
      </c>
      <c r="L17" s="16">
        <f ref="L17:M25" si="12" t="shared">L4/$R$12</f>
        <v>0</v>
      </c>
      <c r="M17" s="16">
        <f si="12" t="shared"/>
        <v>0.32781976867547141</v>
      </c>
      <c r="N17" s="16">
        <f ref="N17:Q17" si="13" t="shared">N4/$R$12</f>
        <v>0.27189355110970703</v>
      </c>
      <c r="O17" s="16">
        <f si="13" t="shared"/>
        <v>5.5926217565764345E-2</v>
      </c>
      <c r="P17" s="16">
        <f si="13" t="shared"/>
        <v>0.31153840713305642</v>
      </c>
      <c r="Q17" s="16">
        <f si="13" t="shared"/>
        <v>1.6281361542414999E-2</v>
      </c>
      <c r="R17" s="16">
        <f ref="R17:R25" si="14" t="shared">R4/$R$12</f>
        <v>0.32781976867547141</v>
      </c>
    </row>
    <row r="18" spans="1:23" x14ac:dyDescent="0.25">
      <c r="A18" s="9" t="s">
        <v>2</v>
      </c>
      <c r="B18" s="16">
        <f ref="B18:G25" si="15" t="shared">B5/$I$12</f>
        <v>6.8069838581672482E-3</v>
      </c>
      <c r="C18" s="16">
        <f si="15" t="shared"/>
        <v>0.29208051659043116</v>
      </c>
      <c r="D18" s="16">
        <f si="15" t="shared"/>
        <v>0.24660412164953344</v>
      </c>
      <c r="E18" s="16">
        <f si="15" t="shared"/>
        <v>5.2283378799064979E-2</v>
      </c>
      <c r="F18" s="16">
        <f si="15" t="shared"/>
        <v>0.28141757541610779</v>
      </c>
      <c r="G18" s="16">
        <f si="15" t="shared"/>
        <v>1.7469925032490619E-2</v>
      </c>
      <c r="H18" s="16">
        <f ref="H18:H24" si="16" t="shared">H5/$I$12</f>
        <v>0</v>
      </c>
      <c r="I18" s="16">
        <f si="11" t="shared"/>
        <v>0.29737528382069889</v>
      </c>
      <c r="K18" s="9" t="s">
        <v>2</v>
      </c>
      <c r="L18" s="16">
        <f si="12" t="shared"/>
        <v>1.2419665885525949E-2</v>
      </c>
      <c r="M18" s="16">
        <f si="12" t="shared"/>
        <v>0.3380374664636015</v>
      </c>
      <c r="N18" s="16">
        <f ref="N18:Q18" si="17" t="shared">N5/$R$12</f>
        <v>0.24762003555211876</v>
      </c>
      <c r="O18" s="16">
        <f si="17" t="shared"/>
        <v>0.10283709679700871</v>
      </c>
      <c r="P18" s="16">
        <f si="17" t="shared"/>
        <v>0.32293960383434789</v>
      </c>
      <c r="Q18" s="16">
        <f si="17" t="shared"/>
        <v>2.751752851477959E-2</v>
      </c>
      <c r="R18" s="16">
        <f si="14" t="shared"/>
        <v>0.35045713234912745</v>
      </c>
    </row>
    <row r="19" spans="1:23" x14ac:dyDescent="0.25">
      <c r="A19" s="9" t="s">
        <v>3</v>
      </c>
      <c r="B19" s="16">
        <f si="15" t="shared"/>
        <v>4.1921943243469493E-3</v>
      </c>
      <c r="C19" s="16">
        <f si="15" t="shared"/>
        <v>0.25259108444305528</v>
      </c>
      <c r="D19" s="16">
        <f si="15" t="shared"/>
        <v>0.22658738307711482</v>
      </c>
      <c r="E19" s="16">
        <f si="15" t="shared"/>
        <v>3.0195895690287401E-2</v>
      </c>
      <c r="F19" s="16">
        <f si="15" t="shared"/>
        <v>0.25440292385352359</v>
      </c>
      <c r="G19" s="16">
        <f si="15" t="shared"/>
        <v>2.3803549138786415E-3</v>
      </c>
      <c r="H19" s="16">
        <f si="16" t="shared"/>
        <v>0</v>
      </c>
      <c r="I19" s="16">
        <f si="11" t="shared"/>
        <v>0.25548408778974069</v>
      </c>
      <c r="K19" s="9" t="s">
        <v>3</v>
      </c>
      <c r="L19" s="16">
        <f si="12" t="shared"/>
        <v>5.1347821371821407E-3</v>
      </c>
      <c r="M19" s="16">
        <f si="12" t="shared"/>
        <v>0.23553514425955877</v>
      </c>
      <c r="N19" s="16">
        <f ref="N19:Q19" si="18" t="shared">N6/$R$12</f>
        <v>0.16575114459904849</v>
      </c>
      <c r="O19" s="16">
        <f si="18" t="shared"/>
        <v>7.4918781797692416E-2</v>
      </c>
      <c r="P19" s="16">
        <f si="18" t="shared"/>
        <v>0.2346439837233536</v>
      </c>
      <c r="Q19" s="16">
        <f si="18" t="shared"/>
        <v>6.0259426733873063E-3</v>
      </c>
      <c r="R19" s="16">
        <f si="14" t="shared"/>
        <v>0.2406699263967409</v>
      </c>
    </row>
    <row r="20" spans="1:23" x14ac:dyDescent="0.25">
      <c r="A20" s="9" t="s">
        <v>4</v>
      </c>
      <c r="B20" s="16">
        <f si="15" t="shared"/>
        <v>0</v>
      </c>
      <c r="C20" s="16">
        <f si="15" t="shared"/>
        <v>1.0104512840658599E-3</v>
      </c>
      <c r="D20" s="16">
        <f si="15" t="shared"/>
        <v>1.0104512840658599E-3</v>
      </c>
      <c r="E20" s="16">
        <f si="15" t="shared"/>
        <v>0</v>
      </c>
      <c r="F20" s="16">
        <f si="15" t="shared"/>
        <v>1.0104512840658599E-3</v>
      </c>
      <c r="G20" s="16">
        <f si="15" t="shared"/>
        <v>0</v>
      </c>
      <c r="H20" s="16">
        <f si="16" t="shared"/>
        <v>0</v>
      </c>
      <c r="I20" s="16">
        <f si="11" t="shared"/>
        <v>0</v>
      </c>
      <c r="K20" s="9" t="s">
        <v>4</v>
      </c>
      <c r="L20" s="16">
        <f si="12" t="shared"/>
        <v>0</v>
      </c>
      <c r="M20" s="16">
        <f si="12" t="shared"/>
        <v>0</v>
      </c>
      <c r="N20" s="16">
        <f ref="N20:Q20" si="19" t="shared">N7/$R$12</f>
        <v>0</v>
      </c>
      <c r="O20" s="16">
        <f si="19" t="shared"/>
        <v>0</v>
      </c>
      <c r="P20" s="16">
        <f si="19" t="shared"/>
        <v>0</v>
      </c>
      <c r="Q20" s="16">
        <f si="19" t="shared"/>
        <v>0</v>
      </c>
      <c r="R20" s="16">
        <f si="14" t="shared"/>
        <v>0</v>
      </c>
    </row>
    <row r="21" spans="1:23" x14ac:dyDescent="0.25">
      <c r="A21" s="9" t="s">
        <v>5</v>
      </c>
      <c r="B21" s="16">
        <f si="15" t="shared"/>
        <v>1.258584868442205E-3</v>
      </c>
      <c r="C21" s="16">
        <f si="15" t="shared"/>
        <v>9.0011614001106227E-4</v>
      </c>
      <c r="D21" s="16">
        <f si="15" t="shared"/>
        <v>1.7859453747676431E-3</v>
      </c>
      <c r="E21" s="16">
        <f si="15" t="shared"/>
        <v>3.7275563368562427E-4</v>
      </c>
      <c r="F21" s="16">
        <f si="15" t="shared"/>
        <v>1.9868346456460985E-3</v>
      </c>
      <c r="G21" s="16">
        <f si="15" t="shared"/>
        <v>1.7186636280716879E-4</v>
      </c>
      <c r="H21" s="16">
        <f si="16" t="shared"/>
        <v>2.6356506634216965E-2</v>
      </c>
      <c r="I21" s="16">
        <f si="11" t="shared"/>
        <v>8.2126023559844202E-3</v>
      </c>
      <c r="K21" s="9" t="s">
        <v>5</v>
      </c>
      <c r="L21" s="16">
        <f si="12" t="shared"/>
        <v>5.1677880829675178E-3</v>
      </c>
      <c r="M21" s="16">
        <f si="12" t="shared"/>
        <v>1.3579589123126324E-3</v>
      </c>
      <c r="N21" s="16">
        <f ref="N21:Q21" si="20" t="shared">N8/$R$12</f>
        <v>6.0966697000702551E-3</v>
      </c>
      <c r="O21" s="16">
        <f si="20" t="shared"/>
        <v>4.2907729520989422E-4</v>
      </c>
      <c r="P21" s="16">
        <f si="20" t="shared"/>
        <v>6.3937232121386439E-3</v>
      </c>
      <c r="Q21" s="16">
        <f si="20" t="shared"/>
        <v>1.3202378314150593E-4</v>
      </c>
      <c r="R21" s="16">
        <f si="14" t="shared"/>
        <v>6.5257469952801498E-3</v>
      </c>
    </row>
    <row r="22" spans="1:23" x14ac:dyDescent="0.25">
      <c r="A22" s="9" t="s">
        <v>6</v>
      </c>
      <c r="B22" s="16">
        <f si="15" t="shared"/>
        <v>0</v>
      </c>
      <c r="C22" s="16">
        <f si="15" t="shared"/>
        <v>1.2997190107052241E-2</v>
      </c>
      <c r="D22" s="16">
        <f si="15" t="shared"/>
        <v>1.100146576324125E-2</v>
      </c>
      <c r="E22" s="16">
        <f si="15" t="shared"/>
        <v>1.9957243438109905E-3</v>
      </c>
      <c r="F22" s="16">
        <f si="15" t="shared"/>
        <v>1.2997190107052241E-2</v>
      </c>
      <c r="G22" s="16">
        <f si="15" t="shared"/>
        <v>0</v>
      </c>
      <c r="H22" s="16">
        <f si="16" t="shared"/>
        <v>0</v>
      </c>
      <c r="I22" s="16">
        <f si="11" t="shared"/>
        <v>1.2931431027243428E-2</v>
      </c>
      <c r="K22" s="9" t="s">
        <v>6</v>
      </c>
      <c r="L22" s="16">
        <f si="12" t="shared"/>
        <v>9.5717242777591794E-4</v>
      </c>
      <c r="M22" s="16">
        <f si="12" t="shared"/>
        <v>9.4632761701786573E-3</v>
      </c>
      <c r="N22" s="16">
        <f ref="N22:Q22" si="21" t="shared">N9/$R$12</f>
        <v>7.2990291536803985E-3</v>
      </c>
      <c r="O22" s="16">
        <f si="21" t="shared"/>
        <v>3.1214194442741759E-3</v>
      </c>
      <c r="P22" s="16">
        <f si="21" t="shared"/>
        <v>9.397264278607903E-3</v>
      </c>
      <c r="Q22" s="16">
        <f si="21" t="shared"/>
        <v>1.023184319346671E-3</v>
      </c>
      <c r="R22" s="16">
        <f si="14" t="shared"/>
        <v>1.0420448597954574E-2</v>
      </c>
    </row>
    <row r="23" spans="1:23" x14ac:dyDescent="0.25">
      <c r="A23" s="9" t="s">
        <v>7</v>
      </c>
      <c r="B23" s="16">
        <f si="15" t="shared"/>
        <v>1.2113677079914287E-2</v>
      </c>
      <c r="C23" s="16">
        <f si="15" t="shared"/>
        <v>8.4038080217907263E-2</v>
      </c>
      <c r="D23" s="16">
        <f si="15" t="shared"/>
        <v>8.3763524852300736E-2</v>
      </c>
      <c r="E23" s="16">
        <f si="15" t="shared"/>
        <v>1.2388232445520817E-2</v>
      </c>
      <c r="F23" s="16">
        <f si="15" t="shared"/>
        <v>9.5009910817172277E-2</v>
      </c>
      <c r="G23" s="16">
        <f si="15" t="shared"/>
        <v>1.1418464806492805E-3</v>
      </c>
      <c r="H23" s="16">
        <f si="16" t="shared"/>
        <v>0</v>
      </c>
      <c r="I23" s="16">
        <f si="11" t="shared"/>
        <v>9.5665278987523222E-2</v>
      </c>
      <c r="K23" s="9" t="s">
        <v>7</v>
      </c>
      <c r="L23" s="16">
        <f si="12" t="shared"/>
        <v>5.5308534866066591E-3</v>
      </c>
      <c r="M23" s="16">
        <f si="12" t="shared"/>
        <v>5.8576123498818862E-2</v>
      </c>
      <c r="N23" s="16">
        <f ref="N23:Q23" si="22" t="shared">N10/$R$12</f>
        <v>4.4416572756892349E-2</v>
      </c>
      <c r="O23" s="16">
        <f si="22" t="shared"/>
        <v>1.969040422853317E-2</v>
      </c>
      <c r="P23" s="16">
        <f si="22" t="shared"/>
        <v>5.8717577552184756E-2</v>
      </c>
      <c r="Q23" s="16">
        <f si="22" t="shared"/>
        <v>5.3893994332407597E-3</v>
      </c>
      <c r="R23" s="16">
        <f si="14" t="shared"/>
        <v>6.4106976985425515E-2</v>
      </c>
    </row>
    <row r="24" spans="1:23" x14ac:dyDescent="0.25">
      <c r="A24" s="14" t="s">
        <v>8</v>
      </c>
      <c r="B24" s="17">
        <f si="15" t="shared"/>
        <v>2.0088927087845551E-4</v>
      </c>
      <c r="C24" s="17">
        <f si="15" t="shared"/>
        <v>1.1876773252771528E-2</v>
      </c>
      <c r="D24" s="17">
        <f si="15" t="shared"/>
        <v>6.1927627431206242E-3</v>
      </c>
      <c r="E24" s="17">
        <f si="15" t="shared"/>
        <v>5.8848997805293589E-3</v>
      </c>
      <c r="F24" s="17">
        <f si="15" t="shared"/>
        <v>1.092514486818218E-2</v>
      </c>
      <c r="G24" s="17">
        <f si="15" t="shared"/>
        <v>1.1525176554678014E-3</v>
      </c>
      <c r="H24" s="16">
        <f si="16" t="shared"/>
        <v>0</v>
      </c>
      <c r="I24" s="17">
        <f si="11" t="shared"/>
        <v>1.2016555779249465E-2</v>
      </c>
      <c r="K24" s="14" t="s">
        <v>8</v>
      </c>
      <c r="L24" s="17">
        <f si="12" t="shared"/>
        <v>0</v>
      </c>
      <c r="M24" s="17">
        <f si="12" t="shared"/>
        <v>0</v>
      </c>
      <c r="N24" s="17">
        <f ref="N24:Q24" si="23" t="shared">N11/$R$12</f>
        <v>0</v>
      </c>
      <c r="O24" s="17">
        <f si="23" t="shared"/>
        <v>0</v>
      </c>
      <c r="P24" s="17">
        <f si="23" t="shared"/>
        <v>0</v>
      </c>
      <c r="Q24" s="17">
        <f si="23" t="shared"/>
        <v>0</v>
      </c>
      <c r="R24" s="17">
        <f si="14" t="shared"/>
        <v>0</v>
      </c>
    </row>
    <row ht="15.75" r="25" spans="1:23" thickBot="1" x14ac:dyDescent="0.3">
      <c r="A25" s="13" t="s">
        <v>19</v>
      </c>
      <c r="B25" s="18">
        <f si="15" t="shared"/>
        <v>2.5434395555292866E-2</v>
      </c>
      <c r="C25" s="18">
        <f si="15" t="shared"/>
        <v>0.97456560444470719</v>
      </c>
      <c r="D25" s="18">
        <f si="15" t="shared"/>
        <v>0.8673938357581934</v>
      </c>
      <c r="E25" s="18">
        <f si="15" t="shared"/>
        <v>0.1326061642418066</v>
      </c>
      <c r="F25" s="18">
        <f si="15" t="shared"/>
        <v>0.97058819008424102</v>
      </c>
      <c r="G25" s="18">
        <f si="15" t="shared"/>
        <v>2.9411809915758983E-2</v>
      </c>
      <c r="H25" s="18">
        <f>H12/$I$12</f>
        <v>2.6356506634216965E-2</v>
      </c>
      <c r="I25" s="18">
        <f si="11" t="shared"/>
        <v>1</v>
      </c>
      <c r="K25" s="13" t="s">
        <v>19</v>
      </c>
      <c r="L25" s="18">
        <f si="12" t="shared"/>
        <v>2.9210262020058185E-2</v>
      </c>
      <c r="M25" s="18">
        <f si="12" t="shared"/>
        <v>0.97078973797994184</v>
      </c>
      <c r="N25" s="18">
        <f ref="N25:Q25" si="24" t="shared">N12/$R$12</f>
        <v>0.74307700287151723</v>
      </c>
      <c r="O25" s="18">
        <f si="24" t="shared"/>
        <v>0.25692299712848271</v>
      </c>
      <c r="P25" s="18">
        <f si="24" t="shared"/>
        <v>0.94363055973368914</v>
      </c>
      <c r="Q25" s="18">
        <f si="24" t="shared"/>
        <v>5.6369440266310834E-2</v>
      </c>
      <c r="R25" s="18">
        <f si="14" t="shared"/>
        <v>1</v>
      </c>
    </row>
    <row ht="15.75" r="28" spans="1:23" thickBot="1" x14ac:dyDescent="0.3">
      <c r="K28" s="1" t="s">
        <v>23</v>
      </c>
      <c r="L28" s="1"/>
      <c r="M28" s="3"/>
      <c r="N28" s="3"/>
      <c r="O28" s="3"/>
      <c r="P28" s="3"/>
      <c r="Q28" s="3"/>
      <c r="R28" s="3"/>
      <c r="T28" s="21" t="s">
        <v>41</v>
      </c>
      <c r="U28" s="21"/>
      <c r="V28" s="22"/>
      <c r="W28" s="22"/>
    </row>
    <row r="29" spans="1:23" x14ac:dyDescent="0.25">
      <c r="K29" s="2" t="s">
        <v>0</v>
      </c>
      <c r="L29" s="4" t="s">
        <v>9</v>
      </c>
      <c r="M29" s="4" t="s">
        <v>10</v>
      </c>
      <c r="N29" s="7" t="s">
        <v>235</v>
      </c>
      <c r="O29" s="7" t="s">
        <v>234</v>
      </c>
      <c r="P29" s="7" t="s">
        <v>236</v>
      </c>
      <c r="Q29" s="7" t="s">
        <v>237</v>
      </c>
      <c r="R29" s="7" t="s">
        <v>19</v>
      </c>
      <c r="T29" s="27" t="s">
        <v>0</v>
      </c>
      <c r="U29" s="28" t="s">
        <v>45</v>
      </c>
      <c r="V29" s="28" t="s">
        <v>33</v>
      </c>
      <c r="W29" s="29" t="s">
        <v>34</v>
      </c>
    </row>
    <row r="30" spans="1:23" x14ac:dyDescent="0.25">
      <c r="K30" s="9" t="s">
        <v>1</v>
      </c>
      <c r="L30" s="16">
        <f ref="L30:L38" si="25" t="shared">L17-B17</f>
        <v>-8.6206615354372394E-4</v>
      </c>
      <c r="M30" s="16">
        <f ref="M30:M38" si="26" t="shared">M17-C17</f>
        <v>8.7483762660585662E-3</v>
      </c>
      <c r="N30" s="16">
        <f ref="N30:N38" si="27" t="shared">N17-D17</f>
        <v>-1.855462990434209E-2</v>
      </c>
      <c r="O30" s="16">
        <f ref="O30:O38" si="28" t="shared">O17-E17</f>
        <v>2.6440940016856918E-2</v>
      </c>
      <c r="P30" s="16">
        <f ref="P30:P38" si="29" t="shared">P17-F17</f>
        <v>-1.2997519594346585E-3</v>
      </c>
      <c r="Q30" s="16">
        <f ref="Q30:Q38" si="30" t="shared">Q17-G17</f>
        <v>9.1860620719495297E-3</v>
      </c>
      <c r="R30" s="16">
        <f ref="R30:R38" si="31" t="shared">R17-I17</f>
        <v>9.5050084359112885E-3</v>
      </c>
      <c r="T30" s="23" t="s">
        <v>1</v>
      </c>
      <c r="U30" s="24">
        <f>I17</f>
        <v>0.31831476023956012</v>
      </c>
      <c r="V30" s="24">
        <f ref="V30:V38" si="32" t="shared">R17</f>
        <v>0.32781976867547141</v>
      </c>
      <c r="W30" s="24">
        <f>V30-U30</f>
        <v>9.5050084359112885E-3</v>
      </c>
    </row>
    <row r="31" spans="1:23" x14ac:dyDescent="0.25">
      <c r="K31" s="9" t="s">
        <v>2</v>
      </c>
      <c r="L31" s="16">
        <f si="25" t="shared"/>
        <v>5.6126820273587012E-3</v>
      </c>
      <c r="M31" s="16">
        <f si="26" t="shared"/>
        <v>4.5956949873170339E-2</v>
      </c>
      <c r="N31" s="16">
        <f si="27" t="shared"/>
        <v>1.0159139025853192E-3</v>
      </c>
      <c r="O31" s="16">
        <f si="28" t="shared"/>
        <v>5.0553717997943733E-2</v>
      </c>
      <c r="P31" s="16">
        <f si="29" t="shared"/>
        <v>4.1522028418240098E-2</v>
      </c>
      <c r="Q31" s="16">
        <f si="30" t="shared"/>
        <v>1.0047603482288971E-2</v>
      </c>
      <c r="R31" s="16">
        <f si="31" t="shared"/>
        <v>5.3081848528428566E-2</v>
      </c>
      <c r="T31" s="30" t="s">
        <v>2</v>
      </c>
      <c r="U31" s="31">
        <f ref="U31:U38" si="33" t="shared">I18</f>
        <v>0.29737528382069889</v>
      </c>
      <c r="V31" s="31">
        <f si="32" t="shared"/>
        <v>0.35045713234912745</v>
      </c>
      <c r="W31" s="31">
        <f ref="W31:W38" si="34" t="shared">V31-U31</f>
        <v>5.3081848528428566E-2</v>
      </c>
    </row>
    <row r="32" spans="1:23" x14ac:dyDescent="0.25">
      <c r="K32" s="9" t="s">
        <v>3</v>
      </c>
      <c r="L32" s="16">
        <f si="25" t="shared"/>
        <v>9.4258781283519145E-4</v>
      </c>
      <c r="M32" s="16">
        <f si="26" t="shared"/>
        <v>-1.7055940183496515E-2</v>
      </c>
      <c r="N32" s="16">
        <f si="27" t="shared"/>
        <v>-6.0836238478066323E-2</v>
      </c>
      <c r="O32" s="16">
        <f si="28" t="shared"/>
        <v>4.4722886107405019E-2</v>
      </c>
      <c r="P32" s="16">
        <f si="29" t="shared"/>
        <v>-1.9758940130169989E-2</v>
      </c>
      <c r="Q32" s="16">
        <f si="30" t="shared"/>
        <v>3.6455877595086648E-3</v>
      </c>
      <c r="R32" s="16">
        <f si="31" t="shared"/>
        <v>-1.4814161392999792E-2</v>
      </c>
      <c r="T32" s="23" t="s">
        <v>3</v>
      </c>
      <c r="U32" s="24">
        <f si="33" t="shared"/>
        <v>0.25548408778974069</v>
      </c>
      <c r="V32" s="24">
        <f si="32" t="shared"/>
        <v>0.2406699263967409</v>
      </c>
      <c r="W32" s="24">
        <f si="34" t="shared"/>
        <v>-1.4814161392999792E-2</v>
      </c>
    </row>
    <row r="33" spans="11:23" x14ac:dyDescent="0.25">
      <c r="K33" s="9" t="s">
        <v>4</v>
      </c>
      <c r="L33" s="16">
        <f si="25" t="shared"/>
        <v>0</v>
      </c>
      <c r="M33" s="16">
        <f si="26" t="shared"/>
        <v>-1.0104512840658599E-3</v>
      </c>
      <c r="N33" s="16">
        <f si="27" t="shared"/>
        <v>-1.0104512840658599E-3</v>
      </c>
      <c r="O33" s="16">
        <f si="28" t="shared"/>
        <v>0</v>
      </c>
      <c r="P33" s="16">
        <f si="29" t="shared"/>
        <v>-1.0104512840658599E-3</v>
      </c>
      <c r="Q33" s="16">
        <f si="30" t="shared"/>
        <v>0</v>
      </c>
      <c r="R33" s="16">
        <f si="31" t="shared"/>
        <v>0</v>
      </c>
      <c r="T33" s="30" t="s">
        <v>4</v>
      </c>
      <c r="U33" s="31">
        <f si="33" t="shared"/>
        <v>0</v>
      </c>
      <c r="V33" s="31">
        <f si="32" t="shared"/>
        <v>0</v>
      </c>
      <c r="W33" s="31">
        <f si="34" t="shared"/>
        <v>0</v>
      </c>
    </row>
    <row r="34" spans="11:23" x14ac:dyDescent="0.25">
      <c r="K34" s="9" t="s">
        <v>5</v>
      </c>
      <c r="L34" s="16">
        <f si="25" t="shared"/>
        <v>3.9092032145253124E-3</v>
      </c>
      <c r="M34" s="16">
        <f si="26" t="shared"/>
        <v>4.5784277230157011E-4</v>
      </c>
      <c r="N34" s="16">
        <f si="27" t="shared"/>
        <v>4.3107243253026123E-3</v>
      </c>
      <c r="O34" s="16">
        <f si="28" t="shared"/>
        <v>5.6321661524269952E-5</v>
      </c>
      <c r="P34" s="16">
        <f si="29" t="shared"/>
        <v>4.406888566492545E-3</v>
      </c>
      <c r="Q34" s="16">
        <f si="30" t="shared"/>
        <v>-3.9842579665662857E-5</v>
      </c>
      <c r="R34" s="16">
        <f si="31" t="shared"/>
        <v>-1.6868553607042704E-3</v>
      </c>
      <c r="T34" s="23" t="s">
        <v>5</v>
      </c>
      <c r="U34" s="24">
        <f si="33" t="shared"/>
        <v>8.2126023559844202E-3</v>
      </c>
      <c r="V34" s="24">
        <f si="32" t="shared"/>
        <v>6.5257469952801498E-3</v>
      </c>
      <c r="W34" s="24">
        <f si="34" t="shared"/>
        <v>-1.6868553607042704E-3</v>
      </c>
    </row>
    <row r="35" spans="11:23" x14ac:dyDescent="0.25">
      <c r="K35" s="9" t="s">
        <v>6</v>
      </c>
      <c r="L35" s="16">
        <f si="25" t="shared"/>
        <v>9.5717242777591794E-4</v>
      </c>
      <c r="M35" s="16">
        <f si="26" t="shared"/>
        <v>-3.5339139368735836E-3</v>
      </c>
      <c r="N35" s="16">
        <f si="27" t="shared"/>
        <v>-3.7024366095608514E-3</v>
      </c>
      <c r="O35" s="16">
        <f si="28" t="shared"/>
        <v>1.1256951004631854E-3</v>
      </c>
      <c r="P35" s="16">
        <f si="29" t="shared"/>
        <v>-3.5999258284443378E-3</v>
      </c>
      <c r="Q35" s="16">
        <f si="30" t="shared"/>
        <v>1.023184319346671E-3</v>
      </c>
      <c r="R35" s="16">
        <f si="31" t="shared"/>
        <v>-2.5109824292888546E-3</v>
      </c>
      <c r="T35" s="30" t="s">
        <v>6</v>
      </c>
      <c r="U35" s="31">
        <f si="33" t="shared"/>
        <v>1.2931431027243428E-2</v>
      </c>
      <c r="V35" s="31">
        <f si="32" t="shared"/>
        <v>1.0420448597954574E-2</v>
      </c>
      <c r="W35" s="31">
        <f si="34" t="shared"/>
        <v>-2.5109824292888546E-3</v>
      </c>
    </row>
    <row r="36" spans="11:23" x14ac:dyDescent="0.25">
      <c r="K36" s="9" t="s">
        <v>7</v>
      </c>
      <c r="L36" s="16">
        <f si="25" t="shared"/>
        <v>-6.5828235933076277E-3</v>
      </c>
      <c r="M36" s="16">
        <f si="26" t="shared"/>
        <v>-2.5461956719088401E-2</v>
      </c>
      <c r="N36" s="16">
        <f si="27" t="shared"/>
        <v>-3.9346952095408387E-2</v>
      </c>
      <c r="O36" s="16">
        <f si="28" t="shared"/>
        <v>7.3021717830123525E-3</v>
      </c>
      <c r="P36" s="16">
        <f si="29" t="shared"/>
        <v>-3.6292333264987521E-2</v>
      </c>
      <c r="Q36" s="16">
        <f si="30" t="shared"/>
        <v>4.2475529525914796E-3</v>
      </c>
      <c r="R36" s="16">
        <f si="31" t="shared"/>
        <v>-3.1558302002097707E-2</v>
      </c>
      <c r="T36" s="23" t="s">
        <v>7</v>
      </c>
      <c r="U36" s="24">
        <f si="33" t="shared"/>
        <v>9.5665278987523222E-2</v>
      </c>
      <c r="V36" s="24">
        <f si="32" t="shared"/>
        <v>6.4106976985425515E-2</v>
      </c>
      <c r="W36" s="24">
        <f si="34" t="shared"/>
        <v>-3.1558302002097707E-2</v>
      </c>
    </row>
    <row r="37" spans="11:23" x14ac:dyDescent="0.25">
      <c r="K37" s="14" t="s">
        <v>8</v>
      </c>
      <c r="L37" s="17">
        <f si="25" t="shared"/>
        <v>-2.0088927087845551E-4</v>
      </c>
      <c r="M37" s="17">
        <f si="26" t="shared"/>
        <v>-1.1876773252771528E-2</v>
      </c>
      <c r="N37" s="17">
        <f si="27" t="shared"/>
        <v>-6.1927627431206242E-3</v>
      </c>
      <c r="O37" s="17">
        <f si="28" t="shared"/>
        <v>-5.8848997805293589E-3</v>
      </c>
      <c r="P37" s="17">
        <f si="29" t="shared"/>
        <v>-1.092514486818218E-2</v>
      </c>
      <c r="Q37" s="17">
        <f si="30" t="shared"/>
        <v>-1.1525176554678014E-3</v>
      </c>
      <c r="R37" s="17">
        <f si="31" t="shared"/>
        <v>-1.2016555779249465E-2</v>
      </c>
      <c r="T37" s="32" t="s">
        <v>8</v>
      </c>
      <c r="U37" s="33">
        <f si="33" t="shared"/>
        <v>1.2016555779249465E-2</v>
      </c>
      <c r="V37" s="33">
        <f si="32" t="shared"/>
        <v>0</v>
      </c>
      <c r="W37" s="33">
        <f si="34" t="shared"/>
        <v>-1.2016555779249465E-2</v>
      </c>
    </row>
    <row ht="15.75" r="38" spans="11:23" thickBot="1" x14ac:dyDescent="0.3">
      <c r="K38" s="13" t="s">
        <v>19</v>
      </c>
      <c r="L38" s="18">
        <f si="25" t="shared"/>
        <v>3.7758664647653192E-3</v>
      </c>
      <c r="M38" s="18">
        <f si="26" t="shared"/>
        <v>-3.7758664647653539E-3</v>
      </c>
      <c r="N38" s="18">
        <f si="27" t="shared"/>
        <v>-0.12431683288667617</v>
      </c>
      <c r="O38" s="18">
        <f si="28" t="shared"/>
        <v>0.12431683288667611</v>
      </c>
      <c r="P38" s="18">
        <f si="29" t="shared"/>
        <v>-2.6957630350551876E-2</v>
      </c>
      <c r="Q38" s="18">
        <f si="30" t="shared"/>
        <v>2.6957630350551851E-2</v>
      </c>
      <c r="R38" s="18">
        <f si="31" t="shared"/>
        <v>0</v>
      </c>
      <c r="T38" s="25" t="s">
        <v>19</v>
      </c>
      <c r="U38" s="26">
        <f si="33" t="shared"/>
        <v>1</v>
      </c>
      <c r="V38" s="26">
        <f si="32" t="shared"/>
        <v>1</v>
      </c>
      <c r="W38" s="26">
        <f si="34" t="shared"/>
        <v>0</v>
      </c>
    </row>
  </sheetData>
  <pageMargins bottom="0.75" footer="0.3" header="0.3" left="0.7" right="0.7" top="0.75"/>
  <pageSetup orientation="portrait"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2:T38"/>
  <sheetViews>
    <sheetView topLeftCell="C1" workbookViewId="0">
      <selection activeCell="J9" sqref="J9"/>
    </sheetView>
  </sheetViews>
  <sheetFormatPr defaultRowHeight="15" x14ac:dyDescent="0.25"/>
  <cols>
    <col min="1" max="1" customWidth="true" width="16.7109375" collapsed="true"/>
    <col min="2" max="9" customWidth="true" width="12.7109375" collapsed="true"/>
    <col min="10" max="10" bestFit="true" customWidth="true" width="8.42578125" collapsed="true"/>
    <col min="11" max="11" customWidth="true" width="16.7109375" collapsed="true"/>
    <col min="12" max="20" customWidth="true" width="12.7109375" collapsed="true"/>
  </cols>
  <sheetData>
    <row ht="15.75" r="2" spans="1:19" thickBot="1" x14ac:dyDescent="0.3">
      <c r="A2" s="1" t="s">
        <v>46</v>
      </c>
      <c r="B2" s="1"/>
      <c r="C2" s="3"/>
      <c r="D2" s="3"/>
      <c r="E2" s="3"/>
      <c r="F2" s="3"/>
      <c r="G2" s="3"/>
      <c r="H2" s="3"/>
      <c r="I2" s="3"/>
      <c r="K2" s="1" t="s">
        <v>47</v>
      </c>
      <c r="L2" s="1"/>
      <c r="M2" s="3"/>
      <c r="N2" s="3"/>
      <c r="O2" s="3"/>
      <c r="P2" s="3"/>
      <c r="Q2" s="3"/>
      <c r="R2" s="3"/>
      <c r="S2" s="3"/>
    </row>
    <row r="3" spans="1:19" x14ac:dyDescent="0.25">
      <c r="A3" s="5"/>
      <c r="B3" s="135" t="s">
        <v>18</v>
      </c>
      <c r="C3" s="135"/>
      <c r="D3" s="135"/>
      <c r="E3" s="135"/>
      <c r="F3" s="135"/>
      <c r="G3" s="135"/>
      <c r="H3" s="135"/>
      <c r="I3" s="11"/>
      <c r="K3" s="5"/>
      <c r="L3" s="136" t="s">
        <v>18</v>
      </c>
      <c r="M3" s="136"/>
      <c r="N3" s="136"/>
      <c r="O3" s="136"/>
      <c r="P3" s="136"/>
      <c r="Q3" s="136"/>
      <c r="R3" s="136"/>
      <c r="S3" s="136"/>
    </row>
    <row r="4" spans="1:19" x14ac:dyDescent="0.25">
      <c r="A4" s="6" t="s">
        <v>0</v>
      </c>
      <c r="B4" s="7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6</v>
      </c>
      <c r="H4" s="7" t="s">
        <v>7</v>
      </c>
      <c r="I4" s="7" t="s">
        <v>19</v>
      </c>
      <c r="J4" s="133" t="s">
        <v>331</v>
      </c>
      <c r="K4" s="6" t="s">
        <v>0</v>
      </c>
      <c r="L4" s="7" t="s">
        <v>1</v>
      </c>
      <c r="M4" s="7" t="s">
        <v>2</v>
      </c>
      <c r="N4" s="7" t="s">
        <v>3</v>
      </c>
      <c r="O4" s="7" t="s">
        <v>4</v>
      </c>
      <c r="P4" s="7" t="s">
        <v>5</v>
      </c>
      <c r="Q4" s="7" t="s">
        <v>6</v>
      </c>
      <c r="R4" s="7" t="s">
        <v>7</v>
      </c>
      <c r="S4" s="7" t="s">
        <v>19</v>
      </c>
    </row>
    <row r="5" spans="1:19" x14ac:dyDescent="0.25">
      <c r="A5" t="s">
        <v>1</v>
      </c>
      <c r="B5" s="9" t="n">
        <v>33258.885416</v>
      </c>
      <c r="C5" s="9" t="n">
        <v>7369.202526</v>
      </c>
      <c r="D5" s="9" t="n">
        <v>2514.4860209999997</v>
      </c>
      <c r="E5" s="9" t="n">
        <v>0.0</v>
      </c>
      <c r="F5" s="9" t="n">
        <v>0.0</v>
      </c>
      <c r="G5" s="9" t="n">
        <v>0.0</v>
      </c>
      <c r="H5" s="9" t="n">
        <v>56.33277</v>
      </c>
      <c r="I5" s="9">
        <f>SUM($B5:$H5)*(SUM($B$12:$H$12)-SUM($I$8:$I$9))/(SUM($B$12:$H$12)-SUM($B$8:$H$9))</f>
        <v>43188.035441730644</v>
      </c>
      <c r="J5" s="125">
        <f>I5*(S$12-SUM($I$8:$I$9))/(I$12-SUM($I$8:$I$9))</f>
        <v>50470.124600282703</v>
      </c>
      <c r="K5" s="9" t="s">
        <v>1</v>
      </c>
      <c r="L5" s="9" t="n">
        <v>46721.0</v>
      </c>
      <c r="M5" s="9" t="n">
        <v>7238.0</v>
      </c>
      <c r="N5" s="9" t="n">
        <v>1476.0</v>
      </c>
      <c r="O5" s="9" t="n">
        <v>56.0</v>
      </c>
      <c r="P5" s="9" t="n">
        <v>32.0</v>
      </c>
      <c r="Q5" s="9" t="n">
        <v>58.0</v>
      </c>
      <c r="R5" s="9" t="n">
        <v>50.0</v>
      </c>
      <c r="S5" s="9">
        <f>SUM(L5:R5)</f>
        <v>49356</v>
      </c>
    </row>
    <row r="6" spans="1:19" x14ac:dyDescent="0.25">
      <c r="A6" t="s">
        <v>2</v>
      </c>
      <c r="B6" s="9" t="n">
        <v>9391.868482</v>
      </c>
      <c r="C6" s="9" t="n">
        <v>7968.251067</v>
      </c>
      <c r="D6" s="9" t="n">
        <v>1030.787697</v>
      </c>
      <c r="E6" s="9" t="n">
        <v>0.0</v>
      </c>
      <c r="F6" s="9" t="n">
        <v>80.65394</v>
      </c>
      <c r="G6" s="9" t="n">
        <v>64.380723</v>
      </c>
      <c r="H6" s="9" t="n">
        <v>0.0</v>
      </c>
      <c r="I6" s="9">
        <f ref="I6:I7" si="0" t="shared">SUM($B6:$H6)*(SUM($B$12:$H$12)-SUM($I$8:$I$9))/(SUM($B$12:$H$12)-SUM($B$8:$H$9))</f>
        <v>18531.277216333354</v>
      </c>
      <c r="J6" s="125">
        <f ref="J6:J7" si="1" t="shared">I6*(S$12-SUM($I$8:$I$9))/(I$12-SUM($I$8:$I$9))</f>
        <v>21655.902162361606</v>
      </c>
      <c r="K6" s="9" t="s">
        <v>2</v>
      </c>
      <c r="L6" s="9" t="n">
        <v>8081.0</v>
      </c>
      <c r="M6" s="9" t="n">
        <v>10898.0</v>
      </c>
      <c r="N6" s="9" t="n">
        <v>4502.0</v>
      </c>
      <c r="O6" s="9" t="n">
        <v>205.0</v>
      </c>
      <c r="P6" s="9" t="n">
        <v>342.0</v>
      </c>
      <c r="Q6" s="9" t="n">
        <v>265.0</v>
      </c>
      <c r="R6" s="9" t="n">
        <v>155.0</v>
      </c>
      <c r="S6" s="9">
        <f ref="S6:S11" si="2" t="shared">SUM(L6:R6)</f>
        <v>20905</v>
      </c>
    </row>
    <row r="7" spans="1:19" x14ac:dyDescent="0.25">
      <c r="A7" t="s">
        <v>3</v>
      </c>
      <c r="B7" s="9" t="n">
        <v>5703.045619</v>
      </c>
      <c r="C7" s="9" t="n">
        <v>934.037999</v>
      </c>
      <c r="D7" s="9" t="n">
        <v>1169.189068</v>
      </c>
      <c r="E7" s="9" t="n">
        <v>36.566009</v>
      </c>
      <c r="F7" s="9" t="n">
        <v>0.0</v>
      </c>
      <c r="G7" s="9" t="n">
        <v>0.0</v>
      </c>
      <c r="H7" s="9" t="n">
        <v>0.0</v>
      </c>
      <c r="I7" s="9">
        <f si="0" t="shared"/>
        <v>7840.8649926477892</v>
      </c>
      <c r="J7" s="125">
        <f si="1" t="shared"/>
        <v>9162.941289303315</v>
      </c>
      <c r="K7" s="9" t="s">
        <v>3</v>
      </c>
      <c r="L7" s="9" t="n">
        <v>2989.0</v>
      </c>
      <c r="M7" s="9" t="n">
        <v>3997.0</v>
      </c>
      <c r="N7" s="9" t="n">
        <v>1638.0</v>
      </c>
      <c r="O7" s="9" t="n">
        <v>83.0</v>
      </c>
      <c r="P7" s="9" t="n">
        <v>127.0</v>
      </c>
      <c r="Q7" s="9" t="n">
        <v>102.0</v>
      </c>
      <c r="R7" s="9" t="n">
        <v>78.0</v>
      </c>
      <c r="S7" s="9">
        <f si="2" t="shared"/>
        <v>9211</v>
      </c>
    </row>
    <row r="8" spans="1:19" x14ac:dyDescent="0.25">
      <c r="A8" t="s">
        <v>4</v>
      </c>
      <c r="B8" s="9" t="n">
        <v>0.0</v>
      </c>
      <c r="C8" s="9" t="n">
        <v>0.0</v>
      </c>
      <c r="D8" s="9" t="n">
        <v>0.0</v>
      </c>
      <c r="E8" s="9" t="n">
        <v>0.0</v>
      </c>
      <c r="F8" s="9" t="n">
        <v>0.0</v>
      </c>
      <c r="G8" s="9" t="n">
        <v>0.0</v>
      </c>
      <c r="H8" s="9" t="n">
        <v>0.0</v>
      </c>
      <c r="I8" s="111">
        <v>0</v>
      </c>
      <c r="J8" s="9">
        <f>I8</f>
        <v>0</v>
      </c>
      <c r="K8" t="s">
        <v>4</v>
      </c>
      <c r="L8" s="9" t="n">
        <v>0.0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>
        <f si="2" t="shared"/>
        <v>0</v>
      </c>
    </row>
    <row r="9" spans="1:19" x14ac:dyDescent="0.25">
      <c r="A9" t="s">
        <v>5</v>
      </c>
      <c r="B9" s="9" t="n">
        <v>33.485045</v>
      </c>
      <c r="C9" s="9" t="n">
        <v>0.0</v>
      </c>
      <c r="D9" s="9" t="n">
        <v>0.0</v>
      </c>
      <c r="E9" s="9" t="n">
        <v>61.176273</v>
      </c>
      <c r="F9" s="9" t="n">
        <v>41.793933</v>
      </c>
      <c r="G9" s="9" t="n">
        <v>0.0</v>
      </c>
      <c r="H9" s="9" t="n">
        <v>0.0</v>
      </c>
      <c r="I9" s="111">
        <f>1.1*142.991122670659</f>
        <v>157.2902349377249</v>
      </c>
      <c r="J9" s="125">
        <f>I9</f>
        <v>157.2902349377249</v>
      </c>
      <c r="K9" s="9" t="s">
        <v>5</v>
      </c>
      <c r="L9" s="9" t="n">
        <v>275.0</v>
      </c>
      <c r="M9" s="9" t="n">
        <v>80.0</v>
      </c>
      <c r="N9" s="9" t="n">
        <v>108.0</v>
      </c>
      <c r="O9" s="9" t="n">
        <v>16.0</v>
      </c>
      <c r="P9" s="9" t="n">
        <v>22.0</v>
      </c>
      <c r="Q9" s="9" t="n">
        <v>13.0</v>
      </c>
      <c r="R9" s="9" t="n">
        <v>6.0</v>
      </c>
      <c r="S9" s="9">
        <f si="2" t="shared"/>
        <v>134</v>
      </c>
    </row>
    <row r="10" spans="1:19" x14ac:dyDescent="0.25">
      <c r="A10" t="s">
        <v>6</v>
      </c>
      <c r="B10" s="9" t="n">
        <v>71.94123300000001</v>
      </c>
      <c r="C10" s="9" t="n">
        <v>0.0</v>
      </c>
      <c r="D10" s="9" t="n">
        <v>0.0</v>
      </c>
      <c r="E10" s="9" t="n">
        <v>0.0</v>
      </c>
      <c r="F10" s="9" t="n">
        <v>0.0</v>
      </c>
      <c r="G10" s="9" t="n">
        <v>322.96801899999997</v>
      </c>
      <c r="H10" s="9" t="n">
        <v>0.0</v>
      </c>
      <c r="I10" s="9">
        <f ref="I10:I11" si="3" t="shared">SUM($B10:$H10)*(SUM($B$12:$H$12)-SUM($I$8:$I$9))/(SUM($B$12:$H$12)-SUM($B$8:$H$9))</f>
        <v>394.80987046865738</v>
      </c>
      <c r="J10" s="125">
        <f ref="J10:J11" si="4" t="shared">I10*(S$12-SUM($I$8:$I$9))/(I$12-SUM($I$8:$I$9))</f>
        <v>461.38017513806426</v>
      </c>
      <c r="K10" s="9" t="s">
        <v>6</v>
      </c>
      <c r="L10" s="9" t="n">
        <v>39.0</v>
      </c>
      <c r="M10" s="9" t="n">
        <v>15.0</v>
      </c>
      <c r="N10" s="9" t="n">
        <v>21.0</v>
      </c>
      <c r="O10" s="9" t="n">
        <v>0.0</v>
      </c>
      <c r="P10" s="9" t="n">
        <v>3.0</v>
      </c>
      <c r="Q10" s="9" t="n">
        <v>61.0</v>
      </c>
      <c r="R10" s="9" t="n">
        <v>0.0</v>
      </c>
      <c r="S10" s="9">
        <f si="2" t="shared"/>
        <v>469</v>
      </c>
    </row>
    <row r="11" spans="1:19" x14ac:dyDescent="0.25">
      <c r="A11" s="6" t="s">
        <v>7</v>
      </c>
      <c r="B11" s="14" t="n">
        <v>6497.106924</v>
      </c>
      <c r="C11" s="14" t="n">
        <v>2391.066629</v>
      </c>
      <c r="D11" s="14" t="n">
        <v>523.2437639999999</v>
      </c>
      <c r="E11" s="14" t="n">
        <v>1412.148922</v>
      </c>
      <c r="F11" s="14" t="n">
        <v>1727.114314</v>
      </c>
      <c r="G11" s="14" t="n">
        <v>206.389001</v>
      </c>
      <c r="H11" s="14" t="n">
        <v>61.65143</v>
      </c>
      <c r="I11" s="9">
        <f si="3" t="shared"/>
        <v>12815.495067881826</v>
      </c>
      <c r="J11" s="125">
        <f si="4" t="shared"/>
        <v>14976.36153797658</v>
      </c>
      <c r="K11" s="6" t="s">
        <v>7</v>
      </c>
      <c r="L11" s="12" t="n">
        <v>4394.0</v>
      </c>
      <c r="M11" s="12" t="n">
        <v>1426.0</v>
      </c>
      <c r="N11" s="12" t="n">
        <v>1146.0</v>
      </c>
      <c r="O11" s="12" t="n">
        <v>21.0</v>
      </c>
      <c r="P11" s="12" t="n">
        <v>73.0</v>
      </c>
      <c r="Q11" s="12" t="n">
        <v>69.0</v>
      </c>
      <c r="R11" s="12" t="n">
        <v>343.0</v>
      </c>
      <c r="S11" s="9">
        <f si="2" t="shared"/>
        <v>16809</v>
      </c>
    </row>
    <row ht="15.75" r="12" spans="1:19" thickBot="1" x14ac:dyDescent="0.3">
      <c r="A12" s="15" t="s">
        <v>19</v>
      </c>
      <c r="B12" s="19">
        <f>SUM(B5:B11)</f>
        <v>54956.332718999991</v>
      </c>
      <c r="C12" s="19">
        <f ref="C12:J12" si="5" t="shared">SUM(C5:C11)</f>
        <v>18662.558220999999</v>
      </c>
      <c r="D12" s="19">
        <f si="5" t="shared"/>
        <v>5237.706549999999</v>
      </c>
      <c r="E12" s="19">
        <f si="5" t="shared"/>
        <v>1509.891204</v>
      </c>
      <c r="F12" s="19">
        <f si="5" t="shared"/>
        <v>1849.562187</v>
      </c>
      <c r="G12" s="19">
        <f si="5" t="shared"/>
        <v>593.73774299999991</v>
      </c>
      <c r="H12" s="19">
        <f si="5" t="shared"/>
        <v>117.98419999999999</v>
      </c>
      <c r="I12" s="19">
        <f si="5" t="shared"/>
        <v>82927.772824</v>
      </c>
      <c r="J12" s="19">
        <f si="5" t="shared"/>
        <v>96884</v>
      </c>
      <c r="K12" s="13" t="s">
        <v>19</v>
      </c>
      <c r="L12" s="19">
        <f>SUM(L5:L11)</f>
        <v>61940</v>
      </c>
      <c r="M12" s="19">
        <f ref="M12:S12" si="6" t="shared">SUM(M5:M11)</f>
        <v>24050</v>
      </c>
      <c r="N12" s="19">
        <f si="6" t="shared"/>
        <v>8901</v>
      </c>
      <c r="O12" s="19">
        <f si="6" t="shared"/>
        <v>275</v>
      </c>
      <c r="P12" s="19">
        <f si="6" t="shared"/>
        <v>507</v>
      </c>
      <c r="Q12" s="19">
        <f si="6" t="shared"/>
        <v>555</v>
      </c>
      <c r="R12" s="19">
        <f si="6" t="shared"/>
        <v>656</v>
      </c>
      <c r="S12" s="19">
        <f si="6" t="shared"/>
        <v>96884</v>
      </c>
    </row>
    <row ht="15.75" r="15" spans="1:19" thickBot="1" x14ac:dyDescent="0.3">
      <c r="A15" s="1" t="s">
        <v>48</v>
      </c>
      <c r="B15" s="1"/>
      <c r="C15" s="3"/>
      <c r="D15" s="3"/>
      <c r="E15" s="3"/>
      <c r="F15" s="3"/>
      <c r="G15" s="3"/>
      <c r="H15" s="3"/>
      <c r="I15" s="3"/>
      <c r="K15" s="1" t="s">
        <v>49</v>
      </c>
      <c r="L15" s="1"/>
      <c r="M15" s="3"/>
      <c r="N15" s="3"/>
      <c r="O15" s="3"/>
      <c r="P15" s="3"/>
      <c r="Q15" s="3"/>
      <c r="R15" s="3"/>
      <c r="S15" s="3"/>
    </row>
    <row r="16" spans="1:19" x14ac:dyDescent="0.25">
      <c r="A16" s="5"/>
      <c r="B16" s="135" t="s">
        <v>18</v>
      </c>
      <c r="C16" s="135"/>
      <c r="D16" s="135"/>
      <c r="E16" s="135"/>
      <c r="F16" s="135"/>
      <c r="G16" s="135"/>
      <c r="H16" s="135"/>
      <c r="I16" s="11"/>
      <c r="K16" s="5"/>
      <c r="L16" s="136" t="s">
        <v>18</v>
      </c>
      <c r="M16" s="136"/>
      <c r="N16" s="136"/>
      <c r="O16" s="136"/>
      <c r="P16" s="136"/>
      <c r="Q16" s="136"/>
      <c r="R16" s="136"/>
      <c r="S16" s="136"/>
    </row>
    <row r="17" spans="1:19" x14ac:dyDescent="0.25">
      <c r="A17" s="6" t="s">
        <v>0</v>
      </c>
      <c r="B17" s="7" t="s">
        <v>1</v>
      </c>
      <c r="C17" s="7" t="s">
        <v>2</v>
      </c>
      <c r="D17" s="7" t="s">
        <v>3</v>
      </c>
      <c r="E17" s="7" t="s">
        <v>4</v>
      </c>
      <c r="F17" s="7" t="s">
        <v>5</v>
      </c>
      <c r="G17" s="7" t="s">
        <v>6</v>
      </c>
      <c r="H17" s="7" t="s">
        <v>7</v>
      </c>
      <c r="I17" s="7" t="s">
        <v>19</v>
      </c>
      <c r="K17" s="6" t="s">
        <v>0</v>
      </c>
      <c r="L17" s="7" t="s">
        <v>1</v>
      </c>
      <c r="M17" s="7" t="s">
        <v>2</v>
      </c>
      <c r="N17" s="7" t="s">
        <v>3</v>
      </c>
      <c r="O17" s="7" t="s">
        <v>4</v>
      </c>
      <c r="P17" s="7" t="s">
        <v>5</v>
      </c>
      <c r="Q17" s="7" t="s">
        <v>6</v>
      </c>
      <c r="R17" s="7" t="s">
        <v>7</v>
      </c>
      <c r="S17" s="7" t="s">
        <v>19</v>
      </c>
    </row>
    <row r="18" spans="1:19" x14ac:dyDescent="0.25">
      <c r="A18" t="s">
        <v>1</v>
      </c>
      <c r="B18" s="16">
        <f>B5/$I$12</f>
        <v>0.40105846670434869</v>
      </c>
      <c r="C18" s="16">
        <f ref="C18:I18" si="7" t="shared">C5/$I$12</f>
        <v>8.8862901716170173E-2</v>
      </c>
      <c r="D18" s="16">
        <f si="7" t="shared"/>
        <v>3.0321398192334984E-2</v>
      </c>
      <c r="E18" s="16">
        <f si="7" t="shared"/>
        <v>0</v>
      </c>
      <c r="F18" s="16">
        <f si="7" t="shared"/>
        <v>0</v>
      </c>
      <c r="G18" s="16">
        <f si="7" t="shared"/>
        <v>0</v>
      </c>
      <c r="H18" s="16">
        <f si="7" t="shared"/>
        <v>6.7929920316992789E-4</v>
      </c>
      <c r="I18" s="16">
        <f si="7" t="shared"/>
        <v>0.52079097232467408</v>
      </c>
      <c r="J18" s="9"/>
      <c r="K18" s="9" t="s">
        <v>1</v>
      </c>
      <c r="L18" s="16">
        <f ref="L18:S25" si="8" t="shared">L5/$S$12</f>
        <v>0.42809958300648199</v>
      </c>
      <c r="M18" s="16">
        <f si="8" t="shared"/>
        <v>6.6884108831179553E-2</v>
      </c>
      <c r="N18" s="16">
        <f si="8" t="shared"/>
        <v>1.2922670409974815E-2</v>
      </c>
      <c r="O18" s="16">
        <f si="8" t="shared"/>
        <v>2.9932703026299491E-4</v>
      </c>
      <c r="P18" s="16">
        <f si="8" t="shared"/>
        <v>4.0254324759506213E-4</v>
      </c>
      <c r="Q18" s="16">
        <f si="8" t="shared"/>
        <v>4.6447297799430247E-4</v>
      </c>
      <c r="R18" s="16">
        <f si="8" t="shared"/>
        <v>3.6125676066223525E-4</v>
      </c>
      <c r="S18" s="16">
        <f si="8" t="shared"/>
        <v>0.50943396226415094</v>
      </c>
    </row>
    <row r="19" spans="1:19" x14ac:dyDescent="0.25">
      <c r="A19" t="s">
        <v>2</v>
      </c>
      <c r="B19" s="16">
        <f ref="B19:I19" si="9" t="shared">B6/$I$12</f>
        <v>0.1132535960170139</v>
      </c>
      <c r="C19" s="16">
        <f si="9" t="shared"/>
        <v>9.6086640164703918E-2</v>
      </c>
      <c r="D19" s="16">
        <f si="9" t="shared"/>
        <v>1.242994550435679E-2</v>
      </c>
      <c r="E19" s="16">
        <f si="9" t="shared"/>
        <v>0</v>
      </c>
      <c r="F19" s="16">
        <f si="9" t="shared"/>
        <v>9.7258056322306141E-4</v>
      </c>
      <c r="G19" s="16">
        <f si="9" t="shared"/>
        <v>7.76346943944064E-4</v>
      </c>
      <c r="H19" s="16">
        <f si="9" t="shared"/>
        <v>0</v>
      </c>
      <c r="I19" s="16">
        <f si="9" t="shared"/>
        <v>0.2234628591275786</v>
      </c>
      <c r="J19" s="9"/>
      <c r="K19" s="9" t="s">
        <v>2</v>
      </c>
      <c r="L19" s="16">
        <f si="8" t="shared"/>
        <v>7.1755914289253125E-2</v>
      </c>
      <c r="M19" s="16">
        <f si="8" t="shared"/>
        <v>0.10035712811196895</v>
      </c>
      <c r="N19" s="16">
        <f si="8" t="shared"/>
        <v>3.7219767969943439E-2</v>
      </c>
      <c r="O19" s="16">
        <f si="8" t="shared"/>
        <v>1.3624540687832871E-3</v>
      </c>
      <c r="P19" s="16">
        <f si="8" t="shared"/>
        <v>2.2397919161058584E-3</v>
      </c>
      <c r="Q19" s="16">
        <f si="8" t="shared"/>
        <v>1.6308162338466621E-3</v>
      </c>
      <c r="R19" s="16">
        <f si="8" t="shared"/>
        <v>1.2076297427851864E-3</v>
      </c>
      <c r="S19" s="16">
        <f si="8" t="shared"/>
        <v>0.21577350233268652</v>
      </c>
    </row>
    <row r="20" spans="1:19" x14ac:dyDescent="0.25">
      <c r="A20" t="s">
        <v>3</v>
      </c>
      <c r="B20" s="16">
        <f ref="B20:I20" si="10" t="shared">B7/$I$12</f>
        <v>6.8771238208745075E-2</v>
      </c>
      <c r="C20" s="16">
        <f si="10" t="shared"/>
        <v>1.1263271244271032E-2</v>
      </c>
      <c r="D20" s="16">
        <f si="10" t="shared"/>
        <v>1.409888422400302E-2</v>
      </c>
      <c r="E20" s="16">
        <f si="10" t="shared"/>
        <v>4.4093803263720944E-4</v>
      </c>
      <c r="F20" s="16">
        <f si="10" t="shared"/>
        <v>0</v>
      </c>
      <c r="G20" s="16">
        <f si="10" t="shared"/>
        <v>0</v>
      </c>
      <c r="H20" s="16">
        <f si="10" t="shared"/>
        <v>0</v>
      </c>
      <c r="I20" s="16">
        <f si="10" t="shared"/>
        <v>9.4550531452094855E-2</v>
      </c>
      <c r="J20" s="9"/>
      <c r="K20" s="9" t="s">
        <v>3</v>
      </c>
      <c r="L20" s="16">
        <f si="8" t="shared"/>
        <v>3.221378142933818E-2</v>
      </c>
      <c r="M20" s="16">
        <f si="8" t="shared"/>
        <v>4.2814086949341482E-2</v>
      </c>
      <c r="N20" s="16">
        <f si="8" t="shared"/>
        <v>1.6648775855662441E-2</v>
      </c>
      <c r="O20" s="16">
        <f si="8" t="shared"/>
        <v>5.8833243879278315E-4</v>
      </c>
      <c r="P20" s="16">
        <f si="8" t="shared"/>
        <v>1.445027042648941E-3</v>
      </c>
      <c r="Q20" s="16">
        <f si="8" t="shared"/>
        <v>9.0830271252219147E-4</v>
      </c>
      <c r="R20" s="16">
        <f si="8" t="shared"/>
        <v>4.5415135626109573E-4</v>
      </c>
      <c r="S20" s="16">
        <f si="8" t="shared"/>
        <v>9.5072457784567105E-2</v>
      </c>
    </row>
    <row r="21" spans="1:19" x14ac:dyDescent="0.25">
      <c r="A21" t="s">
        <v>4</v>
      </c>
      <c r="B21" s="16">
        <f ref="B21:I21" si="11" t="shared">B8/$I$12</f>
        <v>0</v>
      </c>
      <c r="C21" s="16">
        <f si="11" t="shared"/>
        <v>0</v>
      </c>
      <c r="D21" s="16">
        <f si="11" t="shared"/>
        <v>0</v>
      </c>
      <c r="E21" s="16">
        <f si="11" t="shared"/>
        <v>0</v>
      </c>
      <c r="F21" s="16">
        <f si="11" t="shared"/>
        <v>0</v>
      </c>
      <c r="G21" s="16">
        <f si="11" t="shared"/>
        <v>0</v>
      </c>
      <c r="H21" s="16">
        <f si="11" t="shared"/>
        <v>0</v>
      </c>
      <c r="I21" s="16">
        <f si="11" t="shared"/>
        <v>0</v>
      </c>
      <c r="J21" s="9"/>
      <c r="K21" t="s">
        <v>4</v>
      </c>
      <c r="L21" s="16">
        <f si="8" t="shared"/>
        <v>0</v>
      </c>
      <c r="M21" s="16">
        <f si="8" t="shared"/>
        <v>0</v>
      </c>
      <c r="N21" s="16">
        <f si="8" t="shared"/>
        <v>0</v>
      </c>
      <c r="O21" s="16">
        <f si="8" t="shared"/>
        <v>0</v>
      </c>
      <c r="P21" s="16">
        <f si="8" t="shared"/>
        <v>0</v>
      </c>
      <c r="Q21" s="16">
        <f si="8" t="shared"/>
        <v>0</v>
      </c>
      <c r="R21" s="16">
        <f si="8" t="shared"/>
        <v>0</v>
      </c>
      <c r="S21" s="16">
        <f si="8" t="shared"/>
        <v>0</v>
      </c>
    </row>
    <row r="22" spans="1:19" x14ac:dyDescent="0.25">
      <c r="A22" t="s">
        <v>5</v>
      </c>
      <c r="B22" s="16">
        <f ref="B22:I22" si="12" t="shared">B9/$I$12</f>
        <v>4.0378565418688227E-4</v>
      </c>
      <c r="C22" s="16">
        <f si="12" t="shared"/>
        <v>0</v>
      </c>
      <c r="D22" s="16">
        <f si="12" t="shared"/>
        <v>0</v>
      </c>
      <c r="E22" s="16">
        <f si="12" t="shared"/>
        <v>7.3770548655437986E-4</v>
      </c>
      <c r="F22" s="16">
        <f si="12" t="shared"/>
        <v>5.0397992827686899E-4</v>
      </c>
      <c r="G22" s="16">
        <f si="12" t="shared"/>
        <v>0</v>
      </c>
      <c r="H22" s="16">
        <f si="12" t="shared"/>
        <v>0</v>
      </c>
      <c r="I22" s="16">
        <f si="12" t="shared"/>
        <v>1.8967136048805566E-3</v>
      </c>
      <c r="J22" s="9"/>
      <c r="K22" s="9" t="s">
        <v>5</v>
      </c>
      <c r="L22" s="16">
        <f si="8" t="shared"/>
        <v>6.6058379092523022E-4</v>
      </c>
      <c r="M22" s="16">
        <f si="8" t="shared"/>
        <v>2.8900540852978818E-4</v>
      </c>
      <c r="N22" s="16">
        <f si="8" t="shared"/>
        <v>3.3029189546261511E-4</v>
      </c>
      <c r="O22" s="16">
        <f si="8" t="shared"/>
        <v>2.0643243466413444E-5</v>
      </c>
      <c r="P22" s="16">
        <f si="8" t="shared"/>
        <v>4.1286486932826889E-5</v>
      </c>
      <c r="Q22" s="16">
        <f si="8" t="shared"/>
        <v>3.0964865199620163E-5</v>
      </c>
      <c r="R22" s="16">
        <f si="8" t="shared"/>
        <v>1.0321621733206722E-5</v>
      </c>
      <c r="S22" s="16">
        <f si="8" t="shared"/>
        <v>1.3830973122497007E-3</v>
      </c>
    </row>
    <row r="23" spans="1:19" x14ac:dyDescent="0.25">
      <c r="A23" t="s">
        <v>6</v>
      </c>
      <c r="B23" s="16">
        <f ref="B23:I23" si="13" t="shared">B10/$I$12</f>
        <v>8.6751676248056201E-4</v>
      </c>
      <c r="C23" s="16">
        <f si="13" t="shared"/>
        <v>0</v>
      </c>
      <c r="D23" s="16">
        <f si="13" t="shared"/>
        <v>0</v>
      </c>
      <c r="E23" s="16">
        <f si="13" t="shared"/>
        <v>0</v>
      </c>
      <c r="F23" s="16">
        <f si="13" t="shared"/>
        <v>0</v>
      </c>
      <c r="G23" s="16">
        <f si="13" t="shared"/>
        <v>3.8945700336779129E-3</v>
      </c>
      <c r="H23" s="16">
        <f si="13" t="shared"/>
        <v>0</v>
      </c>
      <c r="I23" s="16">
        <f si="13" t="shared"/>
        <v>4.7608883854456541E-3</v>
      </c>
      <c r="J23" s="9"/>
      <c r="K23" s="9" t="s">
        <v>6</v>
      </c>
      <c r="L23" s="16">
        <f si="8" t="shared"/>
        <v>1.5688865034474216E-3</v>
      </c>
      <c r="M23" s="16">
        <f si="8" t="shared"/>
        <v>6.0897568225919661E-4</v>
      </c>
      <c r="N23" s="16">
        <f si="8" t="shared"/>
        <v>7.6380000825729743E-4</v>
      </c>
      <c r="O23" s="16">
        <f si="8" t="shared"/>
        <v>4.1286486932826889E-5</v>
      </c>
      <c r="P23" s="16">
        <f si="8" t="shared"/>
        <v>8.2572973865653777E-5</v>
      </c>
      <c r="Q23" s="16">
        <f si="8" t="shared"/>
        <v>1.775318938111556E-3</v>
      </c>
      <c r="R23" s="16">
        <f si="8" t="shared"/>
        <v>0</v>
      </c>
      <c r="S23" s="16">
        <f si="8" t="shared"/>
        <v>4.8408405928739521E-3</v>
      </c>
    </row>
    <row r="24" spans="1:19" x14ac:dyDescent="0.25">
      <c r="A24" s="6" t="s">
        <v>7</v>
      </c>
      <c r="B24" s="17">
        <f ref="B24:I24" si="14" t="shared">B11/$I$12</f>
        <v>7.8346574407454503E-2</v>
      </c>
      <c r="C24" s="17">
        <f si="14" t="shared"/>
        <v>2.883312245795663E-2</v>
      </c>
      <c r="D24" s="17">
        <f si="14" t="shared"/>
        <v>6.3096324208597194E-3</v>
      </c>
      <c r="E24" s="17">
        <f si="14" t="shared"/>
        <v>1.7028660892618501E-2</v>
      </c>
      <c r="F24" s="17">
        <f si="14" t="shared"/>
        <v>2.0826729757538579E-2</v>
      </c>
      <c r="G24" s="17">
        <f si="14" t="shared"/>
        <v>2.4887802237017185E-3</v>
      </c>
      <c r="H24" s="17">
        <f si="14" t="shared"/>
        <v>7.4343525577184617E-4</v>
      </c>
      <c r="I24" s="16">
        <f si="14" t="shared"/>
        <v>0.15453803510532618</v>
      </c>
      <c r="J24" s="9"/>
      <c r="K24" s="6" t="s">
        <v>7</v>
      </c>
      <c r="L24" s="20">
        <f si="8" t="shared"/>
        <v>0.10502250113537839</v>
      </c>
      <c r="M24" s="20">
        <f si="8" t="shared"/>
        <v>3.7281697700342675E-2</v>
      </c>
      <c r="N24" s="20">
        <f si="8" t="shared"/>
        <v>2.3987448907972421E-2</v>
      </c>
      <c r="O24" s="20">
        <f si="8" t="shared"/>
        <v>5.2640270839354275E-4</v>
      </c>
      <c r="P24" s="20">
        <f si="8" t="shared"/>
        <v>1.0218405515874654E-3</v>
      </c>
      <c r="Q24" s="20">
        <f si="8" t="shared"/>
        <v>9.1862433425539825E-4</v>
      </c>
      <c r="R24" s="20">
        <f si="8" t="shared"/>
        <v>4.7376243755418851E-3</v>
      </c>
      <c r="S24" s="16">
        <f si="8" t="shared"/>
        <v>0.17349613971347178</v>
      </c>
    </row>
    <row ht="15.75" r="25" spans="1:19" thickBot="1" x14ac:dyDescent="0.3">
      <c r="A25" s="15" t="s">
        <v>19</v>
      </c>
      <c r="B25" s="18">
        <f ref="B25:I25" si="15" t="shared">B12/$I$12</f>
        <v>0.66270117775422954</v>
      </c>
      <c r="C25" s="18">
        <f si="15" t="shared"/>
        <v>0.22504593558310174</v>
      </c>
      <c r="D25" s="18">
        <f si="15" t="shared"/>
        <v>6.3159860341554505E-2</v>
      </c>
      <c r="E25" s="18">
        <f si="15" t="shared"/>
        <v>1.820730441181009E-2</v>
      </c>
      <c r="F25" s="18">
        <f si="15" t="shared"/>
        <v>2.2303290249038512E-2</v>
      </c>
      <c r="G25" s="18">
        <f si="15" t="shared"/>
        <v>7.1596972013236943E-3</v>
      </c>
      <c r="H25" s="18">
        <f si="15" t="shared"/>
        <v>1.4227344589417741E-3</v>
      </c>
      <c r="I25" s="18">
        <f si="15" t="shared"/>
        <v>1</v>
      </c>
      <c r="K25" s="13" t="s">
        <v>19</v>
      </c>
      <c r="L25" s="18">
        <f si="8" t="shared"/>
        <v>0.63932125015482433</v>
      </c>
      <c r="M25" s="18">
        <f si="8" t="shared"/>
        <v>0.24823500268362164</v>
      </c>
      <c r="N25" s="18">
        <f si="8" t="shared"/>
        <v>9.1872755047273033E-2</v>
      </c>
      <c r="O25" s="18">
        <f si="8" t="shared"/>
        <v>2.8384459766318485E-3</v>
      </c>
      <c r="P25" s="18">
        <f si="8" t="shared"/>
        <v>5.2330622187358074E-3</v>
      </c>
      <c r="Q25" s="18">
        <f si="8" t="shared"/>
        <v>5.7285000619297305E-3</v>
      </c>
      <c r="R25" s="18">
        <f si="8" t="shared"/>
        <v>6.7709838569836095E-3</v>
      </c>
      <c r="S25" s="18">
        <f si="8" t="shared"/>
        <v>1</v>
      </c>
    </row>
    <row ht="15.75" r="28" spans="1:19" thickBot="1" x14ac:dyDescent="0.3">
      <c r="K28" s="1" t="s">
        <v>21</v>
      </c>
      <c r="L28" s="1"/>
      <c r="M28" s="3"/>
      <c r="N28" s="3"/>
      <c r="O28" s="3"/>
      <c r="P28" s="3"/>
      <c r="Q28" s="3"/>
      <c r="R28" s="3"/>
      <c r="S28" s="3"/>
    </row>
    <row r="29" spans="1:19" x14ac:dyDescent="0.25">
      <c r="K29" s="5"/>
      <c r="L29" s="136" t="s">
        <v>18</v>
      </c>
      <c r="M29" s="136"/>
      <c r="N29" s="136"/>
      <c r="O29" s="136"/>
      <c r="P29" s="136"/>
      <c r="Q29" s="136"/>
      <c r="R29" s="136"/>
      <c r="S29" s="136"/>
    </row>
    <row r="30" spans="1:19" x14ac:dyDescent="0.25">
      <c r="K30" s="6" t="s">
        <v>0</v>
      </c>
      <c r="L30" s="7" t="s">
        <v>1</v>
      </c>
      <c r="M30" s="7" t="s">
        <v>2</v>
      </c>
      <c r="N30" s="7" t="s">
        <v>3</v>
      </c>
      <c r="O30" s="7" t="s">
        <v>4</v>
      </c>
      <c r="P30" s="7" t="s">
        <v>5</v>
      </c>
      <c r="Q30" s="7" t="s">
        <v>6</v>
      </c>
      <c r="R30" s="7" t="s">
        <v>7</v>
      </c>
      <c r="S30" s="7" t="s">
        <v>19</v>
      </c>
    </row>
    <row r="31" spans="1:19" x14ac:dyDescent="0.25">
      <c r="K31" s="9" t="s">
        <v>1</v>
      </c>
      <c r="L31" s="16">
        <f ref="L31:S33" si="16" t="shared">L18-B18</f>
        <v>2.7041116302133295E-2</v>
      </c>
      <c r="M31" s="16">
        <f si="16" t="shared"/>
        <v>-2.1978792884990619E-2</v>
      </c>
      <c r="N31" s="16">
        <f si="16" t="shared"/>
        <v>-1.7398727782360169E-2</v>
      </c>
      <c r="O31" s="16">
        <f si="16" t="shared"/>
        <v>2.9932703026299491E-4</v>
      </c>
      <c r="P31" s="16">
        <f si="16" t="shared"/>
        <v>4.0254324759506213E-4</v>
      </c>
      <c r="Q31" s="16">
        <f si="16" t="shared"/>
        <v>4.6447297799430247E-4</v>
      </c>
      <c r="R31" s="16">
        <f si="16" t="shared"/>
        <v>-3.1804244250769264E-4</v>
      </c>
      <c r="S31" s="16">
        <f si="16" t="shared"/>
        <v>-1.1357010060523143E-2</v>
      </c>
    </row>
    <row r="32" spans="1:19" x14ac:dyDescent="0.25">
      <c r="K32" s="9" t="s">
        <v>2</v>
      </c>
      <c r="L32" s="16">
        <f si="16" t="shared"/>
        <v>-4.1497681727760777E-2</v>
      </c>
      <c r="M32" s="16">
        <f si="16" t="shared"/>
        <v>4.2704879472650337E-3</v>
      </c>
      <c r="N32" s="16">
        <f si="16" t="shared"/>
        <v>2.4789822465586649E-2</v>
      </c>
      <c r="O32" s="16">
        <f si="16" t="shared"/>
        <v>1.3624540687832871E-3</v>
      </c>
      <c r="P32" s="16">
        <f si="16" t="shared"/>
        <v>1.2672113528827971E-3</v>
      </c>
      <c r="Q32" s="16">
        <f si="16" t="shared"/>
        <v>8.5446928990259808E-4</v>
      </c>
      <c r="R32" s="16">
        <f si="16" t="shared"/>
        <v>1.2076297427851864E-3</v>
      </c>
      <c r="S32" s="16">
        <f si="16" t="shared"/>
        <v>-7.6893567948920771E-3</v>
      </c>
    </row>
    <row r="33" spans="11:19" x14ac:dyDescent="0.25">
      <c r="K33" s="9" t="s">
        <v>3</v>
      </c>
      <c r="L33" s="16">
        <f si="16" t="shared"/>
        <v>-3.6557456779406895E-2</v>
      </c>
      <c r="M33" s="16">
        <f si="16" t="shared"/>
        <v>3.1550815705070449E-2</v>
      </c>
      <c r="N33" s="16">
        <f si="16" t="shared"/>
        <v>2.5498916316594213E-3</v>
      </c>
      <c r="O33" s="16">
        <f si="16" t="shared"/>
        <v>1.4739440615557371E-4</v>
      </c>
      <c r="P33" s="16">
        <f si="16" t="shared"/>
        <v>1.445027042648941E-3</v>
      </c>
      <c r="Q33" s="16">
        <f si="16" t="shared"/>
        <v>9.0830271252219147E-4</v>
      </c>
      <c r="R33" s="16">
        <f si="16" t="shared"/>
        <v>4.5415135626109573E-4</v>
      </c>
      <c r="S33" s="16">
        <f si="16" t="shared"/>
        <v>5.2192633247225007E-4</v>
      </c>
    </row>
    <row r="34" spans="11:19" x14ac:dyDescent="0.25">
      <c r="K34" t="s">
        <v>4</v>
      </c>
      <c r="L34" s="16">
        <f>L21-B21</f>
        <v>0</v>
      </c>
      <c r="M34" s="16">
        <f ref="M34:S34" si="17" t="shared">M21-C21</f>
        <v>0</v>
      </c>
      <c r="N34" s="16">
        <f si="17" t="shared"/>
        <v>0</v>
      </c>
      <c r="O34" s="16">
        <f si="17" t="shared"/>
        <v>0</v>
      </c>
      <c r="P34" s="16">
        <f si="17" t="shared"/>
        <v>0</v>
      </c>
      <c r="Q34" s="16">
        <f si="17" t="shared"/>
        <v>0</v>
      </c>
      <c r="R34" s="16">
        <f si="17" t="shared"/>
        <v>0</v>
      </c>
      <c r="S34" s="16">
        <f si="17" t="shared"/>
        <v>0</v>
      </c>
    </row>
    <row r="35" spans="11:19" x14ac:dyDescent="0.25">
      <c r="K35" s="9" t="s">
        <v>5</v>
      </c>
      <c r="L35" s="16">
        <f>L22-B22</f>
        <v>2.5679813673834794E-4</v>
      </c>
      <c r="M35" s="16">
        <f ref="M35:S38" si="18" t="shared">M22-C22</f>
        <v>2.8900540852978818E-4</v>
      </c>
      <c r="N35" s="16">
        <f si="18" t="shared"/>
        <v>3.3029189546261511E-4</v>
      </c>
      <c r="O35" s="16">
        <f si="18" t="shared"/>
        <v>-7.170622430879664E-4</v>
      </c>
      <c r="P35" s="16">
        <f si="18" t="shared"/>
        <v>-4.6269344134404212E-4</v>
      </c>
      <c r="Q35" s="16">
        <f si="18" t="shared"/>
        <v>3.0964865199620163E-5</v>
      </c>
      <c r="R35" s="16">
        <f si="18" t="shared"/>
        <v>1.0321621733206722E-5</v>
      </c>
      <c r="S35" s="16">
        <f si="18" t="shared"/>
        <v>-5.136162926308559E-4</v>
      </c>
    </row>
    <row r="36" spans="11:19" x14ac:dyDescent="0.25">
      <c r="K36" s="9" t="s">
        <v>6</v>
      </c>
      <c r="L36" s="16">
        <f>L23-B23</f>
        <v>7.0136974096685956E-4</v>
      </c>
      <c r="M36" s="16">
        <f si="18" t="shared"/>
        <v>6.0897568225919661E-4</v>
      </c>
      <c r="N36" s="16">
        <f si="18" t="shared"/>
        <v>7.6380000825729743E-4</v>
      </c>
      <c r="O36" s="16">
        <f si="18" t="shared"/>
        <v>4.1286486932826889E-5</v>
      </c>
      <c r="P36" s="16">
        <f si="18" t="shared"/>
        <v>8.2572973865653777E-5</v>
      </c>
      <c r="Q36" s="16">
        <f si="18" t="shared"/>
        <v>-2.1192510955663569E-3</v>
      </c>
      <c r="R36" s="16">
        <f si="18" t="shared"/>
        <v>0</v>
      </c>
      <c r="S36" s="16">
        <f si="18" t="shared"/>
        <v>7.995220742829795E-5</v>
      </c>
    </row>
    <row r="37" spans="11:19" x14ac:dyDescent="0.25">
      <c r="K37" s="6" t="s">
        <v>7</v>
      </c>
      <c r="L37" s="20">
        <f>L24-B24</f>
        <v>2.667592672792389E-2</v>
      </c>
      <c r="M37" s="20">
        <f si="18" t="shared"/>
        <v>8.4485752423860451E-3</v>
      </c>
      <c r="N37" s="20">
        <f si="18" t="shared"/>
        <v>1.7677816487112703E-2</v>
      </c>
      <c r="O37" s="20">
        <f si="18" t="shared"/>
        <v>-1.6502258184224957E-2</v>
      </c>
      <c r="P37" s="20">
        <f si="18" t="shared"/>
        <v>-1.9804889205951113E-2</v>
      </c>
      <c r="Q37" s="20">
        <f si="18" t="shared"/>
        <v>-1.5701558894463201E-3</v>
      </c>
      <c r="R37" s="20">
        <f si="18" t="shared"/>
        <v>3.9941891197700389E-3</v>
      </c>
      <c r="S37" s="16">
        <f si="18" t="shared"/>
        <v>1.8958104608145593E-2</v>
      </c>
    </row>
    <row ht="15.75" r="38" spans="11:19" thickBot="1" x14ac:dyDescent="0.3">
      <c r="K38" s="13" t="s">
        <v>19</v>
      </c>
      <c r="L38" s="18">
        <f>L25-B25</f>
        <v>-2.3379927599405215E-2</v>
      </c>
      <c r="M38" s="18">
        <f si="18" t="shared"/>
        <v>2.3189067100519906E-2</v>
      </c>
      <c r="N38" s="18">
        <f si="18" t="shared"/>
        <v>2.8712894705718528E-2</v>
      </c>
      <c r="O38" s="18">
        <f si="18" t="shared"/>
        <v>-1.5368858435178242E-2</v>
      </c>
      <c r="P38" s="18">
        <f si="18" t="shared"/>
        <v>-1.7070228030302705E-2</v>
      </c>
      <c r="Q38" s="18">
        <f si="18" t="shared"/>
        <v>-1.4311971393939638E-3</v>
      </c>
      <c r="R38" s="18">
        <f si="18" t="shared"/>
        <v>5.348249398041835E-3</v>
      </c>
      <c r="S38" s="18">
        <f si="18" t="shared"/>
        <v>0</v>
      </c>
    </row>
  </sheetData>
  <mergeCells count="5">
    <mergeCell ref="B3:H3"/>
    <mergeCell ref="L3:S3"/>
    <mergeCell ref="B16:H16"/>
    <mergeCell ref="L16:S16"/>
    <mergeCell ref="L29:S29"/>
  </mergeCells>
  <pageMargins bottom="0.75" footer="0.3" header="0.3" left="0.7" right="0.7" top="0.75"/>
  <pageSetup orientation="portrait"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B2:C3"/>
  <sheetViews>
    <sheetView workbookViewId="0"/>
  </sheetViews>
  <sheetFormatPr defaultRowHeight="15" x14ac:dyDescent="0.25"/>
  <sheetData>
    <row r="2" spans="2:2" x14ac:dyDescent="0.25">
      <c r="B2" t="s">
        <v>42</v>
      </c>
    </row>
    <row r="3" spans="2:2" x14ac:dyDescent="0.25">
      <c r="B3" t="s">
        <v>43</v>
      </c>
    </row>
  </sheetData>
  <pageMargins bottom="0.75" footer="0.3" header="0.3" left="0.7" right="0.7" top="0.75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BG47"/>
  <sheetViews>
    <sheetView topLeftCell="AD1" workbookViewId="0">
      <selection activeCell="AN8" sqref="AN8"/>
    </sheetView>
  </sheetViews>
  <sheetFormatPr defaultRowHeight="15" x14ac:dyDescent="0.25"/>
  <cols>
    <col min="2" max="2" bestFit="true" customWidth="true" width="11.0" collapsed="true"/>
  </cols>
  <sheetData>
    <row r="1" spans="1:58" x14ac:dyDescent="0.25">
      <c r="A1" s="36" t="s">
        <v>289</v>
      </c>
      <c r="M1" s="36" t="s">
        <v>288</v>
      </c>
      <c r="W1" s="36" t="s">
        <v>290</v>
      </c>
      <c r="AL1" s="36" t="s">
        <v>291</v>
      </c>
      <c r="AZ1" s="36" t="s">
        <v>292</v>
      </c>
    </row>
    <row r="2" spans="1:58" x14ac:dyDescent="0.25">
      <c r="A2" t="s">
        <v>50</v>
      </c>
      <c r="B2" t="s">
        <v>51</v>
      </c>
      <c r="E2" s="34" t="s">
        <v>52</v>
      </c>
      <c r="M2" t="s">
        <v>50</v>
      </c>
      <c r="N2" t="s">
        <v>51</v>
      </c>
      <c r="Q2" s="34" t="s">
        <v>52</v>
      </c>
      <c r="W2" t="s">
        <v>50</v>
      </c>
      <c r="X2" t="s">
        <v>51</v>
      </c>
      <c r="AA2" t="s">
        <v>52</v>
      </c>
      <c r="AL2" t="s">
        <v>50</v>
      </c>
      <c r="AM2" t="s">
        <v>51</v>
      </c>
      <c r="AP2" t="s">
        <v>52</v>
      </c>
      <c r="AZ2" t="s">
        <v>50</v>
      </c>
      <c r="BA2" t="s">
        <v>51</v>
      </c>
      <c r="BD2" t="s">
        <v>52</v>
      </c>
    </row>
    <row r="3" spans="1:58" x14ac:dyDescent="0.25">
      <c r="A3">
        <v>1</v>
      </c>
      <c r="B3" t="s">
        <v>53</v>
      </c>
      <c r="C3" t="s">
        <v>54</v>
      </c>
      <c r="D3" s="35">
        <v>8.2714292376400003E-2</v>
      </c>
      <c r="E3" t="s">
        <v>104</v>
      </c>
      <c r="F3" t="s">
        <v>111</v>
      </c>
      <c r="G3" t="s">
        <v>112</v>
      </c>
      <c r="M3">
        <v>2</v>
      </c>
      <c r="N3" t="s">
        <v>55</v>
      </c>
      <c r="O3" t="s">
        <v>54</v>
      </c>
      <c r="P3">
        <v>3.3415951052600001</v>
      </c>
      <c r="Q3" t="s">
        <v>133</v>
      </c>
      <c r="W3">
        <v>1</v>
      </c>
      <c r="X3" t="s">
        <v>53</v>
      </c>
      <c r="Y3" t="s">
        <v>54</v>
      </c>
      <c r="Z3">
        <v>0.52879225620699999</v>
      </c>
      <c r="AA3" t="s">
        <v>156</v>
      </c>
      <c r="AB3" t="s">
        <v>158</v>
      </c>
      <c r="AC3" t="s">
        <v>159</v>
      </c>
      <c r="AL3">
        <v>1</v>
      </c>
      <c r="AM3" t="s">
        <v>53</v>
      </c>
      <c r="AN3" t="s">
        <v>54</v>
      </c>
      <c r="AO3">
        <v>0.37910550304899998</v>
      </c>
      <c r="AP3" t="s">
        <v>174</v>
      </c>
      <c r="AQ3" t="s">
        <v>111</v>
      </c>
      <c r="AR3" t="s">
        <v>112</v>
      </c>
      <c r="AZ3">
        <v>1</v>
      </c>
      <c r="BA3" t="s">
        <v>53</v>
      </c>
      <c r="BB3" t="s">
        <v>54</v>
      </c>
      <c r="BC3">
        <v>1.4514354035000001</v>
      </c>
      <c r="BD3" t="s">
        <v>190</v>
      </c>
      <c r="BE3" t="s">
        <v>193</v>
      </c>
      <c r="BF3" t="s">
        <v>194</v>
      </c>
    </row>
    <row r="4" spans="1:58" x14ac:dyDescent="0.25">
      <c r="A4">
        <v>2</v>
      </c>
      <c r="B4" t="s">
        <v>55</v>
      </c>
      <c r="C4" t="s">
        <v>54</v>
      </c>
      <c r="D4">
        <v>1.0220354865200001</v>
      </c>
      <c r="E4" t="s">
        <v>121</v>
      </c>
      <c r="M4">
        <v>30</v>
      </c>
      <c r="N4" t="s">
        <v>66</v>
      </c>
      <c r="O4" t="s">
        <v>54</v>
      </c>
      <c r="P4">
        <v>-2.1800862739200002</v>
      </c>
      <c r="Q4">
        <v>1</v>
      </c>
      <c r="W4">
        <v>2</v>
      </c>
      <c r="X4" t="s">
        <v>55</v>
      </c>
      <c r="Y4" t="s">
        <v>54</v>
      </c>
      <c r="Z4">
        <v>0.55879276356800001</v>
      </c>
      <c r="AA4" t="s">
        <v>180</v>
      </c>
      <c r="AL4">
        <v>2</v>
      </c>
      <c r="AM4" t="s">
        <v>55</v>
      </c>
      <c r="AN4" t="s">
        <v>54</v>
      </c>
      <c r="AO4">
        <v>2.0186908853599999</v>
      </c>
      <c r="AP4" t="s">
        <v>133</v>
      </c>
      <c r="AZ4">
        <v>2</v>
      </c>
      <c r="BA4" t="s">
        <v>55</v>
      </c>
      <c r="BB4" t="s">
        <v>54</v>
      </c>
      <c r="BC4">
        <v>1.3039408369400001</v>
      </c>
      <c r="BD4" t="s">
        <v>197</v>
      </c>
    </row>
    <row r="5" spans="1:58" x14ac:dyDescent="0.25">
      <c r="A5">
        <v>10</v>
      </c>
      <c r="B5" t="s">
        <v>56</v>
      </c>
      <c r="C5" t="s">
        <v>54</v>
      </c>
      <c r="D5">
        <v>-1.1944700928600001</v>
      </c>
      <c r="E5">
        <v>1</v>
      </c>
      <c r="G5" t="s">
        <v>8</v>
      </c>
      <c r="M5">
        <v>31</v>
      </c>
      <c r="N5" t="s">
        <v>123</v>
      </c>
      <c r="O5" t="s">
        <v>54</v>
      </c>
      <c r="P5">
        <v>1.16680397388</v>
      </c>
      <c r="Q5" t="s">
        <v>134</v>
      </c>
      <c r="W5">
        <v>10</v>
      </c>
      <c r="X5" t="s">
        <v>139</v>
      </c>
      <c r="Y5" t="s">
        <v>54</v>
      </c>
      <c r="Z5">
        <v>-1.6038121758199999</v>
      </c>
      <c r="AA5">
        <v>1</v>
      </c>
      <c r="AL5">
        <v>20</v>
      </c>
      <c r="AM5" t="s">
        <v>59</v>
      </c>
      <c r="AN5" t="s">
        <v>54</v>
      </c>
      <c r="AO5">
        <v>-4.4200798368200003</v>
      </c>
      <c r="AP5">
        <v>1</v>
      </c>
      <c r="AZ5">
        <v>20</v>
      </c>
      <c r="BA5" t="s">
        <v>59</v>
      </c>
      <c r="BB5" t="s">
        <v>54</v>
      </c>
      <c r="BC5">
        <v>-3.4980731239099998</v>
      </c>
      <c r="BD5">
        <v>1</v>
      </c>
    </row>
    <row r="6" spans="1:58" x14ac:dyDescent="0.25">
      <c r="A6">
        <v>17</v>
      </c>
      <c r="B6" t="s">
        <v>57</v>
      </c>
      <c r="C6" t="s">
        <v>54</v>
      </c>
      <c r="D6">
        <v>-0.37388358649999998</v>
      </c>
      <c r="E6" t="s">
        <v>99</v>
      </c>
      <c r="M6">
        <v>32</v>
      </c>
      <c r="N6" t="s">
        <v>124</v>
      </c>
      <c r="O6" t="s">
        <v>54</v>
      </c>
      <c r="P6">
        <v>0.48228420681</v>
      </c>
      <c r="Q6" t="s">
        <v>135</v>
      </c>
      <c r="W6">
        <v>11</v>
      </c>
      <c r="X6" t="s">
        <v>140</v>
      </c>
      <c r="Y6" t="s">
        <v>63</v>
      </c>
      <c r="Z6">
        <v>-2</v>
      </c>
      <c r="AA6" t="s">
        <v>97</v>
      </c>
      <c r="AD6" t="s">
        <v>154</v>
      </c>
      <c r="AL6">
        <v>21</v>
      </c>
      <c r="AM6" t="s">
        <v>60</v>
      </c>
      <c r="AN6" t="s">
        <v>54</v>
      </c>
      <c r="AO6">
        <v>4.94579205397</v>
      </c>
      <c r="AP6" t="s">
        <v>97</v>
      </c>
      <c r="AZ6">
        <v>30</v>
      </c>
      <c r="BA6" t="s">
        <v>66</v>
      </c>
      <c r="BB6" t="s">
        <v>54</v>
      </c>
      <c r="BC6">
        <v>-2.6353130235300002</v>
      </c>
      <c r="BD6">
        <v>1</v>
      </c>
    </row>
    <row r="7" spans="1:58" x14ac:dyDescent="0.25">
      <c r="A7">
        <v>18</v>
      </c>
      <c r="B7" t="s">
        <v>58</v>
      </c>
      <c r="C7" t="s">
        <v>54</v>
      </c>
      <c r="D7">
        <v>-2.1552189459600002</v>
      </c>
      <c r="E7" t="s">
        <v>100</v>
      </c>
      <c r="M7">
        <v>33</v>
      </c>
      <c r="N7" t="s">
        <v>125</v>
      </c>
      <c r="O7" t="s">
        <v>54</v>
      </c>
      <c r="P7" s="35">
        <v>7.7733428152199996E-2</v>
      </c>
      <c r="Q7" t="s">
        <v>136</v>
      </c>
      <c r="W7">
        <v>13</v>
      </c>
      <c r="X7" t="s">
        <v>141</v>
      </c>
      <c r="Y7" t="s">
        <v>54</v>
      </c>
      <c r="Z7">
        <v>-1.01072071817</v>
      </c>
      <c r="AA7" t="s">
        <v>153</v>
      </c>
      <c r="AL7">
        <v>30</v>
      </c>
      <c r="AM7" t="s">
        <v>66</v>
      </c>
      <c r="AN7" t="s">
        <v>54</v>
      </c>
      <c r="AO7">
        <v>-0.81129976642199997</v>
      </c>
      <c r="AP7">
        <v>1</v>
      </c>
      <c r="AZ7">
        <v>40</v>
      </c>
      <c r="BA7" t="s">
        <v>69</v>
      </c>
      <c r="BB7" t="s">
        <v>54</v>
      </c>
      <c r="BC7">
        <v>-1.7745103655700001</v>
      </c>
      <c r="BD7">
        <v>1</v>
      </c>
    </row>
    <row r="8" spans="1:58" x14ac:dyDescent="0.25">
      <c r="A8">
        <v>20</v>
      </c>
      <c r="B8" t="s">
        <v>59</v>
      </c>
      <c r="C8" t="s">
        <v>54</v>
      </c>
      <c r="D8">
        <v>-3.89062176924</v>
      </c>
      <c r="E8">
        <v>1</v>
      </c>
      <c r="G8" t="s">
        <v>122</v>
      </c>
      <c r="M8">
        <v>40</v>
      </c>
      <c r="N8" t="s">
        <v>69</v>
      </c>
      <c r="O8" t="s">
        <v>54</v>
      </c>
      <c r="P8">
        <v>-1.3015858506</v>
      </c>
      <c r="Q8">
        <v>1</v>
      </c>
      <c r="W8">
        <v>20</v>
      </c>
      <c r="X8" t="s">
        <v>59</v>
      </c>
      <c r="Y8" t="s">
        <v>54</v>
      </c>
      <c r="Z8">
        <v>-1.9181554270400001</v>
      </c>
      <c r="AA8">
        <v>1</v>
      </c>
      <c r="AL8">
        <v>31</v>
      </c>
      <c r="AM8" t="s">
        <v>142</v>
      </c>
      <c r="AN8" t="s">
        <v>54</v>
      </c>
      <c r="AO8">
        <v>0.59818794862500002</v>
      </c>
      <c r="AP8" t="s">
        <v>134</v>
      </c>
      <c r="AZ8">
        <v>50</v>
      </c>
      <c r="BA8" t="s">
        <v>74</v>
      </c>
      <c r="BB8" t="s">
        <v>54</v>
      </c>
      <c r="BC8">
        <v>-2.30718445759</v>
      </c>
      <c r="BD8">
        <v>1</v>
      </c>
    </row>
    <row r="9" spans="1:58" x14ac:dyDescent="0.25">
      <c r="A9">
        <v>21</v>
      </c>
      <c r="B9" t="s">
        <v>60</v>
      </c>
      <c r="C9" t="s">
        <v>54</v>
      </c>
      <c r="D9">
        <v>1.02924701291</v>
      </c>
      <c r="E9" t="s">
        <v>97</v>
      </c>
      <c r="M9">
        <v>41</v>
      </c>
      <c r="N9" t="s">
        <v>70</v>
      </c>
      <c r="O9" t="s">
        <v>63</v>
      </c>
      <c r="P9">
        <v>-5.9139999999999997</v>
      </c>
      <c r="Q9" t="s">
        <v>97</v>
      </c>
      <c r="W9">
        <v>30</v>
      </c>
      <c r="X9" t="s">
        <v>66</v>
      </c>
      <c r="Y9" t="s">
        <v>54</v>
      </c>
      <c r="Z9">
        <v>-0.96957991101999996</v>
      </c>
      <c r="AA9">
        <v>1</v>
      </c>
      <c r="AL9">
        <v>32</v>
      </c>
      <c r="AM9" t="s">
        <v>143</v>
      </c>
      <c r="AN9" t="s">
        <v>54</v>
      </c>
      <c r="AO9">
        <v>0.126346118476</v>
      </c>
      <c r="AP9" t="s">
        <v>135</v>
      </c>
      <c r="AZ9">
        <v>54</v>
      </c>
      <c r="BA9" t="s">
        <v>76</v>
      </c>
      <c r="BB9" t="s">
        <v>54</v>
      </c>
      <c r="BC9">
        <v>-0.13556679442799999</v>
      </c>
      <c r="BD9" t="s">
        <v>107</v>
      </c>
    </row>
    <row r="10" spans="1:58" x14ac:dyDescent="0.25">
      <c r="A10">
        <v>22</v>
      </c>
      <c r="B10" t="s">
        <v>61</v>
      </c>
      <c r="C10" t="s">
        <v>54</v>
      </c>
      <c r="D10">
        <v>0.28476332632899998</v>
      </c>
      <c r="E10" t="s">
        <v>98</v>
      </c>
      <c r="M10">
        <v>42</v>
      </c>
      <c r="N10" t="s">
        <v>126</v>
      </c>
      <c r="O10" t="s">
        <v>54</v>
      </c>
      <c r="P10" s="35">
        <v>-3.2567490020500002E-2</v>
      </c>
      <c r="Q10" t="s">
        <v>98</v>
      </c>
      <c r="W10">
        <v>31</v>
      </c>
      <c r="X10" t="s">
        <v>142</v>
      </c>
      <c r="Y10" t="s">
        <v>54</v>
      </c>
      <c r="Z10">
        <v>0.32331883684899998</v>
      </c>
      <c r="AA10" t="s">
        <v>134</v>
      </c>
      <c r="AL10">
        <v>34</v>
      </c>
      <c r="AM10" t="s">
        <v>160</v>
      </c>
      <c r="AN10" t="s">
        <v>54</v>
      </c>
      <c r="AO10">
        <v>0.182457426512</v>
      </c>
      <c r="AP10" t="s">
        <v>175</v>
      </c>
      <c r="AZ10">
        <v>55</v>
      </c>
      <c r="BA10" t="s">
        <v>183</v>
      </c>
      <c r="BB10" t="s">
        <v>54</v>
      </c>
      <c r="BC10">
        <v>-0.13243830190100001</v>
      </c>
      <c r="BD10" t="s">
        <v>108</v>
      </c>
    </row>
    <row r="11" spans="1:58" x14ac:dyDescent="0.25">
      <c r="A11">
        <v>27</v>
      </c>
      <c r="B11" t="s">
        <v>62</v>
      </c>
      <c r="C11" t="s">
        <v>63</v>
      </c>
      <c r="D11">
        <v>-5</v>
      </c>
      <c r="E11" t="s">
        <v>99</v>
      </c>
      <c r="M11">
        <v>50</v>
      </c>
      <c r="N11" s="37" t="s">
        <v>127</v>
      </c>
      <c r="O11" t="s">
        <v>63</v>
      </c>
      <c r="P11">
        <v>-10</v>
      </c>
      <c r="Q11">
        <v>1</v>
      </c>
      <c r="W11">
        <v>32</v>
      </c>
      <c r="X11" t="s">
        <v>143</v>
      </c>
      <c r="Y11" t="s">
        <v>54</v>
      </c>
      <c r="Z11">
        <v>0.27882626875799998</v>
      </c>
      <c r="AA11" t="s">
        <v>135</v>
      </c>
      <c r="AL11">
        <v>35</v>
      </c>
      <c r="AM11" t="s">
        <v>144</v>
      </c>
      <c r="AN11" t="s">
        <v>54</v>
      </c>
      <c r="AO11">
        <v>0.22510711488400001</v>
      </c>
      <c r="AP11" t="s">
        <v>157</v>
      </c>
      <c r="AZ11">
        <v>58</v>
      </c>
      <c r="BA11" t="s">
        <v>184</v>
      </c>
      <c r="BB11" t="s">
        <v>54</v>
      </c>
      <c r="BC11">
        <v>2.76787980308</v>
      </c>
      <c r="BD11" t="s">
        <v>191</v>
      </c>
    </row>
    <row r="12" spans="1:58" x14ac:dyDescent="0.25">
      <c r="A12">
        <v>28</v>
      </c>
      <c r="B12" t="s">
        <v>64</v>
      </c>
      <c r="C12" t="s">
        <v>54</v>
      </c>
      <c r="D12">
        <v>1.6189300503899999</v>
      </c>
      <c r="E12" t="s">
        <v>100</v>
      </c>
      <c r="M12">
        <v>60</v>
      </c>
      <c r="N12" t="s">
        <v>79</v>
      </c>
      <c r="O12" t="s">
        <v>63</v>
      </c>
      <c r="P12">
        <v>-10</v>
      </c>
      <c r="Q12">
        <v>1</v>
      </c>
      <c r="W12">
        <v>35</v>
      </c>
      <c r="X12" t="s">
        <v>144</v>
      </c>
      <c r="Y12" t="s">
        <v>54</v>
      </c>
      <c r="Z12">
        <v>-0.135816439973</v>
      </c>
      <c r="AA12" t="s">
        <v>157</v>
      </c>
      <c r="AL12">
        <v>38</v>
      </c>
      <c r="AM12" t="s">
        <v>145</v>
      </c>
      <c r="AN12" t="s">
        <v>54</v>
      </c>
      <c r="AO12">
        <v>-3.6449456511</v>
      </c>
      <c r="AP12" t="s">
        <v>106</v>
      </c>
      <c r="AZ12">
        <v>59</v>
      </c>
      <c r="BA12" t="s">
        <v>185</v>
      </c>
      <c r="BB12" t="s">
        <v>54</v>
      </c>
      <c r="BC12">
        <v>2.0325205083700002</v>
      </c>
      <c r="BD12" t="s">
        <v>192</v>
      </c>
    </row>
    <row r="13" spans="1:58" x14ac:dyDescent="0.25">
      <c r="A13">
        <v>29</v>
      </c>
      <c r="B13" t="s">
        <v>65</v>
      </c>
      <c r="C13" t="s">
        <v>54</v>
      </c>
      <c r="D13">
        <v>1.4418614350800001</v>
      </c>
      <c r="E13" t="s">
        <v>101</v>
      </c>
      <c r="M13">
        <v>73</v>
      </c>
      <c r="N13" t="s">
        <v>128</v>
      </c>
      <c r="O13" t="s">
        <v>54</v>
      </c>
      <c r="P13">
        <v>-2.3805019629599999</v>
      </c>
      <c r="Q13" t="s">
        <v>137</v>
      </c>
      <c r="W13">
        <v>38</v>
      </c>
      <c r="X13" t="s">
        <v>145</v>
      </c>
      <c r="Y13" t="s">
        <v>54</v>
      </c>
      <c r="Z13">
        <v>-0.61753363761699998</v>
      </c>
      <c r="AA13" t="s">
        <v>106</v>
      </c>
      <c r="AL13">
        <v>39</v>
      </c>
      <c r="AM13" t="s">
        <v>67</v>
      </c>
      <c r="AN13" t="s">
        <v>54</v>
      </c>
      <c r="AO13">
        <v>-2.0456438236599999</v>
      </c>
      <c r="AP13" t="s">
        <v>105</v>
      </c>
      <c r="AZ13">
        <v>60</v>
      </c>
      <c r="BA13" t="s">
        <v>79</v>
      </c>
      <c r="BB13" t="s">
        <v>54</v>
      </c>
      <c r="BC13">
        <v>-4.8566896576699996</v>
      </c>
      <c r="BD13">
        <v>1</v>
      </c>
    </row>
    <row r="14" spans="1:58" x14ac:dyDescent="0.25">
      <c r="A14">
        <v>30</v>
      </c>
      <c r="B14" t="s">
        <v>66</v>
      </c>
      <c r="C14" t="s">
        <v>54</v>
      </c>
      <c r="D14">
        <v>-0.436326716236</v>
      </c>
      <c r="E14">
        <v>1</v>
      </c>
      <c r="M14">
        <v>76</v>
      </c>
      <c r="N14" t="s">
        <v>129</v>
      </c>
      <c r="O14" t="s">
        <v>54</v>
      </c>
      <c r="P14" s="35">
        <v>1.5103600785499999E-3</v>
      </c>
      <c r="Q14" t="s">
        <v>138</v>
      </c>
      <c r="W14">
        <v>39</v>
      </c>
      <c r="X14" t="s">
        <v>67</v>
      </c>
      <c r="Y14" t="s">
        <v>54</v>
      </c>
      <c r="Z14">
        <v>-1.24532834343</v>
      </c>
      <c r="AA14" t="s">
        <v>105</v>
      </c>
      <c r="AL14">
        <v>40</v>
      </c>
      <c r="AM14" t="s">
        <v>69</v>
      </c>
      <c r="AN14" t="s">
        <v>54</v>
      </c>
      <c r="AO14">
        <v>-0.72293440404700005</v>
      </c>
      <c r="AP14">
        <v>1</v>
      </c>
      <c r="AZ14">
        <v>61</v>
      </c>
      <c r="BA14" t="s">
        <v>80</v>
      </c>
      <c r="BB14" t="s">
        <v>54</v>
      </c>
      <c r="BC14" s="35">
        <v>-7.61146297547E-2</v>
      </c>
      <c r="BD14" t="s">
        <v>114</v>
      </c>
    </row>
    <row r="15" spans="1:58" x14ac:dyDescent="0.25">
      <c r="A15">
        <v>37</v>
      </c>
      <c r="B15" t="s">
        <v>67</v>
      </c>
      <c r="C15" t="s">
        <v>54</v>
      </c>
      <c r="D15">
        <v>-1.17061677191</v>
      </c>
      <c r="E15" t="s">
        <v>105</v>
      </c>
      <c r="H15" t="s">
        <v>106</v>
      </c>
      <c r="M15">
        <v>81</v>
      </c>
      <c r="N15" t="s">
        <v>130</v>
      </c>
      <c r="O15" t="s">
        <v>54</v>
      </c>
      <c r="P15">
        <v>0.91500335831599999</v>
      </c>
      <c r="Q15" t="s">
        <v>134</v>
      </c>
      <c r="W15">
        <v>40</v>
      </c>
      <c r="X15" t="s">
        <v>69</v>
      </c>
      <c r="Y15" t="s">
        <v>54</v>
      </c>
      <c r="Z15">
        <v>-0.43668173859600001</v>
      </c>
      <c r="AA15">
        <v>1</v>
      </c>
      <c r="AL15">
        <v>41</v>
      </c>
      <c r="AM15" t="s">
        <v>70</v>
      </c>
      <c r="AN15" t="s">
        <v>54</v>
      </c>
      <c r="AO15">
        <v>-0.92857142151799998</v>
      </c>
      <c r="AP15" t="s">
        <v>97</v>
      </c>
      <c r="AZ15">
        <v>69</v>
      </c>
      <c r="BA15" t="s">
        <v>186</v>
      </c>
      <c r="BB15" t="s">
        <v>54</v>
      </c>
      <c r="BC15">
        <v>4.2535185960500002</v>
      </c>
      <c r="BD15" t="s">
        <v>195</v>
      </c>
    </row>
    <row r="16" spans="1:58" x14ac:dyDescent="0.25">
      <c r="A16">
        <v>38</v>
      </c>
      <c r="B16" t="s">
        <v>68</v>
      </c>
      <c r="C16" t="s">
        <v>54</v>
      </c>
      <c r="D16">
        <v>-0.50005425535900005</v>
      </c>
      <c r="E16" t="s">
        <v>106</v>
      </c>
      <c r="M16">
        <v>82</v>
      </c>
      <c r="N16" t="s">
        <v>131</v>
      </c>
      <c r="O16" t="s">
        <v>54</v>
      </c>
      <c r="P16" s="35">
        <v>-2.7232831171200001E-2</v>
      </c>
      <c r="Q16" t="s">
        <v>135</v>
      </c>
      <c r="W16">
        <v>41</v>
      </c>
      <c r="X16" t="s">
        <v>70</v>
      </c>
      <c r="Y16" t="s">
        <v>54</v>
      </c>
      <c r="Z16">
        <v>-3.1062781391100001</v>
      </c>
      <c r="AA16" t="s">
        <v>97</v>
      </c>
      <c r="AL16">
        <v>43</v>
      </c>
      <c r="AM16" t="s">
        <v>161</v>
      </c>
      <c r="AN16" t="s">
        <v>54</v>
      </c>
      <c r="AO16">
        <v>-0.115623185214</v>
      </c>
      <c r="AP16" t="s">
        <v>153</v>
      </c>
      <c r="AZ16">
        <v>79</v>
      </c>
      <c r="BA16" t="s">
        <v>187</v>
      </c>
      <c r="BB16" t="s">
        <v>63</v>
      </c>
      <c r="BC16">
        <v>5</v>
      </c>
      <c r="BD16" t="s">
        <v>196</v>
      </c>
    </row>
    <row r="17" spans="1:56" x14ac:dyDescent="0.25">
      <c r="A17">
        <v>40</v>
      </c>
      <c r="B17" t="s">
        <v>69</v>
      </c>
      <c r="C17" t="s">
        <v>54</v>
      </c>
      <c r="D17">
        <v>-1.07632083804</v>
      </c>
      <c r="E17">
        <v>1</v>
      </c>
      <c r="M17">
        <v>83</v>
      </c>
      <c r="N17" t="s">
        <v>132</v>
      </c>
      <c r="O17" t="s">
        <v>54</v>
      </c>
      <c r="P17">
        <v>-1.41548419308</v>
      </c>
      <c r="Q17" t="s">
        <v>136</v>
      </c>
      <c r="W17">
        <v>42</v>
      </c>
      <c r="X17" t="s">
        <v>126</v>
      </c>
      <c r="Y17" t="s">
        <v>54</v>
      </c>
      <c r="Z17">
        <v>0.43342144713399999</v>
      </c>
      <c r="AA17" t="s">
        <v>98</v>
      </c>
      <c r="AL17">
        <v>48</v>
      </c>
      <c r="AM17" t="s">
        <v>68</v>
      </c>
      <c r="AN17" t="s">
        <v>54</v>
      </c>
      <c r="AO17">
        <v>-2.1236838848900002</v>
      </c>
      <c r="AP17" t="s">
        <v>106</v>
      </c>
      <c r="AZ17">
        <v>88</v>
      </c>
      <c r="BA17" t="s">
        <v>188</v>
      </c>
      <c r="BB17" t="s">
        <v>54</v>
      </c>
      <c r="BC17">
        <v>-0.23852894050599999</v>
      </c>
      <c r="BD17" t="s">
        <v>191</v>
      </c>
    </row>
    <row r="18" spans="1:56" x14ac:dyDescent="0.25">
      <c r="A18">
        <v>41</v>
      </c>
      <c r="B18" t="s">
        <v>70</v>
      </c>
      <c r="C18" t="s">
        <v>54</v>
      </c>
      <c r="D18">
        <v>-1.7451141218699999</v>
      </c>
      <c r="E18" t="s">
        <v>97</v>
      </c>
      <c r="W18">
        <v>48</v>
      </c>
      <c r="X18" t="s">
        <v>68</v>
      </c>
      <c r="Y18" t="s">
        <v>54</v>
      </c>
      <c r="Z18">
        <v>-0.39332327498699998</v>
      </c>
      <c r="AA18" t="s">
        <v>106</v>
      </c>
      <c r="AL18">
        <v>50</v>
      </c>
      <c r="AM18" t="s">
        <v>74</v>
      </c>
      <c r="AN18" t="s">
        <v>54</v>
      </c>
      <c r="AO18">
        <v>1.21463609016</v>
      </c>
      <c r="AP18">
        <v>1</v>
      </c>
      <c r="AZ18">
        <v>89</v>
      </c>
      <c r="BA18" t="s">
        <v>189</v>
      </c>
      <c r="BB18" t="s">
        <v>54</v>
      </c>
      <c r="BC18">
        <v>1.3187843664700001</v>
      </c>
      <c r="BD18" t="s">
        <v>192</v>
      </c>
    </row>
    <row r="19" spans="1:56" x14ac:dyDescent="0.25">
      <c r="A19">
        <v>44</v>
      </c>
      <c r="B19" t="s">
        <v>71</v>
      </c>
      <c r="C19" t="s">
        <v>54</v>
      </c>
      <c r="D19">
        <v>-0.26427109019</v>
      </c>
      <c r="E19" t="s">
        <v>107</v>
      </c>
      <c r="W19">
        <v>50</v>
      </c>
      <c r="X19" t="s">
        <v>74</v>
      </c>
      <c r="Y19" t="s">
        <v>54</v>
      </c>
      <c r="Z19">
        <v>2.20032936544</v>
      </c>
      <c r="AA19">
        <v>1</v>
      </c>
      <c r="AL19">
        <v>52</v>
      </c>
      <c r="AM19" t="s">
        <v>75</v>
      </c>
      <c r="AN19" t="s">
        <v>54</v>
      </c>
      <c r="AO19">
        <v>-0.87685347122000001</v>
      </c>
      <c r="AP19" t="s">
        <v>98</v>
      </c>
      <c r="AZ19">
        <v>99</v>
      </c>
      <c r="BA19" t="s">
        <v>96</v>
      </c>
      <c r="BB19" t="s">
        <v>54</v>
      </c>
      <c r="BC19">
        <v>0.96666822906600003</v>
      </c>
    </row>
    <row r="20" spans="1:56" x14ac:dyDescent="0.25">
      <c r="A20">
        <v>45</v>
      </c>
      <c r="B20" t="s">
        <v>72</v>
      </c>
      <c r="C20" t="s">
        <v>54</v>
      </c>
      <c r="D20">
        <v>-0.26346992705599998</v>
      </c>
      <c r="E20" t="s">
        <v>108</v>
      </c>
      <c r="W20">
        <v>53</v>
      </c>
      <c r="X20" t="s">
        <v>146</v>
      </c>
      <c r="Y20" t="s">
        <v>54</v>
      </c>
      <c r="Z20">
        <v>-1.27744217244</v>
      </c>
      <c r="AA20" t="s">
        <v>153</v>
      </c>
      <c r="AL20">
        <v>54</v>
      </c>
      <c r="AM20" t="s">
        <v>162</v>
      </c>
      <c r="AN20" t="s">
        <v>54</v>
      </c>
      <c r="AO20">
        <v>0.114530953724</v>
      </c>
      <c r="AP20" t="s">
        <v>107</v>
      </c>
    </row>
    <row r="21" spans="1:56" x14ac:dyDescent="0.25">
      <c r="A21">
        <v>47</v>
      </c>
      <c r="B21" t="s">
        <v>73</v>
      </c>
      <c r="C21" t="s">
        <v>54</v>
      </c>
      <c r="D21">
        <v>1.3756218553499999</v>
      </c>
      <c r="E21" t="s">
        <v>99</v>
      </c>
      <c r="W21">
        <v>54</v>
      </c>
      <c r="X21" t="s">
        <v>76</v>
      </c>
      <c r="Y21" t="s">
        <v>54</v>
      </c>
      <c r="Z21">
        <v>-0.17415467666600001</v>
      </c>
      <c r="AA21" t="s">
        <v>107</v>
      </c>
      <c r="AL21">
        <v>60</v>
      </c>
      <c r="AM21" t="s">
        <v>79</v>
      </c>
      <c r="AN21" t="s">
        <v>54</v>
      </c>
      <c r="AO21">
        <v>-6.5774811724299997</v>
      </c>
      <c r="AP21">
        <v>1</v>
      </c>
    </row>
    <row r="22" spans="1:56" x14ac:dyDescent="0.25">
      <c r="A22">
        <v>50</v>
      </c>
      <c r="B22" t="s">
        <v>74</v>
      </c>
      <c r="C22" t="s">
        <v>54</v>
      </c>
      <c r="D22">
        <v>1.2145079058199999</v>
      </c>
      <c r="E22">
        <v>1</v>
      </c>
      <c r="W22">
        <v>60</v>
      </c>
      <c r="X22" t="s">
        <v>79</v>
      </c>
      <c r="Y22" t="s">
        <v>54</v>
      </c>
      <c r="Z22">
        <v>-9.5721045222600001</v>
      </c>
      <c r="AA22">
        <v>1</v>
      </c>
      <c r="AL22">
        <v>61</v>
      </c>
      <c r="AM22" t="s">
        <v>80</v>
      </c>
      <c r="AN22" t="s">
        <v>54</v>
      </c>
      <c r="AO22">
        <v>1.0360071208699999</v>
      </c>
      <c r="AP22" t="s">
        <v>114</v>
      </c>
    </row>
    <row r="23" spans="1:56" x14ac:dyDescent="0.25">
      <c r="A23">
        <v>52</v>
      </c>
      <c r="B23" t="s">
        <v>75</v>
      </c>
      <c r="C23" t="s">
        <v>54</v>
      </c>
      <c r="D23">
        <v>-1.01885889266</v>
      </c>
      <c r="E23" t="s">
        <v>98</v>
      </c>
      <c r="W23">
        <v>61</v>
      </c>
      <c r="X23" t="s">
        <v>80</v>
      </c>
      <c r="Y23" t="s">
        <v>54</v>
      </c>
      <c r="Z23">
        <v>0.76617238553300004</v>
      </c>
      <c r="AA23" t="s">
        <v>114</v>
      </c>
      <c r="AL23">
        <v>63</v>
      </c>
      <c r="AM23" t="s">
        <v>147</v>
      </c>
      <c r="AN23" t="s">
        <v>54</v>
      </c>
      <c r="AO23">
        <v>-0.76682515659200001</v>
      </c>
      <c r="AP23" t="s">
        <v>137</v>
      </c>
    </row>
    <row r="24" spans="1:56" x14ac:dyDescent="0.25">
      <c r="A24">
        <v>54</v>
      </c>
      <c r="B24" t="s">
        <v>76</v>
      </c>
      <c r="C24" t="s">
        <v>54</v>
      </c>
      <c r="D24">
        <v>-0.78347783300499996</v>
      </c>
      <c r="E24" t="s">
        <v>107</v>
      </c>
      <c r="W24">
        <v>63</v>
      </c>
      <c r="X24" t="s">
        <v>147</v>
      </c>
      <c r="Y24" t="s">
        <v>54</v>
      </c>
      <c r="Z24">
        <v>-0.66187614505199999</v>
      </c>
      <c r="AA24" t="s">
        <v>137</v>
      </c>
      <c r="AL24">
        <v>73</v>
      </c>
      <c r="AM24" t="s">
        <v>128</v>
      </c>
      <c r="AN24" t="s">
        <v>54</v>
      </c>
      <c r="AO24">
        <v>-0.36705005247900002</v>
      </c>
      <c r="AP24" t="s">
        <v>137</v>
      </c>
    </row>
    <row r="25" spans="1:56" x14ac:dyDescent="0.25">
      <c r="A25">
        <v>56</v>
      </c>
      <c r="B25" t="s">
        <v>77</v>
      </c>
      <c r="C25" t="s">
        <v>54</v>
      </c>
      <c r="D25">
        <v>0.30803328101299998</v>
      </c>
      <c r="E25" t="s">
        <v>113</v>
      </c>
      <c r="W25">
        <v>71</v>
      </c>
      <c r="X25" t="s">
        <v>148</v>
      </c>
      <c r="Y25" t="s">
        <v>54</v>
      </c>
      <c r="Z25">
        <v>-0.659709011367</v>
      </c>
      <c r="AA25" t="s">
        <v>114</v>
      </c>
      <c r="AL25">
        <v>120</v>
      </c>
      <c r="AM25" t="s">
        <v>163</v>
      </c>
      <c r="AN25" t="s">
        <v>54</v>
      </c>
      <c r="AO25">
        <v>-1.37393186115</v>
      </c>
      <c r="AP25" t="s">
        <v>173</v>
      </c>
    </row>
    <row r="26" spans="1:56" x14ac:dyDescent="0.25">
      <c r="A26">
        <v>59</v>
      </c>
      <c r="B26" t="s">
        <v>78</v>
      </c>
      <c r="C26" t="s">
        <v>54</v>
      </c>
      <c r="D26">
        <v>-1.56467364191</v>
      </c>
      <c r="E26" t="s">
        <v>101</v>
      </c>
      <c r="W26">
        <v>124</v>
      </c>
      <c r="X26" t="s">
        <v>149</v>
      </c>
      <c r="Y26" t="s">
        <v>54</v>
      </c>
      <c r="Z26">
        <v>2.0023107306000001</v>
      </c>
      <c r="AA26" t="s">
        <v>155</v>
      </c>
      <c r="AL26">
        <v>124</v>
      </c>
      <c r="AM26" t="s">
        <v>149</v>
      </c>
      <c r="AN26" t="s">
        <v>54</v>
      </c>
      <c r="AO26">
        <v>1.98544962266</v>
      </c>
      <c r="AP26" t="s">
        <v>155</v>
      </c>
    </row>
    <row r="27" spans="1:56" x14ac:dyDescent="0.25">
      <c r="A27">
        <v>60</v>
      </c>
      <c r="B27" t="s">
        <v>79</v>
      </c>
      <c r="C27" t="s">
        <v>54</v>
      </c>
      <c r="D27">
        <v>-3.5143971590500001</v>
      </c>
      <c r="E27">
        <v>1</v>
      </c>
      <c r="G27" t="s">
        <v>6</v>
      </c>
      <c r="W27">
        <v>127</v>
      </c>
      <c r="X27" t="s">
        <v>150</v>
      </c>
      <c r="Y27" t="s">
        <v>54</v>
      </c>
      <c r="Z27" s="35">
        <v>1.0987901816399999E-2</v>
      </c>
      <c r="AA27" t="s">
        <v>138</v>
      </c>
      <c r="AL27">
        <v>128</v>
      </c>
      <c r="AM27" t="s">
        <v>151</v>
      </c>
      <c r="AN27" t="s">
        <v>54</v>
      </c>
      <c r="AO27" s="35">
        <v>1.56308175885E-4</v>
      </c>
      <c r="AP27" t="s">
        <v>116</v>
      </c>
    </row>
    <row r="28" spans="1:56" x14ac:dyDescent="0.25">
      <c r="A28">
        <v>61</v>
      </c>
      <c r="B28" t="s">
        <v>80</v>
      </c>
      <c r="C28" t="s">
        <v>54</v>
      </c>
      <c r="D28">
        <v>0.16084114056400001</v>
      </c>
      <c r="E28" t="s">
        <v>114</v>
      </c>
      <c r="W28">
        <v>128</v>
      </c>
      <c r="X28" t="s">
        <v>151</v>
      </c>
      <c r="Y28" t="s">
        <v>54</v>
      </c>
      <c r="Z28" s="35">
        <v>9.8072993996499997E-5</v>
      </c>
      <c r="AA28" t="s">
        <v>116</v>
      </c>
      <c r="AL28">
        <v>131</v>
      </c>
      <c r="AM28" t="s">
        <v>85</v>
      </c>
      <c r="AN28" t="s">
        <v>54</v>
      </c>
      <c r="AO28">
        <v>-0.48853505686199999</v>
      </c>
      <c r="AP28" t="s">
        <v>109</v>
      </c>
    </row>
    <row r="29" spans="1:56" x14ac:dyDescent="0.25">
      <c r="A29">
        <v>69</v>
      </c>
      <c r="B29" t="s">
        <v>81</v>
      </c>
      <c r="C29" t="s">
        <v>54</v>
      </c>
      <c r="D29">
        <v>0.51493638010999998</v>
      </c>
      <c r="E29" t="s">
        <v>100</v>
      </c>
      <c r="W29">
        <v>131</v>
      </c>
      <c r="X29" t="s">
        <v>85</v>
      </c>
      <c r="Y29" t="s">
        <v>54</v>
      </c>
      <c r="Z29">
        <v>-2.2170416796199999</v>
      </c>
      <c r="AA29" t="s">
        <v>109</v>
      </c>
      <c r="AL29">
        <v>132</v>
      </c>
      <c r="AM29" t="s">
        <v>86</v>
      </c>
      <c r="AN29" t="s">
        <v>54</v>
      </c>
      <c r="AO29">
        <v>0.231801803532</v>
      </c>
      <c r="AP29" t="s">
        <v>110</v>
      </c>
    </row>
    <row r="30" spans="1:56" x14ac:dyDescent="0.25">
      <c r="A30">
        <v>79</v>
      </c>
      <c r="B30" t="s">
        <v>82</v>
      </c>
      <c r="C30" t="s">
        <v>54</v>
      </c>
      <c r="D30" s="35">
        <v>-7.3787571266299996E-3</v>
      </c>
      <c r="E30" t="s">
        <v>100</v>
      </c>
      <c r="G30" t="s">
        <v>7</v>
      </c>
      <c r="W30">
        <v>132</v>
      </c>
      <c r="X30" t="s">
        <v>86</v>
      </c>
      <c r="Y30" t="s">
        <v>54</v>
      </c>
      <c r="Z30" s="35">
        <v>-3.1767087365000002E-2</v>
      </c>
      <c r="AA30" t="s">
        <v>110</v>
      </c>
      <c r="AL30">
        <v>133</v>
      </c>
      <c r="AM30" t="s">
        <v>87</v>
      </c>
      <c r="AN30" t="s">
        <v>54</v>
      </c>
      <c r="AO30">
        <v>-0.448982673572</v>
      </c>
      <c r="AP30" t="s">
        <v>109</v>
      </c>
    </row>
    <row r="31" spans="1:56" x14ac:dyDescent="0.25">
      <c r="A31">
        <v>122</v>
      </c>
      <c r="B31" t="s">
        <v>83</v>
      </c>
      <c r="C31" t="s">
        <v>54</v>
      </c>
      <c r="D31">
        <v>0.41910856576200001</v>
      </c>
      <c r="E31" t="s">
        <v>103</v>
      </c>
      <c r="W31">
        <v>133</v>
      </c>
      <c r="X31" t="s">
        <v>87</v>
      </c>
      <c r="Y31" t="s">
        <v>54</v>
      </c>
      <c r="Z31">
        <v>3.7030999967599998</v>
      </c>
      <c r="AA31" t="s">
        <v>109</v>
      </c>
      <c r="AL31">
        <v>134</v>
      </c>
      <c r="AM31" t="s">
        <v>88</v>
      </c>
      <c r="AN31" t="s">
        <v>54</v>
      </c>
      <c r="AO31">
        <v>0.337153571657</v>
      </c>
      <c r="AP31" t="s">
        <v>110</v>
      </c>
    </row>
    <row r="32" spans="1:56" x14ac:dyDescent="0.25">
      <c r="A32">
        <v>129</v>
      </c>
      <c r="B32" t="s">
        <v>84</v>
      </c>
      <c r="C32" t="s">
        <v>54</v>
      </c>
      <c r="D32">
        <v>2.5894917765500001</v>
      </c>
      <c r="E32" t="s">
        <v>102</v>
      </c>
      <c r="W32">
        <v>134</v>
      </c>
      <c r="X32" t="s">
        <v>88</v>
      </c>
      <c r="Y32" t="s">
        <v>54</v>
      </c>
      <c r="Z32">
        <v>0.24299252372800001</v>
      </c>
      <c r="AA32" t="s">
        <v>110</v>
      </c>
      <c r="AL32">
        <v>136</v>
      </c>
      <c r="AM32" t="s">
        <v>164</v>
      </c>
      <c r="AN32" t="s">
        <v>54</v>
      </c>
      <c r="AO32" s="35">
        <v>7.2810588779500002E-2</v>
      </c>
      <c r="AP32" t="s">
        <v>173</v>
      </c>
    </row>
    <row r="33" spans="1:42" x14ac:dyDescent="0.25">
      <c r="A33">
        <v>131</v>
      </c>
      <c r="B33" t="s">
        <v>85</v>
      </c>
      <c r="C33" t="s">
        <v>54</v>
      </c>
      <c r="D33">
        <v>-1.78374770832</v>
      </c>
      <c r="E33" t="s">
        <v>109</v>
      </c>
      <c r="W33">
        <v>162</v>
      </c>
      <c r="X33" t="s">
        <v>90</v>
      </c>
      <c r="Y33" t="s">
        <v>54</v>
      </c>
      <c r="Z33">
        <v>0.47993312787800002</v>
      </c>
      <c r="AA33" t="s">
        <v>118</v>
      </c>
      <c r="AD33" t="s">
        <v>119</v>
      </c>
      <c r="AL33">
        <v>137</v>
      </c>
      <c r="AM33" t="s">
        <v>165</v>
      </c>
      <c r="AN33" t="s">
        <v>54</v>
      </c>
      <c r="AO33">
        <v>2.1739211388099999</v>
      </c>
      <c r="AP33" t="s">
        <v>176</v>
      </c>
    </row>
    <row r="34" spans="1:42" x14ac:dyDescent="0.25">
      <c r="A34">
        <v>132</v>
      </c>
      <c r="B34" t="s">
        <v>86</v>
      </c>
      <c r="C34" t="s">
        <v>54</v>
      </c>
      <c r="D34">
        <v>0.219607287175</v>
      </c>
      <c r="E34" t="s">
        <v>110</v>
      </c>
      <c r="W34">
        <v>164</v>
      </c>
      <c r="X34" t="s">
        <v>92</v>
      </c>
      <c r="Y34" t="s">
        <v>54</v>
      </c>
      <c r="Z34">
        <v>2.4096342508199999</v>
      </c>
      <c r="AA34" t="s">
        <v>117</v>
      </c>
      <c r="AL34">
        <v>138</v>
      </c>
      <c r="AM34" t="s">
        <v>166</v>
      </c>
      <c r="AN34" t="s">
        <v>54</v>
      </c>
      <c r="AO34">
        <v>0.54895052211899997</v>
      </c>
      <c r="AP34" t="s">
        <v>177</v>
      </c>
    </row>
    <row r="35" spans="1:42" x14ac:dyDescent="0.25">
      <c r="A35">
        <v>133</v>
      </c>
      <c r="B35" t="s">
        <v>87</v>
      </c>
      <c r="C35" t="s">
        <v>54</v>
      </c>
      <c r="D35">
        <v>1.28842096954</v>
      </c>
      <c r="E35" t="s">
        <v>109</v>
      </c>
      <c r="W35">
        <v>168</v>
      </c>
      <c r="X35" t="s">
        <v>93</v>
      </c>
      <c r="Y35" t="s">
        <v>54</v>
      </c>
      <c r="Z35" s="35">
        <v>1.5323914424799999E-4</v>
      </c>
      <c r="AA35" t="s">
        <v>116</v>
      </c>
      <c r="AL35">
        <v>160</v>
      </c>
      <c r="AM35" t="s">
        <v>167</v>
      </c>
      <c r="AN35" t="s">
        <v>54</v>
      </c>
      <c r="AO35">
        <v>0.97577037596600003</v>
      </c>
      <c r="AP35" t="s">
        <v>177</v>
      </c>
    </row>
    <row r="36" spans="1:42" x14ac:dyDescent="0.25">
      <c r="A36">
        <v>134</v>
      </c>
      <c r="B36" t="s">
        <v>88</v>
      </c>
      <c r="C36" t="s">
        <v>54</v>
      </c>
      <c r="D36">
        <v>0.22135756046499999</v>
      </c>
      <c r="E36" t="s">
        <v>110</v>
      </c>
      <c r="W36">
        <v>169</v>
      </c>
      <c r="X36" t="s">
        <v>94</v>
      </c>
      <c r="Y36" t="s">
        <v>54</v>
      </c>
      <c r="Z36">
        <v>7.1710322282799996</v>
      </c>
      <c r="AA36" t="s">
        <v>115</v>
      </c>
      <c r="AL36">
        <v>161</v>
      </c>
      <c r="AM36" t="s">
        <v>89</v>
      </c>
      <c r="AN36" t="s">
        <v>54</v>
      </c>
      <c r="AO36">
        <v>0.73068915349300001</v>
      </c>
      <c r="AP36" t="s">
        <v>118</v>
      </c>
    </row>
    <row r="37" spans="1:42" x14ac:dyDescent="0.25">
      <c r="A37">
        <v>161</v>
      </c>
      <c r="B37" t="s">
        <v>89</v>
      </c>
      <c r="C37" t="s">
        <v>54</v>
      </c>
      <c r="D37">
        <v>1.07764073896</v>
      </c>
      <c r="E37" t="s">
        <v>118</v>
      </c>
      <c r="W37">
        <v>179</v>
      </c>
      <c r="X37" t="s">
        <v>95</v>
      </c>
      <c r="Y37" t="s">
        <v>54</v>
      </c>
      <c r="Z37">
        <v>0.925274561946</v>
      </c>
      <c r="AA37" t="s">
        <v>115</v>
      </c>
      <c r="AE37" t="s">
        <v>117</v>
      </c>
      <c r="AL37">
        <v>162</v>
      </c>
      <c r="AM37" t="s">
        <v>90</v>
      </c>
      <c r="AN37" t="s">
        <v>54</v>
      </c>
      <c r="AO37">
        <v>0.91913294534199996</v>
      </c>
      <c r="AP37" t="s">
        <v>119</v>
      </c>
    </row>
    <row r="38" spans="1:42" x14ac:dyDescent="0.25">
      <c r="A38">
        <v>162</v>
      </c>
      <c r="B38" t="s">
        <v>90</v>
      </c>
      <c r="C38" t="s">
        <v>54</v>
      </c>
      <c r="D38">
        <v>0.88180479210700002</v>
      </c>
      <c r="E38" t="s">
        <v>119</v>
      </c>
      <c r="W38">
        <v>99</v>
      </c>
      <c r="X38" t="s">
        <v>96</v>
      </c>
      <c r="Y38" t="s">
        <v>54</v>
      </c>
      <c r="Z38">
        <v>0.95968590185500002</v>
      </c>
      <c r="AL38">
        <v>163</v>
      </c>
      <c r="AM38" t="s">
        <v>91</v>
      </c>
      <c r="AN38" t="s">
        <v>54</v>
      </c>
      <c r="AO38">
        <v>-0.88337105065300003</v>
      </c>
      <c r="AP38" t="s">
        <v>120</v>
      </c>
    </row>
    <row r="39" spans="1:42" x14ac:dyDescent="0.25">
      <c r="A39">
        <v>163</v>
      </c>
      <c r="B39" t="s">
        <v>91</v>
      </c>
      <c r="C39" t="s">
        <v>54</v>
      </c>
      <c r="D39">
        <v>-1.1532748156899999</v>
      </c>
      <c r="E39" t="s">
        <v>120</v>
      </c>
      <c r="AL39">
        <v>164</v>
      </c>
      <c r="AM39" t="s">
        <v>92</v>
      </c>
      <c r="AN39" t="s">
        <v>54</v>
      </c>
      <c r="AO39">
        <v>2.8689614342600001</v>
      </c>
      <c r="AP39" t="s">
        <v>117</v>
      </c>
    </row>
    <row r="40" spans="1:42" x14ac:dyDescent="0.25">
      <c r="A40">
        <v>164</v>
      </c>
      <c r="B40" t="s">
        <v>92</v>
      </c>
      <c r="C40" t="s">
        <v>54</v>
      </c>
      <c r="D40">
        <v>0.93583173807599995</v>
      </c>
      <c r="E40" t="s">
        <v>117</v>
      </c>
      <c r="AL40">
        <v>165</v>
      </c>
      <c r="AM40" t="s">
        <v>168</v>
      </c>
      <c r="AN40" t="s">
        <v>54</v>
      </c>
      <c r="AO40" s="35">
        <v>8.0969107286800002E-4</v>
      </c>
      <c r="AP40" t="s">
        <v>178</v>
      </c>
    </row>
    <row r="41" spans="1:42" x14ac:dyDescent="0.25">
      <c r="A41">
        <v>168</v>
      </c>
      <c r="B41" t="s">
        <v>93</v>
      </c>
      <c r="C41" t="s">
        <v>54</v>
      </c>
      <c r="D41" s="35">
        <v>1.7653108240300001E-4</v>
      </c>
      <c r="E41" t="s">
        <v>116</v>
      </c>
      <c r="AL41">
        <v>168</v>
      </c>
      <c r="AM41" t="s">
        <v>93</v>
      </c>
      <c r="AN41" t="s">
        <v>54</v>
      </c>
      <c r="AO41" s="35">
        <v>5.6436182079000003E-5</v>
      </c>
      <c r="AP41" t="s">
        <v>116</v>
      </c>
    </row>
    <row r="42" spans="1:42" x14ac:dyDescent="0.25">
      <c r="A42">
        <v>169</v>
      </c>
      <c r="B42" t="s">
        <v>94</v>
      </c>
      <c r="C42" t="s">
        <v>54</v>
      </c>
      <c r="D42">
        <v>0.21170918018000001</v>
      </c>
      <c r="E42" t="s">
        <v>115</v>
      </c>
      <c r="AL42">
        <v>169</v>
      </c>
      <c r="AM42" t="s">
        <v>94</v>
      </c>
      <c r="AN42" t="s">
        <v>54</v>
      </c>
      <c r="AO42">
        <v>1.04301037572</v>
      </c>
      <c r="AP42" t="s">
        <v>115</v>
      </c>
    </row>
    <row r="43" spans="1:42" x14ac:dyDescent="0.25">
      <c r="A43">
        <v>179</v>
      </c>
      <c r="B43" t="s">
        <v>95</v>
      </c>
      <c r="C43" t="s">
        <v>54</v>
      </c>
      <c r="D43">
        <v>0.18728146335900001</v>
      </c>
      <c r="E43" t="s">
        <v>115</v>
      </c>
      <c r="AL43">
        <v>171</v>
      </c>
      <c r="AM43" t="s">
        <v>169</v>
      </c>
      <c r="AN43" t="s">
        <v>54</v>
      </c>
      <c r="AO43">
        <v>1.2382774015</v>
      </c>
      <c r="AP43" t="s">
        <v>176</v>
      </c>
    </row>
    <row r="44" spans="1:42" x14ac:dyDescent="0.25">
      <c r="A44">
        <v>99</v>
      </c>
      <c r="B44" t="s">
        <v>96</v>
      </c>
      <c r="C44" t="s">
        <v>54</v>
      </c>
      <c r="D44">
        <v>1</v>
      </c>
      <c r="AL44">
        <v>172</v>
      </c>
      <c r="AM44" t="s">
        <v>170</v>
      </c>
      <c r="AN44" t="s">
        <v>54</v>
      </c>
      <c r="AO44">
        <v>1.3528226166499999</v>
      </c>
      <c r="AP44" t="s">
        <v>177</v>
      </c>
    </row>
    <row r="45" spans="1:42" x14ac:dyDescent="0.25">
      <c r="AL45">
        <v>175</v>
      </c>
      <c r="AM45" t="s">
        <v>171</v>
      </c>
      <c r="AN45" t="s">
        <v>54</v>
      </c>
      <c r="AO45" s="35">
        <v>8.3440753078999996E-4</v>
      </c>
      <c r="AP45" t="s">
        <v>178</v>
      </c>
    </row>
    <row r="46" spans="1:42" x14ac:dyDescent="0.25">
      <c r="AL46">
        <v>178</v>
      </c>
      <c r="AM46" t="s">
        <v>172</v>
      </c>
      <c r="AN46" t="s">
        <v>54</v>
      </c>
      <c r="AO46" s="35">
        <v>1.08742831019E-5</v>
      </c>
      <c r="AP46" t="s">
        <v>179</v>
      </c>
    </row>
    <row r="47" spans="1:42" x14ac:dyDescent="0.25">
      <c r="AL47">
        <v>99</v>
      </c>
      <c r="AM47" t="s">
        <v>96</v>
      </c>
      <c r="AN47" t="s">
        <v>54</v>
      </c>
      <c r="AO47">
        <v>0.78390199493699997</v>
      </c>
    </row>
  </sheetData>
  <pageMargins bottom="0.75" footer="0.3" header="0.3" left="0.7" right="0.7" top="0.75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123"/>
  <sheetViews>
    <sheetView workbookViewId="0">
      <selection activeCell="A8" sqref="A8:K123"/>
    </sheetView>
  </sheetViews>
  <sheetFormatPr defaultRowHeight="15" x14ac:dyDescent="0.25"/>
  <cols>
    <col min="6" max="6" bestFit="true" customWidth="true" width="12.0" collapsed="true"/>
  </cols>
  <sheetData>
    <row r="1" spans="1:11" x14ac:dyDescent="0.25">
      <c r="A1" s="48" t="s">
        <v>201</v>
      </c>
      <c r="B1" s="45"/>
      <c r="C1" s="45"/>
      <c r="D1" s="45"/>
      <c r="E1" s="45"/>
      <c r="F1" s="45"/>
      <c r="G1" s="45"/>
      <c r="H1" s="45" t="s">
        <v>202</v>
      </c>
      <c r="I1" s="45"/>
      <c r="J1" s="45"/>
      <c r="K1" s="45"/>
    </row>
    <row r="2" spans="1:11" x14ac:dyDescent="0.25">
      <c r="A2" s="45">
        <v>1</v>
      </c>
      <c r="B2" s="45" t="s">
        <v>293</v>
      </c>
      <c r="C2" s="45"/>
      <c r="D2" s="45"/>
      <c r="E2" s="45"/>
      <c r="F2" s="45"/>
      <c r="G2" s="45"/>
      <c r="H2" s="45"/>
      <c r="I2" s="45"/>
      <c r="J2" s="45"/>
      <c r="K2" s="45"/>
    </row>
    <row r="3" spans="1:11" x14ac:dyDescent="0.25">
      <c r="A3" s="45">
        <v>2</v>
      </c>
      <c r="B3" s="45" t="s">
        <v>203</v>
      </c>
      <c r="C3" s="45"/>
      <c r="D3" s="45"/>
      <c r="E3" s="45"/>
      <c r="F3" s="45"/>
      <c r="G3" s="45"/>
      <c r="H3" s="45"/>
      <c r="I3" s="45"/>
      <c r="J3" s="45"/>
      <c r="K3" s="45"/>
    </row>
    <row r="4" spans="1:11" x14ac:dyDescent="0.25">
      <c r="A4" s="45">
        <v>3</v>
      </c>
      <c r="B4" s="45" t="s">
        <v>204</v>
      </c>
      <c r="C4" s="45"/>
      <c r="D4" s="45"/>
      <c r="E4" s="45"/>
      <c r="F4" s="45"/>
      <c r="G4" s="45"/>
      <c r="H4" s="45"/>
      <c r="I4" s="45"/>
      <c r="J4" s="45"/>
      <c r="K4" s="45"/>
    </row>
    <row r="5" spans="1:11" x14ac:dyDescent="0.25">
      <c r="A5" s="45">
        <v>4</v>
      </c>
      <c r="B5" s="45" t="s">
        <v>205</v>
      </c>
      <c r="C5" s="45"/>
      <c r="D5" s="45"/>
      <c r="E5" s="45"/>
      <c r="F5" s="45"/>
      <c r="G5" s="45"/>
      <c r="H5" s="45"/>
      <c r="I5" s="45"/>
      <c r="J5" s="45"/>
      <c r="K5" s="45"/>
    </row>
    <row r="6" spans="1:11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</row>
    <row r="8" spans="1:11" x14ac:dyDescent="0.25">
      <c r="A8" t="s">
        <v>206</v>
      </c>
      <c r="B8" t="s">
        <v>207</v>
      </c>
      <c r="C8" t="s">
        <v>208</v>
      </c>
      <c r="D8" t="s">
        <v>209</v>
      </c>
    </row>
    <row r="9" spans="1:11" x14ac:dyDescent="0.25">
      <c r="A9" t="s">
        <v>210</v>
      </c>
      <c r="B9" t="s">
        <v>211</v>
      </c>
      <c r="C9" t="s">
        <v>212</v>
      </c>
      <c r="D9" t="s">
        <v>213</v>
      </c>
      <c r="E9">
        <v>4</v>
      </c>
      <c r="F9" s="43">
        <v>0.58482638888888883</v>
      </c>
      <c r="G9" t="s">
        <v>214</v>
      </c>
      <c r="H9">
        <v>2</v>
      </c>
      <c r="I9" t="s">
        <v>215</v>
      </c>
      <c r="J9">
        <v>12</v>
      </c>
    </row>
    <row r="10" spans="1:11" x14ac:dyDescent="0.25">
      <c r="A10" t="s">
        <v>216</v>
      </c>
    </row>
    <row r="11" spans="1:11" x14ac:dyDescent="0.25">
      <c r="B11">
        <v>1</v>
      </c>
      <c r="C11" t="s">
        <v>53</v>
      </c>
      <c r="D11" t="s">
        <v>54</v>
      </c>
      <c r="E11">
        <v>0.52879225600000002</v>
      </c>
    </row>
    <row r="12" spans="1:11" x14ac:dyDescent="0.25">
      <c r="B12">
        <v>2</v>
      </c>
      <c r="C12" t="s">
        <v>55</v>
      </c>
      <c r="D12" t="s">
        <v>54</v>
      </c>
      <c r="E12">
        <v>0.558792764</v>
      </c>
      <c r="F12" s="35"/>
    </row>
    <row r="13" spans="1:11" x14ac:dyDescent="0.25">
      <c r="B13">
        <v>10</v>
      </c>
      <c r="C13" t="s">
        <v>139</v>
      </c>
      <c r="D13" t="s">
        <v>54</v>
      </c>
      <c r="E13">
        <v>-2.753234979003</v>
      </c>
    </row>
    <row r="14" spans="1:11" x14ac:dyDescent="0.25">
      <c r="B14">
        <v>11</v>
      </c>
      <c r="C14" t="s">
        <v>140</v>
      </c>
      <c r="D14" t="s">
        <v>63</v>
      </c>
      <c r="E14">
        <v>-3.3287983082310002</v>
      </c>
    </row>
    <row r="15" spans="1:11" x14ac:dyDescent="0.25">
      <c r="B15">
        <v>13</v>
      </c>
      <c r="C15" t="s">
        <v>141</v>
      </c>
      <c r="D15" t="s">
        <v>54</v>
      </c>
      <c r="E15">
        <v>0.55621422140200005</v>
      </c>
    </row>
    <row r="16" spans="1:11" x14ac:dyDescent="0.25">
      <c r="B16">
        <v>20</v>
      </c>
      <c r="C16" t="s">
        <v>59</v>
      </c>
      <c r="D16" t="s">
        <v>54</v>
      </c>
      <c r="E16">
        <v>-2.3402411299599999</v>
      </c>
    </row>
    <row r="17" spans="2:6" x14ac:dyDescent="0.25">
      <c r="B17">
        <v>21</v>
      </c>
      <c r="C17" t="s">
        <v>60</v>
      </c>
      <c r="D17" t="s">
        <v>54</v>
      </c>
      <c r="E17">
        <v>1.2003618989639999</v>
      </c>
    </row>
    <row r="18" spans="2:6" x14ac:dyDescent="0.25">
      <c r="B18">
        <v>22</v>
      </c>
      <c r="C18" t="s">
        <v>61</v>
      </c>
      <c r="D18" t="s">
        <v>54</v>
      </c>
      <c r="E18">
        <v>1.016680004923</v>
      </c>
    </row>
    <row r="19" spans="2:6" x14ac:dyDescent="0.25">
      <c r="B19">
        <v>30</v>
      </c>
      <c r="C19" t="s">
        <v>66</v>
      </c>
      <c r="D19" t="s">
        <v>54</v>
      </c>
      <c r="E19">
        <v>-1.3259112000819999</v>
      </c>
      <c r="F19" s="35"/>
    </row>
    <row r="20" spans="2:6" x14ac:dyDescent="0.25">
      <c r="B20">
        <v>31</v>
      </c>
      <c r="C20" t="s">
        <v>142</v>
      </c>
      <c r="D20" t="s">
        <v>54</v>
      </c>
      <c r="E20">
        <v>0.32331883700000003</v>
      </c>
      <c r="F20" s="35"/>
    </row>
    <row r="21" spans="2:6" x14ac:dyDescent="0.25">
      <c r="B21">
        <v>32</v>
      </c>
      <c r="C21" t="s">
        <v>143</v>
      </c>
      <c r="D21" t="s">
        <v>54</v>
      </c>
      <c r="E21">
        <v>0.27882626900000002</v>
      </c>
      <c r="F21" s="35"/>
    </row>
    <row r="22" spans="2:6" x14ac:dyDescent="0.25">
      <c r="B22">
        <v>35</v>
      </c>
      <c r="C22" t="s">
        <v>144</v>
      </c>
      <c r="D22" t="s">
        <v>54</v>
      </c>
      <c r="E22">
        <v>-0.13581644000000001</v>
      </c>
      <c r="F22" s="35"/>
    </row>
    <row r="23" spans="2:6" x14ac:dyDescent="0.25">
      <c r="B23">
        <v>36</v>
      </c>
      <c r="C23" t="s">
        <v>247</v>
      </c>
      <c r="D23" t="s">
        <v>54</v>
      </c>
      <c r="E23">
        <v>0.64233497572800002</v>
      </c>
    </row>
    <row r="24" spans="2:6" x14ac:dyDescent="0.25">
      <c r="B24">
        <v>37</v>
      </c>
      <c r="C24" t="s">
        <v>248</v>
      </c>
      <c r="D24" t="s">
        <v>54</v>
      </c>
      <c r="E24">
        <v>-0.38934722737299998</v>
      </c>
    </row>
    <row r="25" spans="2:6" x14ac:dyDescent="0.25">
      <c r="B25">
        <v>38</v>
      </c>
      <c r="C25" t="s">
        <v>145</v>
      </c>
      <c r="D25" t="s">
        <v>54</v>
      </c>
      <c r="E25">
        <v>-0.61753363800000005</v>
      </c>
    </row>
    <row r="26" spans="2:6" x14ac:dyDescent="0.25">
      <c r="B26">
        <v>39</v>
      </c>
      <c r="C26" t="s">
        <v>67</v>
      </c>
      <c r="D26" t="s">
        <v>54</v>
      </c>
      <c r="E26">
        <v>-1.2453283429999999</v>
      </c>
    </row>
    <row r="27" spans="2:6" x14ac:dyDescent="0.25">
      <c r="B27">
        <v>40</v>
      </c>
      <c r="C27" t="s">
        <v>69</v>
      </c>
      <c r="D27" t="s">
        <v>54</v>
      </c>
      <c r="E27">
        <v>-0.65415680916200003</v>
      </c>
    </row>
    <row r="28" spans="2:6" x14ac:dyDescent="0.25">
      <c r="B28">
        <v>41</v>
      </c>
      <c r="C28" t="s">
        <v>70</v>
      </c>
      <c r="D28" t="s">
        <v>54</v>
      </c>
      <c r="E28">
        <v>-4.1667026712270001</v>
      </c>
    </row>
    <row r="29" spans="2:6" x14ac:dyDescent="0.25">
      <c r="B29">
        <v>42</v>
      </c>
      <c r="C29" t="s">
        <v>126</v>
      </c>
      <c r="D29" t="s">
        <v>54</v>
      </c>
      <c r="E29">
        <v>0.46242029547000002</v>
      </c>
    </row>
    <row r="30" spans="2:6" x14ac:dyDescent="0.25">
      <c r="B30">
        <v>48</v>
      </c>
      <c r="C30" t="s">
        <v>68</v>
      </c>
      <c r="D30" t="s">
        <v>54</v>
      </c>
      <c r="E30">
        <v>-0.39332327500000003</v>
      </c>
    </row>
    <row r="31" spans="2:6" x14ac:dyDescent="0.25">
      <c r="B31">
        <v>50</v>
      </c>
      <c r="C31" t="s">
        <v>74</v>
      </c>
      <c r="D31" t="s">
        <v>54</v>
      </c>
      <c r="E31">
        <v>2.258603321502</v>
      </c>
    </row>
    <row r="32" spans="2:6" x14ac:dyDescent="0.25">
      <c r="B32">
        <v>53</v>
      </c>
      <c r="C32" t="s">
        <v>146</v>
      </c>
      <c r="D32" t="s">
        <v>54</v>
      </c>
      <c r="E32">
        <v>-1.8645362641850001</v>
      </c>
    </row>
    <row r="33" spans="2:6" x14ac:dyDescent="0.25">
      <c r="B33">
        <v>54</v>
      </c>
      <c r="C33" t="s">
        <v>76</v>
      </c>
      <c r="D33" t="s">
        <v>54</v>
      </c>
      <c r="E33">
        <v>-0.17415467700000001</v>
      </c>
    </row>
    <row r="34" spans="2:6" x14ac:dyDescent="0.25">
      <c r="B34">
        <v>60</v>
      </c>
      <c r="C34" t="s">
        <v>79</v>
      </c>
      <c r="D34" t="s">
        <v>54</v>
      </c>
      <c r="E34">
        <v>-8.3782826345419998</v>
      </c>
    </row>
    <row r="35" spans="2:6" x14ac:dyDescent="0.25">
      <c r="B35">
        <v>61</v>
      </c>
      <c r="C35" t="s">
        <v>80</v>
      </c>
      <c r="D35" t="s">
        <v>54</v>
      </c>
      <c r="E35" s="35">
        <v>0.76617238600000004</v>
      </c>
      <c r="F35" s="35"/>
    </row>
    <row r="36" spans="2:6" x14ac:dyDescent="0.25">
      <c r="B36">
        <v>63</v>
      </c>
      <c r="C36" t="s">
        <v>147</v>
      </c>
      <c r="D36" t="s">
        <v>54</v>
      </c>
      <c r="E36" s="35">
        <v>-0.66187614500000003</v>
      </c>
      <c r="F36" s="35"/>
    </row>
    <row r="37" spans="2:6" x14ac:dyDescent="0.25">
      <c r="B37">
        <v>67</v>
      </c>
      <c r="C37" t="s">
        <v>249</v>
      </c>
      <c r="D37" t="s">
        <v>54</v>
      </c>
      <c r="E37">
        <v>-1.6809639251070001</v>
      </c>
      <c r="F37" s="35"/>
    </row>
    <row r="38" spans="2:6" x14ac:dyDescent="0.25">
      <c r="B38">
        <v>68</v>
      </c>
      <c r="C38" t="s">
        <v>250</v>
      </c>
      <c r="D38" t="s">
        <v>54</v>
      </c>
      <c r="E38" s="35">
        <v>0.75586563750299995</v>
      </c>
      <c r="F38" s="35"/>
    </row>
    <row r="39" spans="2:6" x14ac:dyDescent="0.25">
      <c r="B39">
        <v>70</v>
      </c>
      <c r="C39" t="s">
        <v>251</v>
      </c>
      <c r="D39" t="s">
        <v>54</v>
      </c>
      <c r="E39">
        <v>0.98472092543800005</v>
      </c>
      <c r="F39" s="35"/>
    </row>
    <row r="40" spans="2:6" x14ac:dyDescent="0.25">
      <c r="B40">
        <v>71</v>
      </c>
      <c r="C40" t="s">
        <v>148</v>
      </c>
      <c r="D40" t="s">
        <v>54</v>
      </c>
      <c r="E40">
        <v>-0.65970901100000001</v>
      </c>
      <c r="F40" s="35"/>
    </row>
    <row r="41" spans="2:6" x14ac:dyDescent="0.25">
      <c r="B41">
        <v>77</v>
      </c>
      <c r="C41" t="s">
        <v>252</v>
      </c>
      <c r="D41" t="s">
        <v>54</v>
      </c>
      <c r="E41">
        <v>1.2553922705010001</v>
      </c>
      <c r="F41" s="35"/>
    </row>
    <row r="42" spans="2:6" x14ac:dyDescent="0.25">
      <c r="B42">
        <v>78</v>
      </c>
      <c r="C42" t="s">
        <v>253</v>
      </c>
      <c r="D42" t="s">
        <v>54</v>
      </c>
      <c r="E42">
        <v>5.3948600250779997</v>
      </c>
    </row>
    <row r="43" spans="2:6" x14ac:dyDescent="0.25">
      <c r="B43">
        <v>100</v>
      </c>
      <c r="C43" t="s">
        <v>314</v>
      </c>
      <c r="D43" t="s">
        <v>54</v>
      </c>
      <c r="E43" s="35">
        <v>-5.0023107309999997</v>
      </c>
      <c r="F43" s="35"/>
    </row>
    <row r="44" spans="2:6" x14ac:dyDescent="0.25">
      <c r="B44">
        <v>124</v>
      </c>
      <c r="C44" t="s">
        <v>149</v>
      </c>
      <c r="D44" t="s">
        <v>54</v>
      </c>
      <c r="E44" s="35">
        <v>2.0023107310000001</v>
      </c>
      <c r="F44" s="35"/>
    </row>
    <row r="45" spans="2:6" x14ac:dyDescent="0.25">
      <c r="B45">
        <v>127</v>
      </c>
      <c r="C45" t="s">
        <v>150</v>
      </c>
      <c r="D45" t="s">
        <v>54</v>
      </c>
      <c r="E45" s="35">
        <v>1.0987902000000001E-2</v>
      </c>
      <c r="F45" s="35"/>
    </row>
    <row r="46" spans="2:6" x14ac:dyDescent="0.25">
      <c r="B46">
        <v>128</v>
      </c>
      <c r="C46" t="s">
        <v>151</v>
      </c>
      <c r="D46" t="s">
        <v>54</v>
      </c>
      <c r="E46">
        <v>9.8072999999999994E-5</v>
      </c>
    </row>
    <row r="47" spans="2:6" x14ac:dyDescent="0.25">
      <c r="B47">
        <v>131</v>
      </c>
      <c r="C47" t="s">
        <v>85</v>
      </c>
      <c r="D47" t="s">
        <v>54</v>
      </c>
      <c r="E47" s="35">
        <v>-2.2170416799999999</v>
      </c>
      <c r="F47" s="35"/>
    </row>
    <row r="48" spans="2:6" x14ac:dyDescent="0.25">
      <c r="B48">
        <v>132</v>
      </c>
      <c r="C48" s="35" t="s">
        <v>86</v>
      </c>
      <c r="D48" s="35" t="s">
        <v>54</v>
      </c>
      <c r="E48" s="35">
        <v>-3.1767086999999999E-2</v>
      </c>
    </row>
    <row r="49" spans="2:11" x14ac:dyDescent="0.25">
      <c r="B49">
        <v>133</v>
      </c>
      <c r="C49" t="s">
        <v>87</v>
      </c>
      <c r="D49" t="s">
        <v>54</v>
      </c>
      <c r="E49">
        <v>3.7030999969999998</v>
      </c>
      <c r="F49" s="35"/>
    </row>
    <row r="50" spans="2:11" x14ac:dyDescent="0.25">
      <c r="B50">
        <v>134</v>
      </c>
      <c r="C50" s="35" t="s">
        <v>88</v>
      </c>
      <c r="D50" s="35" t="s">
        <v>54</v>
      </c>
      <c r="E50" s="35">
        <v>0.24299252399999999</v>
      </c>
    </row>
    <row r="51" spans="2:11" x14ac:dyDescent="0.25">
      <c r="B51">
        <v>162</v>
      </c>
      <c r="C51" t="s">
        <v>90</v>
      </c>
      <c r="D51" t="s">
        <v>54</v>
      </c>
      <c r="E51">
        <v>0.47993312799999999</v>
      </c>
    </row>
    <row r="52" spans="2:11" x14ac:dyDescent="0.25">
      <c r="B52">
        <v>164</v>
      </c>
      <c r="C52" t="s">
        <v>92</v>
      </c>
      <c r="D52" t="s">
        <v>54</v>
      </c>
      <c r="E52" s="35">
        <v>2.4096342509999999</v>
      </c>
      <c r="F52" s="35"/>
    </row>
    <row r="53" spans="2:11" x14ac:dyDescent="0.25">
      <c r="B53">
        <v>168</v>
      </c>
      <c r="C53" t="s">
        <v>93</v>
      </c>
      <c r="D53" t="s">
        <v>54</v>
      </c>
      <c r="E53">
        <v>1.53239E-4</v>
      </c>
    </row>
    <row r="54" spans="2:11" x14ac:dyDescent="0.25">
      <c r="B54">
        <v>169</v>
      </c>
      <c r="C54" t="s">
        <v>94</v>
      </c>
      <c r="D54" t="s">
        <v>54</v>
      </c>
      <c r="E54">
        <v>7.1710322279999996</v>
      </c>
    </row>
    <row r="55" spans="2:11" x14ac:dyDescent="0.25">
      <c r="B55">
        <v>179</v>
      </c>
      <c r="C55" t="s">
        <v>95</v>
      </c>
      <c r="D55" t="s">
        <v>54</v>
      </c>
      <c r="E55">
        <v>0.92527456200000002</v>
      </c>
    </row>
    <row r="56" spans="2:11" x14ac:dyDescent="0.25">
      <c r="B56">
        <v>180</v>
      </c>
      <c r="C56" t="s">
        <v>64</v>
      </c>
      <c r="D56" t="s">
        <v>54</v>
      </c>
      <c r="E56">
        <v>-2.5456058129999999</v>
      </c>
    </row>
    <row r="57" spans="2:11" x14ac:dyDescent="0.25">
      <c r="B57">
        <v>99</v>
      </c>
      <c r="C57" s="35" t="s">
        <v>96</v>
      </c>
      <c r="D57" s="35" t="s">
        <v>54</v>
      </c>
      <c r="E57" s="35">
        <v>0.95968590200000004</v>
      </c>
      <c r="F57" s="35"/>
    </row>
    <row r="58" spans="2:11" x14ac:dyDescent="0.25">
      <c r="B58">
        <v>-1</v>
      </c>
      <c r="C58" s="35"/>
      <c r="D58" s="35"/>
      <c r="E58" s="35"/>
    </row>
    <row r="59" spans="2:11" x14ac:dyDescent="0.25">
      <c r="B59">
        <v>3313</v>
      </c>
      <c r="C59" s="35">
        <v>-3185.9381964899999</v>
      </c>
      <c r="D59" s="35">
        <v>-5747.9343173200004</v>
      </c>
      <c r="E59" s="35">
        <v>-2220.27669861</v>
      </c>
    </row>
    <row r="60" spans="2:11" x14ac:dyDescent="0.25">
      <c r="B60">
        <v>19</v>
      </c>
      <c r="C60" t="s">
        <v>254</v>
      </c>
      <c r="D60" t="s">
        <v>214</v>
      </c>
      <c r="E60">
        <v>2</v>
      </c>
      <c r="F60" t="s">
        <v>215</v>
      </c>
      <c r="G60">
        <v>12</v>
      </c>
    </row>
    <row r="61" spans="2:11" x14ac:dyDescent="0.25">
      <c r="B61">
        <v>36263</v>
      </c>
      <c r="C61">
        <v>1893</v>
      </c>
      <c r="D61">
        <v>1002</v>
      </c>
      <c r="E61">
        <v>0</v>
      </c>
      <c r="F61">
        <v>0</v>
      </c>
      <c r="G61">
        <v>0</v>
      </c>
      <c r="H61">
        <v>-7340</v>
      </c>
      <c r="I61">
        <v>-12958</v>
      </c>
      <c r="J61">
        <v>-7335</v>
      </c>
      <c r="K61">
        <v>0</v>
      </c>
    </row>
    <row r="62" spans="2:11" x14ac:dyDescent="0.25">
      <c r="B62">
        <v>4205</v>
      </c>
      <c r="C62">
        <v>8480</v>
      </c>
      <c r="D62">
        <v>59354</v>
      </c>
      <c r="E62">
        <v>0</v>
      </c>
      <c r="F62">
        <v>-2651</v>
      </c>
      <c r="G62">
        <v>9042</v>
      </c>
      <c r="H62">
        <v>812</v>
      </c>
      <c r="I62">
        <v>81485</v>
      </c>
      <c r="J62">
        <v>0</v>
      </c>
      <c r="K62">
        <v>-4179</v>
      </c>
    </row>
    <row r="63" spans="2:11" x14ac:dyDescent="0.25">
      <c r="B63">
        <v>51403</v>
      </c>
      <c r="C63">
        <v>18807</v>
      </c>
      <c r="D63">
        <v>32644</v>
      </c>
      <c r="E63">
        <v>1618</v>
      </c>
      <c r="F63">
        <v>0</v>
      </c>
      <c r="G63">
        <v>-6850</v>
      </c>
      <c r="H63">
        <v>3345</v>
      </c>
      <c r="I63">
        <v>6671</v>
      </c>
      <c r="J63">
        <v>27479</v>
      </c>
      <c r="K63">
        <v>49033</v>
      </c>
    </row>
    <row r="64" spans="2:11" x14ac:dyDescent="0.25">
      <c r="B64">
        <v>915</v>
      </c>
      <c r="C64">
        <v>0</v>
      </c>
      <c r="D64">
        <v>-11038</v>
      </c>
      <c r="E64">
        <v>4037</v>
      </c>
      <c r="F64">
        <v>6625</v>
      </c>
      <c r="G64">
        <v>20222</v>
      </c>
      <c r="H64">
        <v>-15904</v>
      </c>
      <c r="I64">
        <v>-36456</v>
      </c>
      <c r="J64">
        <v>4430</v>
      </c>
      <c r="K64">
        <v>0</v>
      </c>
    </row>
    <row r="65" spans="2:11" x14ac:dyDescent="0.25">
      <c r="B65">
        <v>4918</v>
      </c>
      <c r="C65">
        <v>-99</v>
      </c>
      <c r="D65">
        <v>-14008</v>
      </c>
      <c r="E65">
        <v>-14767</v>
      </c>
      <c r="F65">
        <v>-16348</v>
      </c>
      <c r="G65">
        <v>-8542</v>
      </c>
      <c r="H65">
        <v>-15082</v>
      </c>
      <c r="I65">
        <v>476</v>
      </c>
      <c r="J65">
        <v>0</v>
      </c>
      <c r="K65">
        <v>3004</v>
      </c>
    </row>
    <row r="66" spans="2:11" x14ac:dyDescent="0.25">
      <c r="B66">
        <v>-533</v>
      </c>
      <c r="C66">
        <v>-8317</v>
      </c>
      <c r="D66">
        <v>-1184</v>
      </c>
      <c r="E66">
        <v>-411</v>
      </c>
      <c r="F66">
        <v>8749</v>
      </c>
      <c r="G66">
        <v>-8878</v>
      </c>
      <c r="H66">
        <v>-15532</v>
      </c>
      <c r="I66">
        <v>-286</v>
      </c>
      <c r="J66">
        <v>0</v>
      </c>
      <c r="K66">
        <v>3319</v>
      </c>
    </row>
    <row r="67" spans="2:11" x14ac:dyDescent="0.25">
      <c r="B67">
        <v>-1228</v>
      </c>
      <c r="C67">
        <v>-9745</v>
      </c>
      <c r="D67">
        <v>-2106</v>
      </c>
      <c r="E67">
        <v>-2414</v>
      </c>
      <c r="F67">
        <v>7430</v>
      </c>
      <c r="G67">
        <v>17025</v>
      </c>
      <c r="H67">
        <v>8802</v>
      </c>
      <c r="I67">
        <v>-50</v>
      </c>
      <c r="J67">
        <v>82156</v>
      </c>
      <c r="K67">
        <v>0</v>
      </c>
    </row>
    <row r="68" spans="2:11" x14ac:dyDescent="0.25">
      <c r="B68">
        <v>-3984</v>
      </c>
      <c r="C68">
        <v>51775</v>
      </c>
      <c r="D68">
        <v>99279</v>
      </c>
      <c r="E68">
        <v>6766</v>
      </c>
      <c r="F68">
        <v>6806</v>
      </c>
      <c r="G68">
        <v>-13594</v>
      </c>
      <c r="H68">
        <v>-5369</v>
      </c>
      <c r="I68">
        <v>-5193</v>
      </c>
      <c r="J68">
        <v>-23682</v>
      </c>
      <c r="K68">
        <v>-43852</v>
      </c>
    </row>
    <row r="69" spans="2:11" x14ac:dyDescent="0.25">
      <c r="B69">
        <v>236</v>
      </c>
      <c r="C69">
        <v>0</v>
      </c>
      <c r="D69">
        <v>9006</v>
      </c>
      <c r="E69">
        <v>-1848</v>
      </c>
      <c r="F69">
        <v>-14239</v>
      </c>
      <c r="G69">
        <v>-23290</v>
      </c>
      <c r="H69">
        <v>-32567</v>
      </c>
      <c r="I69">
        <v>19645</v>
      </c>
      <c r="J69">
        <v>4116</v>
      </c>
      <c r="K69">
        <v>9951</v>
      </c>
    </row>
    <row r="70" spans="2:11" x14ac:dyDescent="0.25">
      <c r="B70">
        <v>-13691</v>
      </c>
      <c r="C70">
        <v>19012</v>
      </c>
      <c r="D70">
        <v>37916</v>
      </c>
      <c r="E70">
        <v>-2067</v>
      </c>
      <c r="F70">
        <v>0</v>
      </c>
      <c r="G70">
        <v>-1946</v>
      </c>
      <c r="H70">
        <v>1171</v>
      </c>
      <c r="I70">
        <v>-1378</v>
      </c>
      <c r="J70">
        <v>16225</v>
      </c>
      <c r="K70">
        <v>30182</v>
      </c>
    </row>
    <row r="71" spans="2:11" x14ac:dyDescent="0.25">
      <c r="B71">
        <v>-7308</v>
      </c>
      <c r="C71">
        <v>1929</v>
      </c>
      <c r="D71">
        <v>-3034</v>
      </c>
      <c r="E71">
        <v>-1410</v>
      </c>
      <c r="F71">
        <v>-21200</v>
      </c>
      <c r="G71">
        <v>-8377</v>
      </c>
      <c r="H71">
        <v>-14770</v>
      </c>
      <c r="I71">
        <v>707</v>
      </c>
      <c r="J71">
        <v>0</v>
      </c>
      <c r="K71">
        <v>2904</v>
      </c>
    </row>
    <row r="72" spans="2:11" x14ac:dyDescent="0.25">
      <c r="B72">
        <v>-304</v>
      </c>
      <c r="C72">
        <v>-6031</v>
      </c>
      <c r="D72">
        <v>-937</v>
      </c>
      <c r="E72">
        <v>151</v>
      </c>
      <c r="F72">
        <v>9078</v>
      </c>
      <c r="G72">
        <v>37122</v>
      </c>
      <c r="H72">
        <v>7889</v>
      </c>
      <c r="I72">
        <v>-6522</v>
      </c>
      <c r="J72">
        <v>2346</v>
      </c>
      <c r="K72">
        <v>3319</v>
      </c>
    </row>
    <row r="73" spans="2:11" x14ac:dyDescent="0.25">
      <c r="B73">
        <v>26198</v>
      </c>
      <c r="C73">
        <v>32793</v>
      </c>
      <c r="D73">
        <v>69816</v>
      </c>
      <c r="E73">
        <v>0</v>
      </c>
      <c r="F73">
        <v>-10605</v>
      </c>
      <c r="G73">
        <v>46007</v>
      </c>
      <c r="H73">
        <v>88345</v>
      </c>
      <c r="I73">
        <v>24758</v>
      </c>
      <c r="J73">
        <v>36684</v>
      </c>
      <c r="K73">
        <v>-10342</v>
      </c>
    </row>
    <row r="74" spans="2:11" x14ac:dyDescent="0.25">
      <c r="B74">
        <v>-10042</v>
      </c>
      <c r="C74">
        <v>-11359</v>
      </c>
      <c r="D74">
        <v>88235</v>
      </c>
      <c r="E74">
        <v>-33449</v>
      </c>
      <c r="F74">
        <v>23814</v>
      </c>
      <c r="G74">
        <v>-9628</v>
      </c>
      <c r="H74">
        <v>-32033</v>
      </c>
      <c r="I74">
        <v>-53406</v>
      </c>
      <c r="J74">
        <v>-5673</v>
      </c>
      <c r="K74">
        <v>0</v>
      </c>
    </row>
    <row r="75" spans="2:11" x14ac:dyDescent="0.25">
      <c r="B75">
        <v>18263</v>
      </c>
      <c r="C75">
        <v>-6977</v>
      </c>
      <c r="D75">
        <v>-19289</v>
      </c>
      <c r="E75">
        <v>-27861</v>
      </c>
      <c r="F75">
        <v>-46025</v>
      </c>
      <c r="G75">
        <v>19518</v>
      </c>
      <c r="H75">
        <v>12582</v>
      </c>
      <c r="I75">
        <v>13800</v>
      </c>
      <c r="J75">
        <v>-18486</v>
      </c>
      <c r="K75">
        <v>38439</v>
      </c>
    </row>
    <row r="76" spans="2:11" x14ac:dyDescent="0.25">
      <c r="B76">
        <v>-4932</v>
      </c>
      <c r="C76">
        <v>12156</v>
      </c>
      <c r="D76">
        <v>-46224</v>
      </c>
      <c r="E76">
        <v>-1441</v>
      </c>
      <c r="F76">
        <v>-10620</v>
      </c>
      <c r="G76">
        <v>684</v>
      </c>
      <c r="H76">
        <v>0</v>
      </c>
      <c r="I76">
        <v>3680</v>
      </c>
      <c r="J76">
        <v>1269</v>
      </c>
      <c r="K76">
        <v>-3903</v>
      </c>
    </row>
    <row r="77" spans="2:11" x14ac:dyDescent="0.25">
      <c r="B77">
        <v>-4390</v>
      </c>
      <c r="C77">
        <v>-11924</v>
      </c>
      <c r="D77">
        <v>-346</v>
      </c>
      <c r="E77">
        <v>7751</v>
      </c>
      <c r="F77">
        <v>4740</v>
      </c>
      <c r="G77">
        <v>-3549</v>
      </c>
      <c r="H77">
        <v>9327</v>
      </c>
      <c r="I77">
        <v>-231</v>
      </c>
      <c r="J77">
        <v>8575</v>
      </c>
      <c r="K77">
        <v>-13392</v>
      </c>
    </row>
    <row r="78" spans="2:11" x14ac:dyDescent="0.25">
      <c r="B78">
        <v>13716</v>
      </c>
      <c r="C78">
        <v>-21679</v>
      </c>
      <c r="D78">
        <v>-26142</v>
      </c>
      <c r="E78">
        <v>31803</v>
      </c>
      <c r="F78">
        <v>0</v>
      </c>
      <c r="G78">
        <v>5700</v>
      </c>
      <c r="H78">
        <v>18401</v>
      </c>
      <c r="I78">
        <v>24529</v>
      </c>
      <c r="J78">
        <v>-13345</v>
      </c>
      <c r="K78">
        <v>-21678</v>
      </c>
    </row>
    <row r="79" spans="2:11" x14ac:dyDescent="0.25">
      <c r="B79">
        <v>12954</v>
      </c>
      <c r="C79">
        <v>6823</v>
      </c>
      <c r="D79">
        <v>6713</v>
      </c>
      <c r="E79">
        <v>25181</v>
      </c>
      <c r="F79">
        <v>22110</v>
      </c>
      <c r="G79">
        <v>-16165</v>
      </c>
      <c r="H79">
        <v>6819</v>
      </c>
      <c r="I79">
        <v>6465</v>
      </c>
      <c r="J79">
        <v>23670</v>
      </c>
      <c r="K79">
        <v>3758</v>
      </c>
    </row>
    <row r="80" spans="2:11" x14ac:dyDescent="0.25">
      <c r="B80">
        <v>3481</v>
      </c>
      <c r="C80">
        <v>5931</v>
      </c>
      <c r="D80">
        <v>-832</v>
      </c>
      <c r="E80">
        <v>0</v>
      </c>
      <c r="F80">
        <v>-1636</v>
      </c>
      <c r="G80">
        <v>967</v>
      </c>
      <c r="H80">
        <v>300</v>
      </c>
      <c r="I80">
        <v>3353</v>
      </c>
      <c r="J80">
        <v>4973</v>
      </c>
      <c r="K80">
        <v>-1835</v>
      </c>
    </row>
    <row r="81" spans="2:11" x14ac:dyDescent="0.25">
      <c r="B81">
        <v>-907</v>
      </c>
      <c r="C81">
        <v>-1490</v>
      </c>
      <c r="D81">
        <v>199</v>
      </c>
      <c r="E81">
        <v>-3346</v>
      </c>
      <c r="F81">
        <v>1267</v>
      </c>
      <c r="G81">
        <v>-720</v>
      </c>
      <c r="H81">
        <v>3332</v>
      </c>
      <c r="I81">
        <v>-7088</v>
      </c>
      <c r="J81">
        <v>-2563</v>
      </c>
      <c r="K81">
        <v>-18737</v>
      </c>
    </row>
    <row r="82" spans="2:11" x14ac:dyDescent="0.25">
      <c r="B82">
        <v>-6536</v>
      </c>
      <c r="C82">
        <v>-14673</v>
      </c>
      <c r="D82">
        <v>-759</v>
      </c>
      <c r="E82">
        <v>0</v>
      </c>
      <c r="F82">
        <v>2581</v>
      </c>
      <c r="G82">
        <v>-1560</v>
      </c>
      <c r="H82">
        <v>-3173</v>
      </c>
      <c r="I82">
        <v>-7436</v>
      </c>
      <c r="J82">
        <v>-10994</v>
      </c>
      <c r="K82">
        <v>5758</v>
      </c>
    </row>
    <row r="83" spans="2:11" x14ac:dyDescent="0.25">
      <c r="B83">
        <v>2838</v>
      </c>
      <c r="C83">
        <v>3310</v>
      </c>
      <c r="D83">
        <v>-2974</v>
      </c>
      <c r="E83">
        <v>9018</v>
      </c>
      <c r="F83">
        <v>-8696</v>
      </c>
      <c r="G83">
        <v>2691</v>
      </c>
      <c r="H83">
        <v>-9497</v>
      </c>
      <c r="I83">
        <v>10377</v>
      </c>
      <c r="J83">
        <v>1034</v>
      </c>
      <c r="K83">
        <v>2267</v>
      </c>
    </row>
    <row r="84" spans="2:11" x14ac:dyDescent="0.25">
      <c r="B84">
        <v>-11905</v>
      </c>
      <c r="C84">
        <v>-5959</v>
      </c>
      <c r="D84">
        <v>-10468</v>
      </c>
      <c r="E84">
        <v>1269</v>
      </c>
      <c r="F84">
        <v>0</v>
      </c>
      <c r="G84">
        <v>1710</v>
      </c>
      <c r="H84">
        <v>1466</v>
      </c>
      <c r="I84">
        <v>-1417</v>
      </c>
      <c r="J84">
        <v>-5071</v>
      </c>
      <c r="K84">
        <v>-7970</v>
      </c>
    </row>
    <row r="85" spans="2:11" x14ac:dyDescent="0.25">
      <c r="B85">
        <v>5007</v>
      </c>
      <c r="C85">
        <v>2887</v>
      </c>
      <c r="D85">
        <v>2408</v>
      </c>
      <c r="E85">
        <v>-1268</v>
      </c>
      <c r="F85">
        <v>6223</v>
      </c>
      <c r="G85">
        <v>-8004</v>
      </c>
      <c r="H85">
        <v>3040</v>
      </c>
      <c r="I85">
        <v>-6478</v>
      </c>
      <c r="J85">
        <v>6860</v>
      </c>
      <c r="K85">
        <v>7</v>
      </c>
    </row>
    <row r="86" spans="2:11" x14ac:dyDescent="0.25">
      <c r="B86">
        <v>6946</v>
      </c>
      <c r="C86">
        <v>9795</v>
      </c>
      <c r="D86">
        <v>2256</v>
      </c>
      <c r="E86">
        <v>3119</v>
      </c>
      <c r="F86">
        <v>4382</v>
      </c>
      <c r="G86">
        <v>2790</v>
      </c>
      <c r="H86">
        <v>0</v>
      </c>
      <c r="I86">
        <v>197</v>
      </c>
      <c r="J86">
        <v>-74688</v>
      </c>
      <c r="K86">
        <v>5978</v>
      </c>
    </row>
    <row r="87" spans="2:11" x14ac:dyDescent="0.25">
      <c r="B87">
        <v>3437</v>
      </c>
      <c r="C87">
        <v>5085</v>
      </c>
      <c r="D87">
        <v>-2220</v>
      </c>
      <c r="E87">
        <v>-1724</v>
      </c>
      <c r="F87">
        <v>-1646</v>
      </c>
      <c r="G87">
        <v>5901</v>
      </c>
      <c r="H87">
        <v>-4634</v>
      </c>
      <c r="I87">
        <v>4829</v>
      </c>
      <c r="J87">
        <v>-1751</v>
      </c>
      <c r="K87">
        <v>8859</v>
      </c>
    </row>
    <row r="88" spans="2:11" x14ac:dyDescent="0.25">
      <c r="B88">
        <v>-5494</v>
      </c>
      <c r="C88">
        <v>-3312</v>
      </c>
      <c r="D88">
        <v>-1126</v>
      </c>
      <c r="E88">
        <v>-1019</v>
      </c>
      <c r="F88">
        <v>-1284</v>
      </c>
      <c r="G88">
        <v>-2724</v>
      </c>
      <c r="H88">
        <v>7332</v>
      </c>
      <c r="I88">
        <v>20641</v>
      </c>
      <c r="J88">
        <v>-23600</v>
      </c>
      <c r="K88">
        <v>0</v>
      </c>
    </row>
    <row r="89" spans="2:11" x14ac:dyDescent="0.25">
      <c r="B89">
        <v>-7475</v>
      </c>
      <c r="C89">
        <v>-10419</v>
      </c>
      <c r="D89">
        <v>10617</v>
      </c>
      <c r="E89">
        <v>13383</v>
      </c>
      <c r="F89">
        <v>19849</v>
      </c>
      <c r="G89">
        <v>-9672</v>
      </c>
      <c r="H89">
        <v>-5806</v>
      </c>
      <c r="I89">
        <v>-6330</v>
      </c>
      <c r="J89">
        <v>10214</v>
      </c>
      <c r="K89">
        <v>-24741</v>
      </c>
    </row>
    <row r="90" spans="2:11" x14ac:dyDescent="0.25">
      <c r="B90">
        <v>14733</v>
      </c>
      <c r="C90">
        <v>-5637</v>
      </c>
      <c r="D90">
        <v>22508</v>
      </c>
      <c r="E90">
        <v>-22724</v>
      </c>
      <c r="F90">
        <v>-7373</v>
      </c>
      <c r="G90">
        <v>-12682</v>
      </c>
      <c r="H90">
        <v>3208</v>
      </c>
      <c r="I90">
        <v>-6282</v>
      </c>
      <c r="J90">
        <v>-3766</v>
      </c>
      <c r="K90">
        <v>-4073</v>
      </c>
    </row>
    <row r="91" spans="2:11" x14ac:dyDescent="0.25">
      <c r="B91">
        <v>13761</v>
      </c>
      <c r="C91">
        <v>49820</v>
      </c>
      <c r="D91">
        <v>-2002</v>
      </c>
      <c r="E91">
        <v>0</v>
      </c>
      <c r="F91">
        <v>-7756</v>
      </c>
      <c r="G91">
        <v>-4431</v>
      </c>
      <c r="H91">
        <v>12906</v>
      </c>
      <c r="I91">
        <v>25949</v>
      </c>
      <c r="J91">
        <v>40843</v>
      </c>
      <c r="K91">
        <v>-18196</v>
      </c>
    </row>
    <row r="92" spans="2:11" x14ac:dyDescent="0.25">
      <c r="B92">
        <v>-11858</v>
      </c>
      <c r="C92">
        <v>-12486</v>
      </c>
      <c r="D92">
        <v>12091</v>
      </c>
      <c r="E92">
        <v>-36321</v>
      </c>
      <c r="F92">
        <v>29994</v>
      </c>
      <c r="G92">
        <v>-11628</v>
      </c>
      <c r="H92">
        <v>38192</v>
      </c>
      <c r="I92">
        <v>-44895</v>
      </c>
      <c r="J92">
        <v>-14133</v>
      </c>
      <c r="K92">
        <v>-19386</v>
      </c>
    </row>
    <row r="93" spans="2:11" x14ac:dyDescent="0.25">
      <c r="B93">
        <v>3672</v>
      </c>
      <c r="C93">
        <v>-9024</v>
      </c>
      <c r="D93">
        <v>-8779</v>
      </c>
      <c r="E93">
        <v>15345</v>
      </c>
      <c r="F93">
        <v>-12487</v>
      </c>
      <c r="G93">
        <v>-28658</v>
      </c>
      <c r="H93">
        <v>-42444</v>
      </c>
      <c r="I93">
        <v>-3059</v>
      </c>
      <c r="J93">
        <v>0</v>
      </c>
      <c r="K93">
        <v>8648</v>
      </c>
    </row>
    <row r="94" spans="2:11" x14ac:dyDescent="0.25">
      <c r="B94">
        <v>-4568</v>
      </c>
      <c r="C94">
        <v>-14502</v>
      </c>
      <c r="D94">
        <v>-23819</v>
      </c>
      <c r="E94">
        <v>-31126</v>
      </c>
      <c r="F94">
        <v>21784</v>
      </c>
      <c r="G94">
        <v>11347</v>
      </c>
      <c r="H94">
        <v>10109</v>
      </c>
      <c r="I94">
        <v>-13951</v>
      </c>
      <c r="J94">
        <v>19386</v>
      </c>
      <c r="K94">
        <v>-22248</v>
      </c>
    </row>
    <row r="95" spans="2:11" x14ac:dyDescent="0.25">
      <c r="B95">
        <v>11630</v>
      </c>
      <c r="C95">
        <v>-33900</v>
      </c>
      <c r="D95">
        <v>38398</v>
      </c>
      <c r="E95">
        <v>9740</v>
      </c>
      <c r="F95">
        <v>19019</v>
      </c>
      <c r="G95">
        <v>-5885</v>
      </c>
      <c r="H95">
        <v>6899</v>
      </c>
      <c r="I95">
        <v>5699</v>
      </c>
      <c r="J95">
        <v>-5065</v>
      </c>
      <c r="K95">
        <v>-15535</v>
      </c>
    </row>
    <row r="96" spans="2:11" x14ac:dyDescent="0.25">
      <c r="B96">
        <v>-30567</v>
      </c>
      <c r="C96">
        <v>-2345</v>
      </c>
      <c r="D96">
        <v>-6523</v>
      </c>
      <c r="E96">
        <v>5099</v>
      </c>
      <c r="F96">
        <v>0</v>
      </c>
      <c r="G96">
        <v>-1539</v>
      </c>
      <c r="H96">
        <v>2226</v>
      </c>
      <c r="I96">
        <v>-2328</v>
      </c>
      <c r="J96">
        <v>-696</v>
      </c>
      <c r="K96">
        <v>-1564</v>
      </c>
    </row>
    <row r="97" spans="2:11" x14ac:dyDescent="0.25">
      <c r="B97">
        <v>2712</v>
      </c>
      <c r="C97">
        <v>-372</v>
      </c>
      <c r="D97">
        <v>364</v>
      </c>
      <c r="E97">
        <v>-2355</v>
      </c>
      <c r="F97">
        <v>5245</v>
      </c>
      <c r="G97">
        <v>1683</v>
      </c>
      <c r="H97">
        <v>-620</v>
      </c>
      <c r="I97">
        <v>-3385</v>
      </c>
      <c r="J97">
        <v>5823</v>
      </c>
      <c r="K97">
        <v>3129</v>
      </c>
    </row>
    <row r="98" spans="2:11" x14ac:dyDescent="0.25">
      <c r="B98">
        <v>3899</v>
      </c>
      <c r="C98">
        <v>1475</v>
      </c>
      <c r="D98">
        <v>2726</v>
      </c>
      <c r="E98">
        <v>3208</v>
      </c>
      <c r="F98">
        <v>-373</v>
      </c>
      <c r="G98">
        <v>1898</v>
      </c>
      <c r="H98">
        <v>417</v>
      </c>
      <c r="I98">
        <v>-4063</v>
      </c>
      <c r="J98">
        <v>28580</v>
      </c>
      <c r="K98">
        <v>59216</v>
      </c>
    </row>
    <row r="99" spans="2:11" x14ac:dyDescent="0.25">
      <c r="B99">
        <v>-88</v>
      </c>
      <c r="C99">
        <v>0</v>
      </c>
      <c r="D99">
        <v>-12783</v>
      </c>
      <c r="E99">
        <v>3718</v>
      </c>
      <c r="F99">
        <v>10956</v>
      </c>
      <c r="G99">
        <v>27522</v>
      </c>
      <c r="H99">
        <v>44934</v>
      </c>
      <c r="I99">
        <v>-18861</v>
      </c>
      <c r="J99">
        <v>-12469</v>
      </c>
      <c r="K99">
        <v>-14074</v>
      </c>
    </row>
    <row r="100" spans="2:11" x14ac:dyDescent="0.25">
      <c r="B100">
        <v>10076</v>
      </c>
      <c r="C100">
        <v>-47154</v>
      </c>
      <c r="D100">
        <v>38716</v>
      </c>
      <c r="E100">
        <v>-11959</v>
      </c>
      <c r="F100">
        <v>42160</v>
      </c>
      <c r="G100">
        <v>-51478</v>
      </c>
      <c r="H100">
        <v>-14012</v>
      </c>
      <c r="I100">
        <v>-24963</v>
      </c>
      <c r="J100">
        <v>3512</v>
      </c>
      <c r="K100">
        <v>-13703</v>
      </c>
    </row>
    <row r="101" spans="2:11" x14ac:dyDescent="0.25">
      <c r="B101">
        <v>-10764</v>
      </c>
      <c r="C101">
        <v>6534</v>
      </c>
      <c r="D101">
        <v>25820</v>
      </c>
      <c r="E101">
        <v>51239</v>
      </c>
      <c r="F101">
        <v>7849</v>
      </c>
      <c r="G101">
        <v>-6350</v>
      </c>
      <c r="H101">
        <v>16601</v>
      </c>
      <c r="I101">
        <v>29082</v>
      </c>
      <c r="J101">
        <v>5083</v>
      </c>
      <c r="K101">
        <v>0</v>
      </c>
    </row>
    <row r="102" spans="2:11" x14ac:dyDescent="0.25">
      <c r="B102">
        <v>-8743</v>
      </c>
      <c r="C102">
        <v>4606</v>
      </c>
      <c r="D102">
        <v>4883</v>
      </c>
      <c r="E102">
        <v>18676</v>
      </c>
      <c r="F102">
        <v>29063</v>
      </c>
      <c r="G102">
        <v>-15506</v>
      </c>
      <c r="H102">
        <v>-9500</v>
      </c>
      <c r="I102">
        <v>-8719</v>
      </c>
      <c r="J102">
        <v>4278</v>
      </c>
      <c r="K102">
        <v>-17233</v>
      </c>
    </row>
    <row r="103" spans="2:11" x14ac:dyDescent="0.25">
      <c r="B103">
        <v>24538</v>
      </c>
      <c r="C103">
        <v>-9742</v>
      </c>
      <c r="D103">
        <v>23067</v>
      </c>
      <c r="E103">
        <v>-26817</v>
      </c>
      <c r="F103">
        <v>-6304</v>
      </c>
      <c r="G103">
        <v>-11651</v>
      </c>
      <c r="H103">
        <v>4304</v>
      </c>
      <c r="I103">
        <v>-4832</v>
      </c>
      <c r="J103">
        <v>-3007</v>
      </c>
      <c r="K103">
        <v>3518</v>
      </c>
    </row>
    <row r="104" spans="2:11" x14ac:dyDescent="0.25">
      <c r="B104">
        <v>15916</v>
      </c>
      <c r="C104">
        <v>28378</v>
      </c>
      <c r="D104">
        <v>-26587</v>
      </c>
      <c r="E104">
        <v>79464</v>
      </c>
      <c r="F104">
        <v>26811</v>
      </c>
      <c r="G104">
        <v>10356</v>
      </c>
      <c r="H104">
        <v>24779</v>
      </c>
      <c r="I104">
        <v>2992</v>
      </c>
      <c r="J104">
        <v>0</v>
      </c>
      <c r="K104">
        <v>-3822</v>
      </c>
    </row>
    <row r="105" spans="2:11" x14ac:dyDescent="0.25">
      <c r="B105">
        <v>2349</v>
      </c>
      <c r="C105">
        <v>4045</v>
      </c>
      <c r="D105">
        <v>9122</v>
      </c>
      <c r="E105">
        <v>13864</v>
      </c>
      <c r="F105">
        <v>-8857</v>
      </c>
      <c r="G105">
        <v>-4152</v>
      </c>
      <c r="H105">
        <v>-4628</v>
      </c>
      <c r="I105">
        <v>3791</v>
      </c>
      <c r="J105">
        <v>-10223</v>
      </c>
      <c r="K105">
        <v>10742</v>
      </c>
    </row>
    <row r="106" spans="2:11" x14ac:dyDescent="0.25">
      <c r="B106">
        <v>-3974</v>
      </c>
      <c r="C106">
        <v>12769</v>
      </c>
      <c r="D106">
        <v>-15864</v>
      </c>
      <c r="E106">
        <v>-2275</v>
      </c>
      <c r="F106">
        <v>-20083</v>
      </c>
      <c r="G106">
        <v>12032</v>
      </c>
      <c r="H106">
        <v>-4584</v>
      </c>
      <c r="I106">
        <v>-5767</v>
      </c>
      <c r="J106">
        <v>3475</v>
      </c>
      <c r="K106">
        <v>4599</v>
      </c>
    </row>
    <row r="107" spans="2:11" x14ac:dyDescent="0.25">
      <c r="B107">
        <v>15212</v>
      </c>
      <c r="C107">
        <v>-12793</v>
      </c>
      <c r="D107">
        <v>-1822</v>
      </c>
      <c r="E107">
        <v>16574</v>
      </c>
      <c r="F107">
        <v>8327</v>
      </c>
      <c r="G107">
        <v>16365</v>
      </c>
      <c r="H107">
        <v>27159</v>
      </c>
      <c r="I107">
        <v>6637</v>
      </c>
      <c r="J107">
        <v>0</v>
      </c>
      <c r="K107">
        <v>-6354</v>
      </c>
    </row>
    <row r="108" spans="2:11" x14ac:dyDescent="0.25">
      <c r="B108">
        <v>3484</v>
      </c>
      <c r="C108">
        <v>16510</v>
      </c>
      <c r="D108">
        <v>16391</v>
      </c>
      <c r="E108">
        <v>23485</v>
      </c>
      <c r="F108">
        <v>-12099</v>
      </c>
      <c r="G108">
        <v>-6246</v>
      </c>
      <c r="H108">
        <v>-7454</v>
      </c>
      <c r="I108">
        <v>16114</v>
      </c>
      <c r="J108">
        <v>-19205</v>
      </c>
      <c r="K108">
        <v>18314</v>
      </c>
    </row>
    <row r="109" spans="2:11" x14ac:dyDescent="0.25">
      <c r="B109">
        <v>-5864</v>
      </c>
      <c r="C109">
        <v>30215</v>
      </c>
      <c r="D109">
        <v>-27834</v>
      </c>
      <c r="E109">
        <v>-5672</v>
      </c>
      <c r="F109">
        <v>-38131</v>
      </c>
      <c r="G109">
        <v>1359</v>
      </c>
      <c r="H109">
        <v>-3355</v>
      </c>
      <c r="I109">
        <v>-5602</v>
      </c>
      <c r="J109">
        <v>7470</v>
      </c>
      <c r="K109">
        <v>14114</v>
      </c>
    </row>
    <row r="110" spans="2:11" x14ac:dyDescent="0.25">
      <c r="B110">
        <v>25266</v>
      </c>
      <c r="C110">
        <v>-22916</v>
      </c>
      <c r="D110">
        <v>-4930</v>
      </c>
      <c r="E110">
        <v>27475</v>
      </c>
      <c r="F110">
        <v>12770</v>
      </c>
      <c r="G110">
        <v>20440</v>
      </c>
      <c r="H110">
        <v>9312</v>
      </c>
      <c r="I110">
        <v>24622</v>
      </c>
      <c r="J110">
        <v>-1402</v>
      </c>
      <c r="K110">
        <v>0</v>
      </c>
    </row>
    <row r="111" spans="2:11" x14ac:dyDescent="0.25">
      <c r="B111">
        <v>-5818</v>
      </c>
      <c r="C111">
        <v>307</v>
      </c>
      <c r="D111">
        <v>8626</v>
      </c>
      <c r="E111">
        <v>14531</v>
      </c>
      <c r="F111">
        <v>23004</v>
      </c>
      <c r="G111">
        <v>-9815</v>
      </c>
      <c r="H111">
        <v>-6952</v>
      </c>
      <c r="I111">
        <v>-6964</v>
      </c>
      <c r="J111">
        <v>8172</v>
      </c>
      <c r="K111">
        <v>-25293</v>
      </c>
    </row>
    <row r="112" spans="2:11" x14ac:dyDescent="0.25">
      <c r="B112">
        <v>16136</v>
      </c>
      <c r="C112">
        <v>-6931</v>
      </c>
      <c r="D112">
        <v>22552</v>
      </c>
      <c r="E112">
        <v>-25964</v>
      </c>
      <c r="F112">
        <v>-7132</v>
      </c>
      <c r="G112">
        <v>-48666</v>
      </c>
      <c r="H112">
        <v>6236</v>
      </c>
      <c r="I112">
        <v>-9993</v>
      </c>
      <c r="J112">
        <v>-4582</v>
      </c>
      <c r="K112">
        <v>3949</v>
      </c>
    </row>
    <row r="113" spans="2:11" x14ac:dyDescent="0.25">
      <c r="B113">
        <v>14149</v>
      </c>
      <c r="C113">
        <v>30695</v>
      </c>
      <c r="D113">
        <v>-16528</v>
      </c>
      <c r="E113">
        <v>1903</v>
      </c>
      <c r="F113">
        <v>29226</v>
      </c>
      <c r="G113">
        <v>17398</v>
      </c>
      <c r="H113">
        <v>-18934</v>
      </c>
      <c r="I113">
        <v>14493</v>
      </c>
      <c r="J113">
        <v>24126</v>
      </c>
      <c r="K113">
        <v>23477</v>
      </c>
    </row>
    <row r="114" spans="2:11" x14ac:dyDescent="0.25">
      <c r="B114">
        <v>3056</v>
      </c>
      <c r="C114">
        <v>0</v>
      </c>
      <c r="D114">
        <v>-6509</v>
      </c>
      <c r="E114">
        <v>4476</v>
      </c>
      <c r="F114">
        <v>13318</v>
      </c>
      <c r="G114">
        <v>14616</v>
      </c>
      <c r="H114">
        <v>23469</v>
      </c>
      <c r="I114">
        <v>-10985</v>
      </c>
      <c r="J114">
        <v>-7179</v>
      </c>
      <c r="K114">
        <v>-7162</v>
      </c>
    </row>
    <row r="115" spans="2:11" x14ac:dyDescent="0.25">
      <c r="B115">
        <v>12935</v>
      </c>
      <c r="C115">
        <v>-25570</v>
      </c>
      <c r="D115">
        <v>16558</v>
      </c>
      <c r="E115">
        <v>-7155</v>
      </c>
      <c r="F115">
        <v>26645</v>
      </c>
      <c r="G115">
        <v>-26570</v>
      </c>
      <c r="H115">
        <v>-3619</v>
      </c>
      <c r="I115">
        <v>-82441</v>
      </c>
      <c r="J115">
        <v>2663</v>
      </c>
      <c r="K115">
        <v>-7651</v>
      </c>
    </row>
    <row r="116" spans="2:11" x14ac:dyDescent="0.25">
      <c r="B116">
        <v>-7757</v>
      </c>
      <c r="C116">
        <v>1436</v>
      </c>
      <c r="D116">
        <v>15469</v>
      </c>
      <c r="E116">
        <v>19672</v>
      </c>
      <c r="F116">
        <v>-19924</v>
      </c>
      <c r="G116">
        <v>-463</v>
      </c>
      <c r="H116">
        <v>27228</v>
      </c>
      <c r="I116">
        <v>15668</v>
      </c>
      <c r="J116">
        <v>-380</v>
      </c>
      <c r="K116">
        <v>13002</v>
      </c>
    </row>
    <row r="117" spans="2:11" x14ac:dyDescent="0.25">
      <c r="B117">
        <v>52630</v>
      </c>
      <c r="C117">
        <v>20642</v>
      </c>
      <c r="D117">
        <v>35703</v>
      </c>
      <c r="E117">
        <v>74418</v>
      </c>
      <c r="F117">
        <v>0</v>
      </c>
      <c r="G117">
        <v>-8670</v>
      </c>
      <c r="H117">
        <v>49262</v>
      </c>
      <c r="I117">
        <v>87084</v>
      </c>
      <c r="J117">
        <v>21089</v>
      </c>
      <c r="K117">
        <v>30254</v>
      </c>
    </row>
    <row r="118" spans="2:11" x14ac:dyDescent="0.25">
      <c r="B118">
        <v>-13041</v>
      </c>
      <c r="C118">
        <v>-8299</v>
      </c>
      <c r="D118">
        <v>-9460</v>
      </c>
      <c r="E118">
        <v>87146</v>
      </c>
      <c r="F118">
        <v>-27737</v>
      </c>
      <c r="G118">
        <v>21764</v>
      </c>
      <c r="H118">
        <v>-7925</v>
      </c>
      <c r="I118">
        <v>93978</v>
      </c>
      <c r="J118">
        <v>-36534</v>
      </c>
      <c r="K118">
        <v>-6847</v>
      </c>
    </row>
    <row r="119" spans="2:11" x14ac:dyDescent="0.25">
      <c r="B119">
        <v>11983</v>
      </c>
      <c r="C119">
        <v>365</v>
      </c>
      <c r="D119">
        <v>-8635</v>
      </c>
      <c r="E119">
        <v>-22545</v>
      </c>
      <c r="F119">
        <v>7876</v>
      </c>
      <c r="G119">
        <v>18448</v>
      </c>
      <c r="H119">
        <v>31809</v>
      </c>
      <c r="I119">
        <v>-27045</v>
      </c>
      <c r="J119">
        <v>1543</v>
      </c>
      <c r="K119">
        <v>36391</v>
      </c>
    </row>
    <row r="120" spans="2:11" x14ac:dyDescent="0.25">
      <c r="B120">
        <v>22787</v>
      </c>
      <c r="C120">
        <v>13082</v>
      </c>
      <c r="D120">
        <v>26900</v>
      </c>
      <c r="E120">
        <v>17930</v>
      </c>
      <c r="F120">
        <v>21904</v>
      </c>
      <c r="G120">
        <v>-43616</v>
      </c>
      <c r="H120">
        <v>-79407</v>
      </c>
      <c r="I120">
        <v>-1956</v>
      </c>
      <c r="J120">
        <v>0</v>
      </c>
      <c r="K120">
        <v>16653</v>
      </c>
    </row>
    <row r="121" spans="2:11" x14ac:dyDescent="0.25">
      <c r="B121">
        <v>-6275</v>
      </c>
      <c r="C121">
        <v>-20064</v>
      </c>
      <c r="D121">
        <v>-40860</v>
      </c>
      <c r="E121">
        <v>-62494</v>
      </c>
      <c r="F121">
        <v>31427</v>
      </c>
      <c r="G121">
        <v>18337</v>
      </c>
      <c r="H121">
        <v>19401</v>
      </c>
      <c r="I121">
        <v>-18894</v>
      </c>
      <c r="J121">
        <v>53233</v>
      </c>
      <c r="K121">
        <v>-46816</v>
      </c>
    </row>
    <row r="122" spans="2:11" x14ac:dyDescent="0.25">
      <c r="B122">
        <v>17929</v>
      </c>
      <c r="C122">
        <v>-58880</v>
      </c>
      <c r="D122">
        <v>69411</v>
      </c>
      <c r="E122">
        <v>17623</v>
      </c>
      <c r="F122">
        <v>34195</v>
      </c>
      <c r="G122">
        <v>-7007</v>
      </c>
      <c r="H122">
        <v>16434</v>
      </c>
      <c r="I122">
        <v>12962</v>
      </c>
      <c r="J122">
        <v>-9052</v>
      </c>
      <c r="K122">
        <v>-32427</v>
      </c>
    </row>
    <row r="123" spans="2:11" x14ac:dyDescent="0.25">
      <c r="B123">
        <v>-64561</v>
      </c>
      <c r="C123">
        <v>52632</v>
      </c>
      <c r="D123">
        <v>2331</v>
      </c>
      <c r="E123">
        <v>-75116</v>
      </c>
      <c r="F123">
        <v>-41518</v>
      </c>
      <c r="G123">
        <v>-22819</v>
      </c>
      <c r="H123">
        <v>-39028</v>
      </c>
      <c r="I123">
        <v>-36083</v>
      </c>
      <c r="J123">
        <v>-36748</v>
      </c>
      <c r="K123">
        <v>-49425</v>
      </c>
    </row>
  </sheetData>
  <pageMargins bottom="0.75" footer="0.3" header="0.3" left="0.7" right="0.7" top="0.75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152"/>
  <sheetViews>
    <sheetView workbookViewId="0">
      <selection activeCell="A8" sqref="A8:K152"/>
    </sheetView>
  </sheetViews>
  <sheetFormatPr defaultRowHeight="15" x14ac:dyDescent="0.25"/>
  <sheetData>
    <row r="1" spans="1:11" x14ac:dyDescent="0.25">
      <c r="A1" s="48" t="s">
        <v>201</v>
      </c>
      <c r="B1" s="45"/>
      <c r="C1" s="45"/>
      <c r="D1" s="45"/>
      <c r="E1" s="45"/>
      <c r="F1" s="45"/>
      <c r="G1" s="45"/>
      <c r="H1" s="45" t="s">
        <v>202</v>
      </c>
      <c r="I1" s="45"/>
      <c r="J1" s="45"/>
      <c r="K1" s="45"/>
    </row>
    <row r="2" spans="1:11" x14ac:dyDescent="0.25">
      <c r="A2" s="45">
        <v>1</v>
      </c>
      <c r="B2" s="45" t="s">
        <v>294</v>
      </c>
      <c r="C2" s="45"/>
      <c r="D2" s="45"/>
      <c r="E2" s="45"/>
      <c r="F2" s="45"/>
      <c r="G2" s="45"/>
      <c r="H2" s="45"/>
      <c r="I2" s="45"/>
      <c r="J2" s="45"/>
      <c r="K2" s="45"/>
    </row>
    <row r="3" spans="1:11" x14ac:dyDescent="0.25">
      <c r="A3" s="45">
        <v>2</v>
      </c>
      <c r="B3" s="45" t="s">
        <v>203</v>
      </c>
      <c r="C3" s="45"/>
      <c r="D3" s="45"/>
      <c r="E3" s="45"/>
      <c r="F3" s="45"/>
      <c r="G3" s="45"/>
      <c r="H3" s="45"/>
      <c r="I3" s="45"/>
      <c r="J3" s="45"/>
      <c r="K3" s="45"/>
    </row>
    <row r="4" spans="1:11" x14ac:dyDescent="0.25">
      <c r="A4" s="45">
        <v>3</v>
      </c>
      <c r="B4" s="45" t="s">
        <v>204</v>
      </c>
      <c r="C4" s="45"/>
      <c r="D4" s="45"/>
      <c r="E4" s="45"/>
      <c r="F4" s="45"/>
      <c r="G4" s="45"/>
      <c r="H4" s="45"/>
      <c r="I4" s="45"/>
      <c r="J4" s="45"/>
      <c r="K4" s="45"/>
    </row>
    <row r="5" spans="1:11" x14ac:dyDescent="0.25">
      <c r="A5" s="45">
        <v>4</v>
      </c>
      <c r="B5" s="45" t="s">
        <v>205</v>
      </c>
      <c r="C5" s="45"/>
      <c r="D5" s="45"/>
      <c r="E5" s="45"/>
      <c r="F5" s="45"/>
      <c r="G5" s="45"/>
      <c r="H5" s="45"/>
      <c r="I5" s="45"/>
      <c r="J5" s="45"/>
      <c r="K5" s="45"/>
    </row>
    <row r="6" spans="1:11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</row>
    <row r="7" spans="1:11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</row>
    <row r="8" spans="1:11" x14ac:dyDescent="0.25">
      <c r="A8" t="s">
        <v>217</v>
      </c>
      <c r="B8" t="s">
        <v>207</v>
      </c>
      <c r="C8" t="s">
        <v>208</v>
      </c>
      <c r="D8" t="s">
        <v>209</v>
      </c>
    </row>
    <row r="9" spans="1:11" x14ac:dyDescent="0.25">
      <c r="A9" t="s">
        <v>210</v>
      </c>
      <c r="B9" t="s">
        <v>211</v>
      </c>
      <c r="C9" t="s">
        <v>212</v>
      </c>
      <c r="D9" t="s">
        <v>213</v>
      </c>
      <c r="E9">
        <v>4</v>
      </c>
      <c r="F9" s="43">
        <v>0.59541666666666659</v>
      </c>
      <c r="G9" t="s">
        <v>214</v>
      </c>
      <c r="H9">
        <v>2</v>
      </c>
      <c r="I9" t="s">
        <v>215</v>
      </c>
      <c r="J9">
        <v>12</v>
      </c>
    </row>
    <row r="10" spans="1:11" x14ac:dyDescent="0.25">
      <c r="A10" t="s">
        <v>216</v>
      </c>
    </row>
    <row r="11" spans="1:11" x14ac:dyDescent="0.25">
      <c r="B11">
        <v>1</v>
      </c>
      <c r="C11" t="s">
        <v>53</v>
      </c>
      <c r="D11" t="s">
        <v>54</v>
      </c>
      <c r="E11" s="35">
        <v>8.2713999999999996E-2</v>
      </c>
    </row>
    <row r="12" spans="1:11" x14ac:dyDescent="0.25">
      <c r="B12">
        <v>2</v>
      </c>
      <c r="C12" t="s">
        <v>55</v>
      </c>
      <c r="D12" t="s">
        <v>54</v>
      </c>
      <c r="E12">
        <v>1.022035</v>
      </c>
      <c r="F12" s="35"/>
    </row>
    <row r="13" spans="1:11" x14ac:dyDescent="0.25">
      <c r="B13">
        <v>10</v>
      </c>
      <c r="C13" t="s">
        <v>56</v>
      </c>
      <c r="D13" t="s">
        <v>54</v>
      </c>
      <c r="E13">
        <v>0.28251668607199998</v>
      </c>
    </row>
    <row r="14" spans="1:11" x14ac:dyDescent="0.25">
      <c r="B14">
        <v>11</v>
      </c>
      <c r="C14" t="s">
        <v>315</v>
      </c>
      <c r="D14" t="s">
        <v>54</v>
      </c>
      <c r="E14">
        <v>-0.10158980018200001</v>
      </c>
    </row>
    <row r="15" spans="1:11" x14ac:dyDescent="0.25">
      <c r="B15">
        <v>13</v>
      </c>
      <c r="C15" t="s">
        <v>316</v>
      </c>
      <c r="D15" t="s">
        <v>54</v>
      </c>
      <c r="E15">
        <v>0.136483612798</v>
      </c>
    </row>
    <row r="16" spans="1:11" x14ac:dyDescent="0.25">
      <c r="B16">
        <v>17</v>
      </c>
      <c r="C16" t="s">
        <v>57</v>
      </c>
      <c r="D16" t="s">
        <v>54</v>
      </c>
      <c r="E16">
        <v>-0.37388399999999999</v>
      </c>
    </row>
    <row r="17" spans="2:5" x14ac:dyDescent="0.25">
      <c r="B17">
        <v>18</v>
      </c>
      <c r="C17" t="s">
        <v>58</v>
      </c>
      <c r="D17" t="s">
        <v>54</v>
      </c>
      <c r="E17" s="35">
        <v>-2.1552190000000002</v>
      </c>
    </row>
    <row r="18" spans="2:5" x14ac:dyDescent="0.25">
      <c r="B18">
        <v>20</v>
      </c>
      <c r="C18" t="s">
        <v>59</v>
      </c>
      <c r="D18" t="s">
        <v>54</v>
      </c>
      <c r="E18" s="35">
        <v>-3.098654636474</v>
      </c>
    </row>
    <row r="19" spans="2:5" x14ac:dyDescent="0.25">
      <c r="B19">
        <v>21</v>
      </c>
      <c r="C19" t="s">
        <v>60</v>
      </c>
      <c r="D19" t="s">
        <v>54</v>
      </c>
      <c r="E19">
        <v>2.3573768940169999</v>
      </c>
    </row>
    <row r="20" spans="2:5" x14ac:dyDescent="0.25">
      <c r="B20">
        <v>22</v>
      </c>
      <c r="C20" t="s">
        <v>61</v>
      </c>
      <c r="D20" t="s">
        <v>54</v>
      </c>
      <c r="E20">
        <v>-0.53922482139799999</v>
      </c>
    </row>
    <row r="21" spans="2:5" x14ac:dyDescent="0.25">
      <c r="B21">
        <v>27</v>
      </c>
      <c r="C21" t="s">
        <v>62</v>
      </c>
      <c r="D21" t="s">
        <v>63</v>
      </c>
      <c r="E21">
        <v>-5</v>
      </c>
    </row>
    <row r="22" spans="2:5" x14ac:dyDescent="0.25">
      <c r="B22">
        <v>28</v>
      </c>
      <c r="C22" t="s">
        <v>64</v>
      </c>
      <c r="D22" t="s">
        <v>54</v>
      </c>
      <c r="E22">
        <v>-0.81893000000000005</v>
      </c>
    </row>
    <row r="23" spans="2:5" x14ac:dyDescent="0.25">
      <c r="B23">
        <v>29</v>
      </c>
      <c r="C23" t="s">
        <v>65</v>
      </c>
      <c r="D23" t="s">
        <v>54</v>
      </c>
      <c r="E23">
        <v>1.4418610000000001</v>
      </c>
    </row>
    <row r="24" spans="2:5" x14ac:dyDescent="0.25">
      <c r="B24">
        <v>30</v>
      </c>
      <c r="C24" t="s">
        <v>66</v>
      </c>
      <c r="D24" t="s">
        <v>54</v>
      </c>
      <c r="E24">
        <v>0.183437489649</v>
      </c>
    </row>
    <row r="25" spans="2:5" x14ac:dyDescent="0.25">
      <c r="B25">
        <v>35</v>
      </c>
      <c r="C25" t="s">
        <v>248</v>
      </c>
      <c r="D25" t="s">
        <v>54</v>
      </c>
      <c r="E25">
        <v>-0.29743268940200002</v>
      </c>
    </row>
    <row r="26" spans="2:5" x14ac:dyDescent="0.25">
      <c r="B26">
        <v>36</v>
      </c>
      <c r="C26" t="s">
        <v>247</v>
      </c>
      <c r="D26" t="s">
        <v>54</v>
      </c>
      <c r="E26">
        <v>-9.8383379108000005E-2</v>
      </c>
    </row>
    <row r="27" spans="2:5" x14ac:dyDescent="0.25">
      <c r="B27">
        <v>37</v>
      </c>
      <c r="C27" t="s">
        <v>67</v>
      </c>
      <c r="D27" t="s">
        <v>54</v>
      </c>
      <c r="E27">
        <v>-1.170617</v>
      </c>
    </row>
    <row r="28" spans="2:5" x14ac:dyDescent="0.25">
      <c r="B28">
        <v>38</v>
      </c>
      <c r="C28" t="s">
        <v>68</v>
      </c>
      <c r="D28" t="s">
        <v>54</v>
      </c>
      <c r="E28">
        <v>-0.500054</v>
      </c>
    </row>
    <row r="29" spans="2:5" x14ac:dyDescent="0.25">
      <c r="B29">
        <v>40</v>
      </c>
      <c r="C29" t="s">
        <v>69</v>
      </c>
      <c r="D29" t="s">
        <v>54</v>
      </c>
      <c r="E29">
        <v>-0.71956066974800004</v>
      </c>
    </row>
    <row r="30" spans="2:5" x14ac:dyDescent="0.25">
      <c r="B30">
        <v>41</v>
      </c>
      <c r="C30" t="s">
        <v>70</v>
      </c>
      <c r="D30" t="s">
        <v>54</v>
      </c>
      <c r="E30">
        <v>-2.212856305921</v>
      </c>
    </row>
    <row r="31" spans="2:5" x14ac:dyDescent="0.25">
      <c r="B31">
        <v>42</v>
      </c>
      <c r="C31" t="s">
        <v>317</v>
      </c>
      <c r="D31" t="s">
        <v>54</v>
      </c>
      <c r="E31">
        <v>-0.12690086735600001</v>
      </c>
    </row>
    <row r="32" spans="2:5" x14ac:dyDescent="0.25">
      <c r="B32">
        <v>44</v>
      </c>
      <c r="C32" t="s">
        <v>71</v>
      </c>
      <c r="D32" t="s">
        <v>54</v>
      </c>
      <c r="E32">
        <v>-0.26427099999999998</v>
      </c>
    </row>
    <row r="33" spans="2:6" x14ac:dyDescent="0.25">
      <c r="B33">
        <v>45</v>
      </c>
      <c r="C33" t="s">
        <v>72</v>
      </c>
      <c r="D33" t="s">
        <v>54</v>
      </c>
      <c r="E33">
        <v>-0.26346999999999998</v>
      </c>
    </row>
    <row r="34" spans="2:6" x14ac:dyDescent="0.25">
      <c r="B34">
        <v>47</v>
      </c>
      <c r="C34" t="s">
        <v>73</v>
      </c>
      <c r="D34" t="s">
        <v>54</v>
      </c>
      <c r="E34">
        <v>1.3756219999999999</v>
      </c>
    </row>
    <row r="35" spans="2:6" x14ac:dyDescent="0.25">
      <c r="B35">
        <v>50</v>
      </c>
      <c r="C35" t="s">
        <v>74</v>
      </c>
      <c r="D35" t="s">
        <v>54</v>
      </c>
      <c r="E35">
        <v>2.0242015533569999</v>
      </c>
    </row>
    <row r="36" spans="2:6" x14ac:dyDescent="0.25">
      <c r="B36">
        <v>52</v>
      </c>
      <c r="C36" t="s">
        <v>75</v>
      </c>
      <c r="D36" t="s">
        <v>54</v>
      </c>
      <c r="E36">
        <v>-1.3029204471110001</v>
      </c>
    </row>
    <row r="37" spans="2:6" x14ac:dyDescent="0.25">
      <c r="B37">
        <v>54</v>
      </c>
      <c r="C37" t="s">
        <v>76</v>
      </c>
      <c r="D37" t="s">
        <v>54</v>
      </c>
      <c r="E37">
        <v>-0.78347800000000001</v>
      </c>
    </row>
    <row r="38" spans="2:6" x14ac:dyDescent="0.25">
      <c r="B38">
        <v>56</v>
      </c>
      <c r="C38" t="s">
        <v>77</v>
      </c>
      <c r="D38" t="s">
        <v>54</v>
      </c>
      <c r="E38" s="35">
        <v>0.308033</v>
      </c>
    </row>
    <row r="39" spans="2:6" x14ac:dyDescent="0.25">
      <c r="B39">
        <v>59</v>
      </c>
      <c r="C39" t="s">
        <v>78</v>
      </c>
      <c r="D39" t="s">
        <v>54</v>
      </c>
      <c r="E39">
        <v>-1.5646739999999999</v>
      </c>
    </row>
    <row r="40" spans="2:6" x14ac:dyDescent="0.25">
      <c r="B40">
        <v>60</v>
      </c>
      <c r="C40" t="s">
        <v>79</v>
      </c>
      <c r="D40" t="s">
        <v>54</v>
      </c>
      <c r="E40">
        <v>-4.8840106139459998</v>
      </c>
    </row>
    <row r="41" spans="2:6" x14ac:dyDescent="0.25">
      <c r="B41">
        <v>61</v>
      </c>
      <c r="C41" t="s">
        <v>80</v>
      </c>
      <c r="D41" t="s">
        <v>54</v>
      </c>
      <c r="E41">
        <v>0.16084100000000001</v>
      </c>
    </row>
    <row r="42" spans="2:6" x14ac:dyDescent="0.25">
      <c r="B42">
        <v>67</v>
      </c>
      <c r="C42" t="s">
        <v>249</v>
      </c>
      <c r="D42" t="s">
        <v>54</v>
      </c>
      <c r="E42" s="35">
        <v>-0.38974001294799998</v>
      </c>
      <c r="F42" s="35"/>
    </row>
    <row r="43" spans="2:6" x14ac:dyDescent="0.25">
      <c r="B43">
        <v>68</v>
      </c>
      <c r="C43" t="s">
        <v>250</v>
      </c>
      <c r="D43" t="s">
        <v>54</v>
      </c>
      <c r="E43">
        <v>1.1077283945259999</v>
      </c>
    </row>
    <row r="44" spans="2:6" x14ac:dyDescent="0.25">
      <c r="B44">
        <v>69</v>
      </c>
      <c r="C44" t="s">
        <v>81</v>
      </c>
      <c r="D44" t="s">
        <v>54</v>
      </c>
      <c r="E44">
        <v>0.51493599999999995</v>
      </c>
      <c r="F44" s="35"/>
    </row>
    <row r="45" spans="2:6" x14ac:dyDescent="0.25">
      <c r="B45">
        <v>70</v>
      </c>
      <c r="C45" t="s">
        <v>251</v>
      </c>
      <c r="D45" t="s">
        <v>54</v>
      </c>
      <c r="E45">
        <v>0.60080211137799999</v>
      </c>
    </row>
    <row r="46" spans="2:6" x14ac:dyDescent="0.25">
      <c r="B46">
        <v>77</v>
      </c>
      <c r="C46" t="s">
        <v>252</v>
      </c>
      <c r="D46" t="s">
        <v>54</v>
      </c>
      <c r="E46">
        <v>0.70665654187799998</v>
      </c>
    </row>
    <row r="47" spans="2:6" x14ac:dyDescent="0.25">
      <c r="B47">
        <v>78</v>
      </c>
      <c r="C47" t="s">
        <v>253</v>
      </c>
      <c r="D47" t="s">
        <v>54</v>
      </c>
      <c r="E47">
        <v>3.0129279167159999</v>
      </c>
    </row>
    <row r="48" spans="2:6" x14ac:dyDescent="0.25">
      <c r="B48">
        <v>79</v>
      </c>
      <c r="C48" t="s">
        <v>82</v>
      </c>
      <c r="D48" t="s">
        <v>54</v>
      </c>
      <c r="E48" s="35">
        <v>-7.3790000000000001E-3</v>
      </c>
    </row>
    <row r="49" spans="2:6" x14ac:dyDescent="0.25">
      <c r="B49">
        <v>122</v>
      </c>
      <c r="C49" t="s">
        <v>83</v>
      </c>
      <c r="D49" t="s">
        <v>54</v>
      </c>
      <c r="E49" s="35">
        <v>0.41910900000000001</v>
      </c>
      <c r="F49" s="35"/>
    </row>
    <row r="50" spans="2:6" x14ac:dyDescent="0.25">
      <c r="B50">
        <v>129</v>
      </c>
      <c r="C50" t="s">
        <v>84</v>
      </c>
      <c r="D50" t="s">
        <v>54</v>
      </c>
      <c r="E50">
        <v>2.5894919999999999</v>
      </c>
    </row>
    <row r="51" spans="2:6" x14ac:dyDescent="0.25">
      <c r="B51">
        <v>131</v>
      </c>
      <c r="C51" t="s">
        <v>85</v>
      </c>
      <c r="D51" t="s">
        <v>54</v>
      </c>
      <c r="E51">
        <v>-1.7837479999999999</v>
      </c>
    </row>
    <row r="52" spans="2:6" x14ac:dyDescent="0.25">
      <c r="B52">
        <v>132</v>
      </c>
      <c r="C52" t="s">
        <v>86</v>
      </c>
      <c r="D52" t="s">
        <v>54</v>
      </c>
      <c r="E52">
        <v>0.219607</v>
      </c>
      <c r="F52" s="35"/>
    </row>
    <row r="53" spans="2:6" x14ac:dyDescent="0.25">
      <c r="B53">
        <v>133</v>
      </c>
      <c r="C53" t="s">
        <v>87</v>
      </c>
      <c r="D53" t="s">
        <v>54</v>
      </c>
      <c r="E53">
        <v>1.288421</v>
      </c>
    </row>
    <row r="54" spans="2:6" x14ac:dyDescent="0.25">
      <c r="B54">
        <v>134</v>
      </c>
      <c r="C54" s="35" t="s">
        <v>88</v>
      </c>
      <c r="D54" s="35" t="s">
        <v>54</v>
      </c>
      <c r="E54" s="35">
        <v>0.221358</v>
      </c>
      <c r="F54" s="35"/>
    </row>
    <row r="55" spans="2:6" x14ac:dyDescent="0.25">
      <c r="B55">
        <v>161</v>
      </c>
      <c r="C55" t="s">
        <v>89</v>
      </c>
      <c r="D55" t="s">
        <v>54</v>
      </c>
      <c r="E55">
        <v>1.0776410000000001</v>
      </c>
    </row>
    <row r="56" spans="2:6" x14ac:dyDescent="0.25">
      <c r="B56">
        <v>162</v>
      </c>
      <c r="C56" t="s">
        <v>90</v>
      </c>
      <c r="D56" t="s">
        <v>54</v>
      </c>
      <c r="E56">
        <v>0.88180499999999995</v>
      </c>
    </row>
    <row r="57" spans="2:6" x14ac:dyDescent="0.25">
      <c r="B57">
        <v>163</v>
      </c>
      <c r="C57" t="s">
        <v>91</v>
      </c>
      <c r="D57" t="s">
        <v>54</v>
      </c>
      <c r="E57">
        <v>-1.1532750000000001</v>
      </c>
    </row>
    <row r="58" spans="2:6" x14ac:dyDescent="0.25">
      <c r="B58">
        <v>164</v>
      </c>
      <c r="C58" t="s">
        <v>92</v>
      </c>
      <c r="D58" t="s">
        <v>54</v>
      </c>
      <c r="E58">
        <v>0.935832</v>
      </c>
    </row>
    <row r="59" spans="2:6" x14ac:dyDescent="0.25">
      <c r="B59">
        <v>168</v>
      </c>
      <c r="C59" t="s">
        <v>93</v>
      </c>
      <c r="D59" t="s">
        <v>54</v>
      </c>
      <c r="E59" s="35">
        <v>1.7699999999999999E-4</v>
      </c>
      <c r="F59" s="35"/>
    </row>
    <row r="60" spans="2:6" x14ac:dyDescent="0.25">
      <c r="B60">
        <v>169</v>
      </c>
      <c r="C60" t="s">
        <v>94</v>
      </c>
      <c r="D60" t="s">
        <v>54</v>
      </c>
      <c r="E60">
        <v>0.21170900000000001</v>
      </c>
    </row>
    <row r="61" spans="2:6" x14ac:dyDescent="0.25">
      <c r="B61">
        <v>179</v>
      </c>
      <c r="C61" t="s">
        <v>95</v>
      </c>
      <c r="D61" t="s">
        <v>54</v>
      </c>
      <c r="E61">
        <v>0.187281</v>
      </c>
    </row>
    <row r="62" spans="2:6" x14ac:dyDescent="0.25">
      <c r="B62">
        <v>99</v>
      </c>
      <c r="C62" t="s">
        <v>96</v>
      </c>
      <c r="D62" t="s">
        <v>54</v>
      </c>
      <c r="E62">
        <v>1</v>
      </c>
    </row>
    <row r="63" spans="2:6" x14ac:dyDescent="0.25">
      <c r="B63">
        <v>-1</v>
      </c>
    </row>
    <row r="64" spans="2:6" x14ac:dyDescent="0.25">
      <c r="B64">
        <v>1568</v>
      </c>
      <c r="C64" s="35">
        <v>-2400.4189012699999</v>
      </c>
      <c r="D64" s="35">
        <v>-2733.2167146199999</v>
      </c>
      <c r="E64" s="35">
        <v>-1931.66104036</v>
      </c>
    </row>
    <row r="65" spans="2:11" x14ac:dyDescent="0.25">
      <c r="B65">
        <v>14</v>
      </c>
      <c r="C65" t="s">
        <v>262</v>
      </c>
      <c r="D65" t="s">
        <v>214</v>
      </c>
      <c r="E65">
        <v>2</v>
      </c>
      <c r="F65" t="s">
        <v>215</v>
      </c>
      <c r="G65">
        <v>12</v>
      </c>
    </row>
    <row r="66" spans="2:11" x14ac:dyDescent="0.25">
      <c r="B66">
        <v>-1296</v>
      </c>
      <c r="C66">
        <v>249</v>
      </c>
      <c r="D66">
        <v>-73359</v>
      </c>
      <c r="E66">
        <v>1012</v>
      </c>
      <c r="F66">
        <v>-10368</v>
      </c>
      <c r="G66">
        <v>7702</v>
      </c>
      <c r="H66">
        <v>-1624</v>
      </c>
      <c r="I66">
        <v>-51229</v>
      </c>
      <c r="J66">
        <v>38419</v>
      </c>
      <c r="K66">
        <v>8575</v>
      </c>
    </row>
    <row r="67" spans="2:11" x14ac:dyDescent="0.25">
      <c r="B67">
        <v>10813</v>
      </c>
      <c r="C67">
        <v>-41167</v>
      </c>
      <c r="D67">
        <v>39570</v>
      </c>
      <c r="E67">
        <v>7388</v>
      </c>
      <c r="F67">
        <v>29121</v>
      </c>
      <c r="G67">
        <v>4558</v>
      </c>
      <c r="H67">
        <v>32880</v>
      </c>
      <c r="I67">
        <v>-25653</v>
      </c>
      <c r="J67">
        <v>-5807</v>
      </c>
      <c r="K67">
        <v>-18650</v>
      </c>
    </row>
    <row r="68" spans="2:11" x14ac:dyDescent="0.25">
      <c r="B68">
        <v>-21428</v>
      </c>
      <c r="C68">
        <v>3593</v>
      </c>
      <c r="D68">
        <v>14939</v>
      </c>
      <c r="E68">
        <v>-11794</v>
      </c>
      <c r="F68">
        <v>-1864</v>
      </c>
      <c r="G68">
        <v>-9311</v>
      </c>
      <c r="H68">
        <v>-16901</v>
      </c>
      <c r="I68">
        <v>27508</v>
      </c>
      <c r="J68">
        <v>0</v>
      </c>
      <c r="K68">
        <v>0</v>
      </c>
    </row>
    <row r="69" spans="2:11" x14ac:dyDescent="0.25"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-17615</v>
      </c>
      <c r="I69">
        <v>56894</v>
      </c>
      <c r="J69">
        <v>-43980</v>
      </c>
      <c r="K69">
        <v>-8836</v>
      </c>
    </row>
    <row r="70" spans="2:11" x14ac:dyDescent="0.25">
      <c r="B70">
        <v>-31448</v>
      </c>
      <c r="C70">
        <v>-58833</v>
      </c>
      <c r="D70">
        <v>24091</v>
      </c>
      <c r="E70">
        <v>-5503</v>
      </c>
      <c r="F70">
        <v>0</v>
      </c>
      <c r="G70">
        <v>-7389</v>
      </c>
      <c r="H70">
        <v>56600</v>
      </c>
      <c r="I70">
        <v>-43622</v>
      </c>
      <c r="J70">
        <v>-8669</v>
      </c>
      <c r="K70">
        <v>-35576</v>
      </c>
    </row>
    <row r="71" spans="2:11" x14ac:dyDescent="0.25">
      <c r="B71">
        <v>-26468</v>
      </c>
      <c r="C71">
        <v>22735</v>
      </c>
      <c r="D71">
        <v>-15744</v>
      </c>
      <c r="E71">
        <v>0</v>
      </c>
      <c r="F71">
        <v>61697</v>
      </c>
      <c r="G71">
        <v>-1455</v>
      </c>
      <c r="H71">
        <v>-10759</v>
      </c>
      <c r="I71">
        <v>61723</v>
      </c>
      <c r="J71">
        <v>-145</v>
      </c>
      <c r="K71">
        <v>-3479</v>
      </c>
    </row>
    <row r="72" spans="2:11" x14ac:dyDescent="0.25">
      <c r="B72">
        <v>3579</v>
      </c>
      <c r="C72">
        <v>-558</v>
      </c>
      <c r="D72">
        <v>-766</v>
      </c>
      <c r="E72">
        <v>0</v>
      </c>
      <c r="F72">
        <v>3093</v>
      </c>
      <c r="G72">
        <v>3807</v>
      </c>
      <c r="H72">
        <v>582</v>
      </c>
      <c r="I72">
        <v>-46749</v>
      </c>
      <c r="J72">
        <v>37323</v>
      </c>
      <c r="K72">
        <v>6815</v>
      </c>
    </row>
    <row r="73" spans="2:11" x14ac:dyDescent="0.25">
      <c r="B73">
        <v>32278</v>
      </c>
      <c r="C73">
        <v>25540</v>
      </c>
      <c r="D73">
        <v>-19039</v>
      </c>
      <c r="E73">
        <v>-10344</v>
      </c>
      <c r="F73">
        <v>0</v>
      </c>
      <c r="G73">
        <v>-28602</v>
      </c>
      <c r="H73">
        <v>-31808</v>
      </c>
      <c r="I73">
        <v>-3070</v>
      </c>
      <c r="J73">
        <v>-1493</v>
      </c>
      <c r="K73">
        <v>-17844</v>
      </c>
    </row>
    <row r="74" spans="2:11" x14ac:dyDescent="0.25">
      <c r="B74">
        <v>14085</v>
      </c>
      <c r="C74">
        <v>2918</v>
      </c>
      <c r="D74">
        <v>14655</v>
      </c>
      <c r="E74">
        <v>8767</v>
      </c>
      <c r="F74">
        <v>-7594</v>
      </c>
      <c r="G74">
        <v>-7168</v>
      </c>
      <c r="H74">
        <v>0</v>
      </c>
      <c r="I74">
        <v>-6146</v>
      </c>
      <c r="J74">
        <v>-12095</v>
      </c>
      <c r="K74">
        <v>265</v>
      </c>
    </row>
    <row r="75" spans="2:11" x14ac:dyDescent="0.25">
      <c r="B75">
        <v>14350</v>
      </c>
      <c r="C75">
        <v>588</v>
      </c>
      <c r="D75">
        <v>-14588</v>
      </c>
      <c r="E75">
        <v>64263</v>
      </c>
      <c r="F75">
        <v>486</v>
      </c>
      <c r="G75">
        <v>-635</v>
      </c>
      <c r="H75">
        <v>6105</v>
      </c>
      <c r="I75">
        <v>-2150</v>
      </c>
      <c r="J75">
        <v>-1533</v>
      </c>
      <c r="K75">
        <v>0</v>
      </c>
    </row>
    <row r="76" spans="2:11" x14ac:dyDescent="0.25">
      <c r="B76">
        <v>70</v>
      </c>
      <c r="C76">
        <v>792</v>
      </c>
      <c r="D76">
        <v>95505</v>
      </c>
      <c r="E76">
        <v>3128</v>
      </c>
      <c r="F76">
        <v>-312</v>
      </c>
      <c r="G76">
        <v>4293</v>
      </c>
      <c r="H76">
        <v>-48178</v>
      </c>
      <c r="I76">
        <v>37686</v>
      </c>
      <c r="J76">
        <v>3417</v>
      </c>
      <c r="K76">
        <v>31802</v>
      </c>
    </row>
    <row r="77" spans="2:11" x14ac:dyDescent="0.25">
      <c r="B77">
        <v>27591</v>
      </c>
      <c r="C77">
        <v>1066</v>
      </c>
      <c r="D77">
        <v>-8398</v>
      </c>
      <c r="E77">
        <v>0</v>
      </c>
      <c r="F77">
        <v>-32059</v>
      </c>
      <c r="G77">
        <v>-34025</v>
      </c>
      <c r="H77">
        <v>-3853</v>
      </c>
      <c r="I77">
        <v>27426</v>
      </c>
      <c r="J77">
        <v>10443</v>
      </c>
      <c r="K77">
        <v>-1285</v>
      </c>
    </row>
    <row r="78" spans="2:11" x14ac:dyDescent="0.25">
      <c r="B78">
        <v>2294</v>
      </c>
      <c r="C78">
        <v>-33252</v>
      </c>
      <c r="D78">
        <v>27333</v>
      </c>
      <c r="E78">
        <v>4972</v>
      </c>
      <c r="F78">
        <v>26340</v>
      </c>
      <c r="G78">
        <v>20342</v>
      </c>
      <c r="H78">
        <v>-14858</v>
      </c>
      <c r="I78">
        <v>-5134</v>
      </c>
      <c r="J78">
        <v>0</v>
      </c>
      <c r="K78">
        <v>-20081</v>
      </c>
    </row>
    <row r="79" spans="2:11" x14ac:dyDescent="0.25">
      <c r="B79">
        <v>-23237</v>
      </c>
      <c r="C79">
        <v>-13358</v>
      </c>
      <c r="D79">
        <v>13703</v>
      </c>
      <c r="E79">
        <v>3431</v>
      </c>
      <c r="F79">
        <v>-11953</v>
      </c>
      <c r="G79">
        <v>12660</v>
      </c>
      <c r="H79">
        <v>-693</v>
      </c>
      <c r="I79">
        <v>-36565</v>
      </c>
      <c r="J79">
        <v>29739</v>
      </c>
      <c r="K79">
        <v>5146</v>
      </c>
    </row>
    <row r="80" spans="2:11" x14ac:dyDescent="0.25">
      <c r="B80">
        <v>24103</v>
      </c>
      <c r="C80">
        <v>20263</v>
      </c>
      <c r="D80">
        <v>-14845</v>
      </c>
      <c r="E80">
        <v>-4462</v>
      </c>
      <c r="F80">
        <v>0</v>
      </c>
      <c r="G80">
        <v>-26631</v>
      </c>
      <c r="H80">
        <v>-26139</v>
      </c>
      <c r="I80">
        <v>-16757</v>
      </c>
      <c r="J80">
        <v>19597</v>
      </c>
      <c r="K80">
        <v>6352</v>
      </c>
    </row>
    <row r="81" spans="2:11" x14ac:dyDescent="0.25">
      <c r="B81">
        <v>-14808</v>
      </c>
      <c r="C81">
        <v>23000</v>
      </c>
      <c r="D81">
        <v>37986</v>
      </c>
      <c r="E81">
        <v>-872</v>
      </c>
      <c r="F81">
        <v>50246</v>
      </c>
      <c r="G81">
        <v>-37263</v>
      </c>
      <c r="H81">
        <v>42332</v>
      </c>
      <c r="I81">
        <v>-31959</v>
      </c>
      <c r="J81">
        <v>-26972</v>
      </c>
      <c r="K81">
        <v>17708</v>
      </c>
    </row>
    <row r="82" spans="2:11" x14ac:dyDescent="0.25">
      <c r="B82">
        <v>8322</v>
      </c>
      <c r="C82">
        <v>0</v>
      </c>
      <c r="D82">
        <v>32943</v>
      </c>
      <c r="E82">
        <v>34046</v>
      </c>
      <c r="F82">
        <v>3644</v>
      </c>
      <c r="G82">
        <v>-29396</v>
      </c>
      <c r="H82">
        <v>-10993</v>
      </c>
      <c r="I82">
        <v>949</v>
      </c>
      <c r="J82">
        <v>-35878</v>
      </c>
      <c r="K82">
        <v>-23198</v>
      </c>
    </row>
    <row r="83" spans="2:11" x14ac:dyDescent="0.25">
      <c r="B83">
        <v>-23762</v>
      </c>
      <c r="C83">
        <v>7814</v>
      </c>
      <c r="D83">
        <v>50939</v>
      </c>
      <c r="E83">
        <v>-7304</v>
      </c>
      <c r="F83">
        <v>-8568</v>
      </c>
      <c r="G83">
        <v>-34645</v>
      </c>
      <c r="H83">
        <v>-28632</v>
      </c>
      <c r="I83">
        <v>21272</v>
      </c>
      <c r="J83">
        <v>6583</v>
      </c>
      <c r="K83">
        <v>0</v>
      </c>
    </row>
    <row r="84" spans="2:11" x14ac:dyDescent="0.25">
      <c r="B84">
        <v>45128</v>
      </c>
      <c r="C84">
        <v>42236</v>
      </c>
      <c r="D84">
        <v>59636</v>
      </c>
      <c r="E84">
        <v>-29593</v>
      </c>
      <c r="F84">
        <v>-10001</v>
      </c>
      <c r="G84">
        <v>56386</v>
      </c>
      <c r="H84">
        <v>-35875</v>
      </c>
      <c r="I84">
        <v>-25711</v>
      </c>
      <c r="J84">
        <v>-26887</v>
      </c>
      <c r="K84">
        <v>36243</v>
      </c>
    </row>
    <row r="85" spans="2:11" x14ac:dyDescent="0.25">
      <c r="B85">
        <v>5843</v>
      </c>
      <c r="C85">
        <v>-66295</v>
      </c>
      <c r="D85">
        <v>50982</v>
      </c>
      <c r="E85">
        <v>10037</v>
      </c>
      <c r="F85">
        <v>42265</v>
      </c>
      <c r="G85">
        <v>37095</v>
      </c>
      <c r="H85">
        <v>-23973</v>
      </c>
      <c r="I85">
        <v>-1867</v>
      </c>
      <c r="J85">
        <v>0</v>
      </c>
      <c r="K85">
        <v>-47547</v>
      </c>
    </row>
    <row r="86" spans="2:11" x14ac:dyDescent="0.25">
      <c r="B86">
        <v>-49320</v>
      </c>
      <c r="C86">
        <v>-5807</v>
      </c>
      <c r="D86">
        <v>36092</v>
      </c>
      <c r="E86">
        <v>11695</v>
      </c>
      <c r="F86">
        <v>-2372</v>
      </c>
      <c r="G86">
        <v>40607</v>
      </c>
      <c r="H86">
        <v>29683</v>
      </c>
      <c r="I86">
        <v>32228</v>
      </c>
      <c r="J86">
        <v>-40538</v>
      </c>
      <c r="K86">
        <v>-63898</v>
      </c>
    </row>
    <row r="87" spans="2:11" x14ac:dyDescent="0.25">
      <c r="B87">
        <v>797</v>
      </c>
      <c r="C87">
        <v>-47386</v>
      </c>
      <c r="D87">
        <v>38892</v>
      </c>
      <c r="E87">
        <v>7766</v>
      </c>
      <c r="F87">
        <v>34952</v>
      </c>
      <c r="G87">
        <v>30301</v>
      </c>
      <c r="H87">
        <v>-19785</v>
      </c>
      <c r="I87">
        <v>-9376</v>
      </c>
      <c r="J87">
        <v>0</v>
      </c>
      <c r="K87">
        <v>-31969</v>
      </c>
    </row>
    <row r="88" spans="2:11" x14ac:dyDescent="0.25">
      <c r="B88">
        <v>-33683</v>
      </c>
      <c r="C88">
        <v>-5715</v>
      </c>
      <c r="D88">
        <v>31702</v>
      </c>
      <c r="E88">
        <v>16844</v>
      </c>
      <c r="F88">
        <v>-2887</v>
      </c>
      <c r="G88">
        <v>27798</v>
      </c>
      <c r="H88">
        <v>48122</v>
      </c>
      <c r="I88">
        <v>22139</v>
      </c>
      <c r="J88">
        <v>-30655</v>
      </c>
      <c r="K88">
        <v>-53168</v>
      </c>
    </row>
    <row r="89" spans="2:11" x14ac:dyDescent="0.25">
      <c r="B89">
        <v>48522</v>
      </c>
      <c r="C89">
        <v>-6324</v>
      </c>
      <c r="D89">
        <v>21391</v>
      </c>
      <c r="E89">
        <v>-17115</v>
      </c>
      <c r="F89">
        <v>-3214</v>
      </c>
      <c r="G89">
        <v>-14572</v>
      </c>
      <c r="H89">
        <v>-11829</v>
      </c>
      <c r="I89">
        <v>8721</v>
      </c>
      <c r="J89">
        <v>4442</v>
      </c>
      <c r="K89">
        <v>0</v>
      </c>
    </row>
    <row r="90" spans="2:11" x14ac:dyDescent="0.25">
      <c r="B90">
        <v>14648</v>
      </c>
      <c r="C90">
        <v>15049</v>
      </c>
      <c r="D90">
        <v>4024</v>
      </c>
      <c r="E90">
        <v>-15330</v>
      </c>
      <c r="F90">
        <v>-7343</v>
      </c>
      <c r="G90">
        <v>2490</v>
      </c>
      <c r="H90">
        <v>-13391</v>
      </c>
      <c r="I90">
        <v>-14740</v>
      </c>
      <c r="J90">
        <v>-23127</v>
      </c>
      <c r="K90">
        <v>13413</v>
      </c>
    </row>
    <row r="91" spans="2:11" x14ac:dyDescent="0.25">
      <c r="B91">
        <v>2388</v>
      </c>
      <c r="C91">
        <v>-17845</v>
      </c>
      <c r="D91">
        <v>1506</v>
      </c>
      <c r="E91">
        <v>-2959</v>
      </c>
      <c r="F91">
        <v>-76070</v>
      </c>
      <c r="G91">
        <v>59743</v>
      </c>
      <c r="H91">
        <v>11215</v>
      </c>
      <c r="I91">
        <v>44680</v>
      </c>
      <c r="J91">
        <v>42503</v>
      </c>
      <c r="K91">
        <v>-29983</v>
      </c>
    </row>
    <row r="92" spans="2:11" x14ac:dyDescent="0.25">
      <c r="B92">
        <v>-13719</v>
      </c>
      <c r="C92">
        <v>0</v>
      </c>
      <c r="D92">
        <v>-57319</v>
      </c>
      <c r="E92">
        <v>-50457</v>
      </c>
      <c r="F92">
        <v>-4714</v>
      </c>
      <c r="G92">
        <v>40751</v>
      </c>
      <c r="H92">
        <v>13274</v>
      </c>
      <c r="I92">
        <v>-1035</v>
      </c>
      <c r="J92">
        <v>45402</v>
      </c>
      <c r="K92">
        <v>30501</v>
      </c>
    </row>
    <row r="93" spans="2:11" x14ac:dyDescent="0.25">
      <c r="B93">
        <v>36082</v>
      </c>
      <c r="C93">
        <v>-45459</v>
      </c>
      <c r="D93">
        <v>-69762</v>
      </c>
      <c r="E93">
        <v>64046</v>
      </c>
      <c r="F93">
        <v>54580</v>
      </c>
      <c r="G93">
        <v>-23680</v>
      </c>
      <c r="H93">
        <v>-1273</v>
      </c>
      <c r="I93">
        <v>-29207</v>
      </c>
      <c r="J93">
        <v>45376</v>
      </c>
      <c r="K93">
        <v>2467</v>
      </c>
    </row>
    <row r="94" spans="2:11" x14ac:dyDescent="0.25">
      <c r="B94">
        <v>17637</v>
      </c>
      <c r="C94">
        <v>18512</v>
      </c>
      <c r="D94">
        <v>-10309</v>
      </c>
      <c r="E94">
        <v>-4888</v>
      </c>
      <c r="F94">
        <v>0</v>
      </c>
      <c r="G94">
        <v>-19192</v>
      </c>
      <c r="H94">
        <v>-19442</v>
      </c>
      <c r="I94">
        <v>31227</v>
      </c>
      <c r="J94">
        <v>16466</v>
      </c>
      <c r="K94">
        <v>6183</v>
      </c>
    </row>
    <row r="95" spans="2:11" x14ac:dyDescent="0.25">
      <c r="B95">
        <v>32322</v>
      </c>
      <c r="C95">
        <v>16696</v>
      </c>
      <c r="D95">
        <v>10324</v>
      </c>
      <c r="E95">
        <v>12560</v>
      </c>
      <c r="F95">
        <v>-19006</v>
      </c>
      <c r="G95">
        <v>-1046</v>
      </c>
      <c r="H95">
        <v>22086</v>
      </c>
      <c r="I95">
        <v>15694</v>
      </c>
      <c r="J95">
        <v>-7391</v>
      </c>
      <c r="K95">
        <v>26703</v>
      </c>
    </row>
    <row r="96" spans="2:11" x14ac:dyDescent="0.25">
      <c r="B96">
        <v>110</v>
      </c>
      <c r="C96">
        <v>12497</v>
      </c>
      <c r="D96">
        <v>-9946</v>
      </c>
      <c r="E96">
        <v>-619</v>
      </c>
      <c r="F96">
        <v>-8095</v>
      </c>
      <c r="G96">
        <v>-6738</v>
      </c>
      <c r="H96">
        <v>5991</v>
      </c>
      <c r="I96">
        <v>2336</v>
      </c>
      <c r="J96">
        <v>0</v>
      </c>
      <c r="K96">
        <v>8886</v>
      </c>
    </row>
    <row r="97" spans="2:11" x14ac:dyDescent="0.25">
      <c r="B97">
        <v>8676</v>
      </c>
      <c r="C97">
        <v>673</v>
      </c>
      <c r="D97">
        <v>-6901</v>
      </c>
      <c r="E97">
        <v>-3008</v>
      </c>
      <c r="F97">
        <v>70</v>
      </c>
      <c r="G97">
        <v>-6110</v>
      </c>
      <c r="H97">
        <v>-8337</v>
      </c>
      <c r="I97">
        <v>-5006</v>
      </c>
      <c r="J97">
        <v>9269</v>
      </c>
      <c r="K97">
        <v>9768</v>
      </c>
    </row>
    <row r="98" spans="2:11" x14ac:dyDescent="0.25">
      <c r="B98">
        <v>-8301</v>
      </c>
      <c r="C98">
        <v>-13199</v>
      </c>
      <c r="D98">
        <v>2007</v>
      </c>
      <c r="E98">
        <v>-12457</v>
      </c>
      <c r="F98">
        <v>-26090</v>
      </c>
      <c r="G98">
        <v>-11711</v>
      </c>
      <c r="H98">
        <v>-1946</v>
      </c>
      <c r="I98">
        <v>1521</v>
      </c>
      <c r="J98">
        <v>-4313</v>
      </c>
      <c r="K98">
        <v>7238</v>
      </c>
    </row>
    <row r="99" spans="2:11" x14ac:dyDescent="0.25">
      <c r="B99">
        <v>1693</v>
      </c>
      <c r="C99">
        <v>3541</v>
      </c>
      <c r="D99">
        <v>-743</v>
      </c>
      <c r="E99">
        <v>0</v>
      </c>
      <c r="F99">
        <v>9416</v>
      </c>
      <c r="G99">
        <v>-215</v>
      </c>
      <c r="H99">
        <v>-1458</v>
      </c>
      <c r="I99">
        <v>5286</v>
      </c>
      <c r="J99">
        <v>5747</v>
      </c>
      <c r="K99">
        <v>-1261</v>
      </c>
    </row>
    <row r="100" spans="2:11" x14ac:dyDescent="0.25">
      <c r="B100">
        <v>4226</v>
      </c>
      <c r="C100">
        <v>10967</v>
      </c>
      <c r="D100">
        <v>2705</v>
      </c>
      <c r="E100">
        <v>-8860</v>
      </c>
      <c r="F100">
        <v>2355</v>
      </c>
      <c r="G100">
        <v>2694</v>
      </c>
      <c r="H100">
        <v>10510</v>
      </c>
      <c r="I100">
        <v>-2176</v>
      </c>
      <c r="J100">
        <v>-3380</v>
      </c>
      <c r="K100">
        <v>16268</v>
      </c>
    </row>
    <row r="101" spans="2:11" x14ac:dyDescent="0.25">
      <c r="B101">
        <v>-634</v>
      </c>
      <c r="C101">
        <v>-7766</v>
      </c>
      <c r="D101">
        <v>39133</v>
      </c>
      <c r="E101">
        <v>-40794</v>
      </c>
      <c r="F101">
        <v>-8414</v>
      </c>
      <c r="G101">
        <v>-17805</v>
      </c>
      <c r="H101">
        <v>-22247</v>
      </c>
      <c r="I101">
        <v>13333</v>
      </c>
      <c r="J101">
        <v>4912</v>
      </c>
      <c r="K101">
        <v>0</v>
      </c>
    </row>
    <row r="102" spans="2:11" x14ac:dyDescent="0.25">
      <c r="B102">
        <v>34479</v>
      </c>
      <c r="C102">
        <v>26689</v>
      </c>
      <c r="D102">
        <v>-15620</v>
      </c>
      <c r="E102">
        <v>-16524</v>
      </c>
      <c r="F102">
        <v>-1974</v>
      </c>
      <c r="G102">
        <v>-17124</v>
      </c>
      <c r="H102">
        <v>-22808</v>
      </c>
      <c r="I102">
        <v>-3891</v>
      </c>
      <c r="J102">
        <v>-17170</v>
      </c>
      <c r="K102">
        <v>17187</v>
      </c>
    </row>
    <row r="103" spans="2:11" x14ac:dyDescent="0.25">
      <c r="B103">
        <v>22623</v>
      </c>
      <c r="C103">
        <v>-30986</v>
      </c>
      <c r="D103">
        <v>-10411</v>
      </c>
      <c r="E103">
        <v>6687</v>
      </c>
      <c r="F103">
        <v>-40751</v>
      </c>
      <c r="G103">
        <v>-20841</v>
      </c>
      <c r="H103">
        <v>4647</v>
      </c>
      <c r="I103">
        <v>6835</v>
      </c>
      <c r="J103">
        <v>-13165</v>
      </c>
      <c r="K103">
        <v>29775</v>
      </c>
    </row>
    <row r="104" spans="2:11" x14ac:dyDescent="0.25">
      <c r="B104">
        <v>-22612</v>
      </c>
      <c r="C104">
        <v>-5265</v>
      </c>
      <c r="D104">
        <v>-21457</v>
      </c>
      <c r="E104">
        <v>-36813</v>
      </c>
      <c r="F104">
        <v>1040</v>
      </c>
      <c r="G104">
        <v>12995</v>
      </c>
      <c r="H104">
        <v>0</v>
      </c>
      <c r="I104">
        <v>17516</v>
      </c>
      <c r="J104">
        <v>31121</v>
      </c>
      <c r="K104">
        <v>7067</v>
      </c>
    </row>
    <row r="105" spans="2:11" x14ac:dyDescent="0.25">
      <c r="B105">
        <v>-18586</v>
      </c>
      <c r="C105">
        <v>-7733</v>
      </c>
      <c r="D105">
        <v>5054</v>
      </c>
      <c r="E105">
        <v>-23014</v>
      </c>
      <c r="F105">
        <v>-11354</v>
      </c>
      <c r="G105">
        <v>-13357</v>
      </c>
      <c r="H105">
        <v>20957</v>
      </c>
      <c r="I105">
        <v>27728</v>
      </c>
      <c r="J105">
        <v>-29243</v>
      </c>
      <c r="K105">
        <v>-19447</v>
      </c>
    </row>
    <row r="106" spans="2:11" x14ac:dyDescent="0.25">
      <c r="B106">
        <v>8238</v>
      </c>
      <c r="C106">
        <v>-31886</v>
      </c>
      <c r="D106">
        <v>-11295</v>
      </c>
      <c r="E106">
        <v>5069</v>
      </c>
      <c r="F106">
        <v>403</v>
      </c>
      <c r="G106">
        <v>16173</v>
      </c>
      <c r="H106">
        <v>-8375</v>
      </c>
      <c r="I106">
        <v>29806</v>
      </c>
      <c r="J106">
        <v>-22444</v>
      </c>
      <c r="K106">
        <v>-4782</v>
      </c>
    </row>
    <row r="107" spans="2:11" x14ac:dyDescent="0.25">
      <c r="B107">
        <v>-20112</v>
      </c>
      <c r="C107">
        <v>-91727</v>
      </c>
      <c r="D107">
        <v>15206</v>
      </c>
      <c r="E107">
        <v>7706</v>
      </c>
      <c r="F107">
        <v>0</v>
      </c>
      <c r="G107">
        <v>49011</v>
      </c>
      <c r="H107">
        <v>6536</v>
      </c>
      <c r="I107">
        <v>3755</v>
      </c>
      <c r="J107">
        <v>-17239</v>
      </c>
      <c r="K107">
        <v>-5028</v>
      </c>
    </row>
    <row r="108" spans="2:11" x14ac:dyDescent="0.25">
      <c r="B108">
        <v>1959</v>
      </c>
      <c r="C108">
        <v>-18539</v>
      </c>
      <c r="D108">
        <v>-15084</v>
      </c>
      <c r="E108">
        <v>-13996</v>
      </c>
      <c r="F108">
        <v>18714</v>
      </c>
      <c r="G108">
        <v>23302</v>
      </c>
      <c r="H108">
        <v>-25543</v>
      </c>
      <c r="I108">
        <v>-21753</v>
      </c>
      <c r="J108">
        <v>8106</v>
      </c>
      <c r="K108">
        <v>-29111</v>
      </c>
    </row>
    <row r="109" spans="2:11" x14ac:dyDescent="0.25">
      <c r="B109">
        <v>-9299</v>
      </c>
      <c r="C109">
        <v>4423</v>
      </c>
      <c r="D109">
        <v>-1984</v>
      </c>
      <c r="E109">
        <v>13737</v>
      </c>
      <c r="F109">
        <v>3357</v>
      </c>
      <c r="G109">
        <v>857</v>
      </c>
      <c r="H109">
        <v>-39980</v>
      </c>
      <c r="I109">
        <v>31033</v>
      </c>
      <c r="J109">
        <v>5710</v>
      </c>
      <c r="K109">
        <v>24906</v>
      </c>
    </row>
    <row r="110" spans="2:11" x14ac:dyDescent="0.25">
      <c r="B110">
        <v>20459</v>
      </c>
      <c r="C110">
        <v>-15950</v>
      </c>
      <c r="D110">
        <v>-7654</v>
      </c>
      <c r="E110">
        <v>0</v>
      </c>
      <c r="F110">
        <v>-27701</v>
      </c>
      <c r="G110">
        <v>-28327</v>
      </c>
      <c r="H110">
        <v>-4108</v>
      </c>
      <c r="I110">
        <v>24041</v>
      </c>
      <c r="J110">
        <v>9882</v>
      </c>
      <c r="K110">
        <v>-1901</v>
      </c>
    </row>
    <row r="111" spans="2:11" x14ac:dyDescent="0.25">
      <c r="B111">
        <v>23755</v>
      </c>
      <c r="C111">
        <v>16951</v>
      </c>
      <c r="D111">
        <v>20032</v>
      </c>
      <c r="E111">
        <v>-24855</v>
      </c>
      <c r="F111">
        <v>-38230</v>
      </c>
      <c r="G111">
        <v>37418</v>
      </c>
      <c r="H111">
        <v>26387</v>
      </c>
      <c r="I111">
        <v>-5082</v>
      </c>
      <c r="J111">
        <v>42252</v>
      </c>
      <c r="K111">
        <v>16674</v>
      </c>
    </row>
    <row r="112" spans="2:11" x14ac:dyDescent="0.25">
      <c r="B112">
        <v>-7296</v>
      </c>
      <c r="C112">
        <v>-3762</v>
      </c>
      <c r="D112">
        <v>-20899</v>
      </c>
      <c r="E112">
        <v>-17313</v>
      </c>
      <c r="F112">
        <v>-12889</v>
      </c>
      <c r="G112">
        <v>2431</v>
      </c>
      <c r="H112">
        <v>31532</v>
      </c>
      <c r="I112">
        <v>-23347</v>
      </c>
      <c r="J112">
        <v>-4394</v>
      </c>
      <c r="K112">
        <v>-20254</v>
      </c>
    </row>
    <row r="113" spans="2:11" x14ac:dyDescent="0.25">
      <c r="B113">
        <v>-19302</v>
      </c>
      <c r="C113">
        <v>11938</v>
      </c>
      <c r="D113">
        <v>3033</v>
      </c>
      <c r="E113">
        <v>0</v>
      </c>
      <c r="F113">
        <v>22863</v>
      </c>
      <c r="G113">
        <v>21065</v>
      </c>
      <c r="H113">
        <v>-1750</v>
      </c>
      <c r="I113">
        <v>-18811</v>
      </c>
      <c r="J113">
        <v>-2364</v>
      </c>
      <c r="K113">
        <v>-3556</v>
      </c>
    </row>
    <row r="114" spans="2:11" x14ac:dyDescent="0.25">
      <c r="B114">
        <v>-19830</v>
      </c>
      <c r="C114">
        <v>-11356</v>
      </c>
      <c r="D114">
        <v>-15104</v>
      </c>
      <c r="E114">
        <v>19809</v>
      </c>
      <c r="F114">
        <v>11158</v>
      </c>
      <c r="G114">
        <v>-22143</v>
      </c>
      <c r="H114">
        <v>-16822</v>
      </c>
      <c r="I114">
        <v>3828</v>
      </c>
      <c r="J114">
        <v>-30309</v>
      </c>
      <c r="K114">
        <v>-12095</v>
      </c>
    </row>
    <row r="115" spans="2:11" x14ac:dyDescent="0.25">
      <c r="B115">
        <v>5905</v>
      </c>
      <c r="C115">
        <v>-2993</v>
      </c>
      <c r="D115">
        <v>13674</v>
      </c>
      <c r="E115">
        <v>12780</v>
      </c>
      <c r="F115">
        <v>14557</v>
      </c>
      <c r="G115">
        <v>-25708</v>
      </c>
      <c r="H115">
        <v>-1890</v>
      </c>
      <c r="I115">
        <v>62967</v>
      </c>
      <c r="J115">
        <v>-48903</v>
      </c>
      <c r="K115">
        <v>-10195</v>
      </c>
    </row>
    <row r="116" spans="2:11" x14ac:dyDescent="0.25">
      <c r="B116">
        <v>-40338</v>
      </c>
      <c r="C116">
        <v>-37759</v>
      </c>
      <c r="D116">
        <v>25028</v>
      </c>
      <c r="E116">
        <v>9339</v>
      </c>
      <c r="F116">
        <v>0</v>
      </c>
      <c r="G116">
        <v>46342</v>
      </c>
      <c r="H116">
        <v>45145</v>
      </c>
      <c r="I116">
        <v>2099</v>
      </c>
      <c r="J116">
        <v>-36419</v>
      </c>
      <c r="K116">
        <v>-15353</v>
      </c>
    </row>
    <row r="117" spans="2:11" x14ac:dyDescent="0.25">
      <c r="B117">
        <v>-1169</v>
      </c>
      <c r="C117">
        <v>-38891</v>
      </c>
      <c r="D117">
        <v>-26301</v>
      </c>
      <c r="E117">
        <v>-29565</v>
      </c>
      <c r="F117">
        <v>37810</v>
      </c>
      <c r="G117">
        <v>47009</v>
      </c>
      <c r="H117">
        <v>-53129</v>
      </c>
      <c r="I117">
        <v>-39168</v>
      </c>
      <c r="J117">
        <v>16771</v>
      </c>
      <c r="K117">
        <v>-60158</v>
      </c>
    </row>
    <row r="118" spans="2:11" x14ac:dyDescent="0.25">
      <c r="B118">
        <v>-20096</v>
      </c>
      <c r="C118">
        <v>8991</v>
      </c>
      <c r="D118">
        <v>-4059</v>
      </c>
      <c r="E118">
        <v>28643</v>
      </c>
      <c r="F118">
        <v>28128</v>
      </c>
      <c r="G118">
        <v>26422</v>
      </c>
      <c r="H118">
        <v>-10240</v>
      </c>
      <c r="I118">
        <v>18554</v>
      </c>
      <c r="J118">
        <v>340</v>
      </c>
      <c r="K118">
        <v>42258</v>
      </c>
    </row>
    <row r="119" spans="2:11" x14ac:dyDescent="0.25">
      <c r="B119">
        <v>-30295</v>
      </c>
      <c r="C119">
        <v>-6207</v>
      </c>
      <c r="D119">
        <v>-27190</v>
      </c>
      <c r="E119">
        <v>-25721</v>
      </c>
      <c r="F119">
        <v>15982</v>
      </c>
      <c r="G119">
        <v>4091</v>
      </c>
      <c r="H119">
        <v>0</v>
      </c>
      <c r="I119">
        <v>32152</v>
      </c>
      <c r="J119">
        <v>30440</v>
      </c>
      <c r="K119">
        <v>-2706</v>
      </c>
    </row>
    <row r="120" spans="2:11" x14ac:dyDescent="0.25">
      <c r="B120">
        <v>-30097</v>
      </c>
      <c r="C120">
        <v>-13820</v>
      </c>
      <c r="D120">
        <v>-5378</v>
      </c>
      <c r="E120">
        <v>-27451</v>
      </c>
      <c r="F120">
        <v>-13027</v>
      </c>
      <c r="G120">
        <v>-18763</v>
      </c>
      <c r="H120">
        <v>27631</v>
      </c>
      <c r="I120">
        <v>30875</v>
      </c>
      <c r="J120">
        <v>-35292</v>
      </c>
      <c r="K120">
        <v>-25798</v>
      </c>
    </row>
    <row r="121" spans="2:11" x14ac:dyDescent="0.25">
      <c r="B121">
        <v>11897</v>
      </c>
      <c r="C121">
        <v>-40945</v>
      </c>
      <c r="D121">
        <v>-15295</v>
      </c>
      <c r="E121">
        <v>7221</v>
      </c>
      <c r="F121">
        <v>-2416</v>
      </c>
      <c r="G121">
        <v>20112</v>
      </c>
      <c r="H121">
        <v>18763</v>
      </c>
      <c r="I121">
        <v>18790</v>
      </c>
      <c r="J121">
        <v>-26143</v>
      </c>
      <c r="K121">
        <v>59865</v>
      </c>
    </row>
    <row r="122" spans="2:11" x14ac:dyDescent="0.25">
      <c r="B122">
        <v>24345</v>
      </c>
      <c r="C122">
        <v>779</v>
      </c>
      <c r="D122">
        <v>27784</v>
      </c>
      <c r="E122">
        <v>-21574</v>
      </c>
      <c r="F122">
        <v>-2317</v>
      </c>
      <c r="G122">
        <v>-16467</v>
      </c>
      <c r="H122">
        <v>-12950</v>
      </c>
      <c r="I122">
        <v>10018</v>
      </c>
      <c r="J122">
        <v>4908</v>
      </c>
      <c r="K122">
        <v>0</v>
      </c>
    </row>
    <row r="123" spans="2:11" x14ac:dyDescent="0.25">
      <c r="B123">
        <v>17700</v>
      </c>
      <c r="C123">
        <v>18317</v>
      </c>
      <c r="D123">
        <v>208</v>
      </c>
      <c r="E123">
        <v>-15202</v>
      </c>
      <c r="F123">
        <v>-6201</v>
      </c>
      <c r="G123">
        <v>-1105</v>
      </c>
      <c r="H123">
        <v>-15223</v>
      </c>
      <c r="I123">
        <v>-11712</v>
      </c>
      <c r="J123">
        <v>-14191</v>
      </c>
      <c r="K123">
        <v>17771</v>
      </c>
    </row>
    <row r="124" spans="2:11" x14ac:dyDescent="0.25">
      <c r="B124">
        <v>17386</v>
      </c>
      <c r="C124">
        <v>-19436</v>
      </c>
      <c r="D124">
        <v>-16077</v>
      </c>
      <c r="E124">
        <v>7865</v>
      </c>
      <c r="F124">
        <v>-24604</v>
      </c>
      <c r="G124">
        <v>-28531</v>
      </c>
      <c r="H124">
        <v>1763</v>
      </c>
      <c r="I124">
        <v>-12157</v>
      </c>
      <c r="J124">
        <v>13667</v>
      </c>
      <c r="K124">
        <v>9552</v>
      </c>
    </row>
    <row r="125" spans="2:11" x14ac:dyDescent="0.25">
      <c r="B125">
        <v>8561</v>
      </c>
      <c r="C125">
        <v>-13202</v>
      </c>
      <c r="D125">
        <v>11932</v>
      </c>
      <c r="E125">
        <v>19903</v>
      </c>
      <c r="F125">
        <v>15457</v>
      </c>
      <c r="G125">
        <v>-3394</v>
      </c>
      <c r="H125">
        <v>-761</v>
      </c>
      <c r="I125">
        <v>772</v>
      </c>
      <c r="J125">
        <v>2078</v>
      </c>
      <c r="K125">
        <v>1046</v>
      </c>
    </row>
    <row r="126" spans="2:11" x14ac:dyDescent="0.25">
      <c r="B126">
        <v>342</v>
      </c>
      <c r="C126">
        <v>-612</v>
      </c>
      <c r="D126">
        <v>-425</v>
      </c>
      <c r="E126">
        <v>0</v>
      </c>
      <c r="F126">
        <v>267</v>
      </c>
      <c r="G126">
        <v>-596</v>
      </c>
      <c r="H126">
        <v>-825</v>
      </c>
      <c r="I126">
        <v>279</v>
      </c>
      <c r="J126">
        <v>476</v>
      </c>
      <c r="K126">
        <v>-872</v>
      </c>
    </row>
    <row r="127" spans="2:11" x14ac:dyDescent="0.25">
      <c r="B127">
        <v>793</v>
      </c>
      <c r="C127">
        <v>1285</v>
      </c>
      <c r="D127">
        <v>1443</v>
      </c>
      <c r="E127">
        <v>1546</v>
      </c>
      <c r="F127">
        <v>-1406</v>
      </c>
      <c r="G127">
        <v>586</v>
      </c>
      <c r="H127">
        <v>737</v>
      </c>
      <c r="I127">
        <v>-345</v>
      </c>
      <c r="J127">
        <v>1198</v>
      </c>
      <c r="K127">
        <v>-36982</v>
      </c>
    </row>
    <row r="128" spans="2:11" x14ac:dyDescent="0.25">
      <c r="B128">
        <v>282</v>
      </c>
      <c r="C128">
        <v>-8017</v>
      </c>
      <c r="D128">
        <v>-1966</v>
      </c>
      <c r="E128">
        <v>237</v>
      </c>
      <c r="F128">
        <v>-248</v>
      </c>
      <c r="G128">
        <v>-753</v>
      </c>
      <c r="H128">
        <v>54</v>
      </c>
      <c r="I128">
        <v>-2294</v>
      </c>
      <c r="J128">
        <v>-45</v>
      </c>
      <c r="K128">
        <v>-23554</v>
      </c>
    </row>
    <row r="129" spans="2:11" x14ac:dyDescent="0.25">
      <c r="B129">
        <v>1814</v>
      </c>
      <c r="C129">
        <v>-7154</v>
      </c>
      <c r="D129">
        <v>4435</v>
      </c>
      <c r="E129">
        <v>-302</v>
      </c>
      <c r="F129">
        <v>1529</v>
      </c>
      <c r="G129">
        <v>461</v>
      </c>
      <c r="H129">
        <v>-2065</v>
      </c>
      <c r="I129">
        <v>-998</v>
      </c>
      <c r="J129">
        <v>0</v>
      </c>
      <c r="K129">
        <v>-2721</v>
      </c>
    </row>
    <row r="130" spans="2:11" x14ac:dyDescent="0.25">
      <c r="B130">
        <v>-2277</v>
      </c>
      <c r="C130">
        <v>2676</v>
      </c>
      <c r="D130">
        <v>1255</v>
      </c>
      <c r="E130">
        <v>620</v>
      </c>
      <c r="F130">
        <v>2732</v>
      </c>
      <c r="G130">
        <v>1422</v>
      </c>
      <c r="H130">
        <v>2107</v>
      </c>
      <c r="I130">
        <v>3436</v>
      </c>
      <c r="J130">
        <v>-2878</v>
      </c>
      <c r="K130">
        <v>-65</v>
      </c>
    </row>
    <row r="131" spans="2:11" x14ac:dyDescent="0.25">
      <c r="B131">
        <v>1593</v>
      </c>
      <c r="C131">
        <v>1636</v>
      </c>
      <c r="D131">
        <v>-1416</v>
      </c>
      <c r="E131">
        <v>2823</v>
      </c>
      <c r="F131">
        <v>1157</v>
      </c>
      <c r="G131">
        <v>-3333</v>
      </c>
      <c r="H131">
        <v>12248</v>
      </c>
      <c r="I131">
        <v>-1377</v>
      </c>
      <c r="J131">
        <v>-512</v>
      </c>
      <c r="K131">
        <v>-528</v>
      </c>
    </row>
    <row r="132" spans="2:11" x14ac:dyDescent="0.25">
      <c r="B132">
        <v>2077</v>
      </c>
      <c r="C132">
        <v>-2282</v>
      </c>
      <c r="D132">
        <v>-1535</v>
      </c>
      <c r="E132">
        <v>-3274</v>
      </c>
      <c r="F132">
        <v>-42263</v>
      </c>
      <c r="G132">
        <v>-12027</v>
      </c>
      <c r="H132">
        <v>449</v>
      </c>
      <c r="I132">
        <v>19015</v>
      </c>
      <c r="J132">
        <v>-13825</v>
      </c>
      <c r="K132">
        <v>-990</v>
      </c>
    </row>
    <row r="133" spans="2:11" x14ac:dyDescent="0.25">
      <c r="B133">
        <v>-12315</v>
      </c>
      <c r="C133">
        <v>-10871</v>
      </c>
      <c r="D133">
        <v>7248</v>
      </c>
      <c r="E133">
        <v>3320</v>
      </c>
      <c r="F133">
        <v>0</v>
      </c>
      <c r="G133">
        <v>13426</v>
      </c>
      <c r="H133">
        <v>13675</v>
      </c>
      <c r="I133">
        <v>2738</v>
      </c>
      <c r="J133">
        <v>-10629</v>
      </c>
      <c r="K133">
        <v>-4611</v>
      </c>
    </row>
    <row r="134" spans="2:11" x14ac:dyDescent="0.25">
      <c r="B134">
        <v>1790</v>
      </c>
      <c r="C134">
        <v>-11513</v>
      </c>
      <c r="D134">
        <v>-4583</v>
      </c>
      <c r="E134">
        <v>-8096</v>
      </c>
      <c r="F134">
        <v>14337</v>
      </c>
      <c r="G134">
        <v>15020</v>
      </c>
      <c r="H134">
        <v>-15709</v>
      </c>
      <c r="I134">
        <v>-7682</v>
      </c>
      <c r="J134">
        <v>5787</v>
      </c>
      <c r="K134">
        <v>-18518</v>
      </c>
    </row>
    <row r="135" spans="2:11" x14ac:dyDescent="0.25">
      <c r="B135">
        <v>-43123</v>
      </c>
      <c r="C135">
        <v>5985</v>
      </c>
      <c r="D135">
        <v>-12700</v>
      </c>
      <c r="E135">
        <v>11745</v>
      </c>
      <c r="F135">
        <v>10041</v>
      </c>
      <c r="G135">
        <v>7017</v>
      </c>
      <c r="H135">
        <v>-10505</v>
      </c>
      <c r="I135">
        <v>8263</v>
      </c>
      <c r="J135">
        <v>15251</v>
      </c>
      <c r="K135">
        <v>10727</v>
      </c>
    </row>
    <row r="136" spans="2:11" x14ac:dyDescent="0.25">
      <c r="B136">
        <v>37305</v>
      </c>
      <c r="C136">
        <v>-5032</v>
      </c>
      <c r="D136">
        <v>-20222</v>
      </c>
      <c r="E136">
        <v>7140</v>
      </c>
      <c r="F136">
        <v>61621</v>
      </c>
      <c r="G136">
        <v>-47940</v>
      </c>
      <c r="H136">
        <v>-8909</v>
      </c>
      <c r="I136">
        <v>-40863</v>
      </c>
      <c r="J136">
        <v>-35151</v>
      </c>
      <c r="K136">
        <v>21446</v>
      </c>
    </row>
    <row r="137" spans="2:11" x14ac:dyDescent="0.25">
      <c r="B137">
        <v>9834</v>
      </c>
      <c r="C137">
        <v>0</v>
      </c>
      <c r="D137">
        <v>39200</v>
      </c>
      <c r="E137">
        <v>43062</v>
      </c>
      <c r="F137">
        <v>5059</v>
      </c>
      <c r="G137">
        <v>-36316</v>
      </c>
      <c r="H137">
        <v>-14548</v>
      </c>
      <c r="I137">
        <v>1905</v>
      </c>
      <c r="J137">
        <v>-39561</v>
      </c>
      <c r="K137">
        <v>-26374</v>
      </c>
    </row>
    <row r="138" spans="2:11" x14ac:dyDescent="0.25">
      <c r="B138">
        <v>-29742</v>
      </c>
      <c r="C138">
        <v>38718</v>
      </c>
      <c r="D138">
        <v>47832</v>
      </c>
      <c r="E138">
        <v>-53194</v>
      </c>
      <c r="F138">
        <v>-37799</v>
      </c>
      <c r="G138">
        <v>15412</v>
      </c>
      <c r="H138">
        <v>-58846</v>
      </c>
      <c r="I138">
        <v>-11906</v>
      </c>
      <c r="J138">
        <v>13955</v>
      </c>
      <c r="K138">
        <v>-44749</v>
      </c>
    </row>
    <row r="139" spans="2:11" x14ac:dyDescent="0.25">
      <c r="B139">
        <v>30718</v>
      </c>
      <c r="C139">
        <v>25802</v>
      </c>
      <c r="D139">
        <v>24430</v>
      </c>
      <c r="E139">
        <v>-27457</v>
      </c>
      <c r="F139">
        <v>24123</v>
      </c>
      <c r="G139">
        <v>52224</v>
      </c>
      <c r="H139">
        <v>33334</v>
      </c>
      <c r="I139">
        <v>13882</v>
      </c>
      <c r="J139">
        <v>-5564</v>
      </c>
      <c r="K139">
        <v>4914</v>
      </c>
    </row>
    <row r="140" spans="2:11" x14ac:dyDescent="0.25">
      <c r="B140">
        <v>17243</v>
      </c>
      <c r="C140">
        <v>1951</v>
      </c>
      <c r="D140">
        <v>-18066</v>
      </c>
      <c r="E140">
        <v>14105</v>
      </c>
      <c r="F140">
        <v>5087</v>
      </c>
      <c r="G140">
        <v>11386</v>
      </c>
      <c r="H140">
        <v>10115</v>
      </c>
      <c r="I140">
        <v>-8038</v>
      </c>
      <c r="J140">
        <v>-3271</v>
      </c>
      <c r="K140">
        <v>0</v>
      </c>
    </row>
    <row r="141" spans="2:11" x14ac:dyDescent="0.25">
      <c r="B141">
        <v>-12457</v>
      </c>
      <c r="C141">
        <v>-12123</v>
      </c>
      <c r="D141">
        <v>-263</v>
      </c>
      <c r="E141">
        <v>10119</v>
      </c>
      <c r="F141">
        <v>4415</v>
      </c>
      <c r="G141">
        <v>654</v>
      </c>
      <c r="H141">
        <v>9693</v>
      </c>
      <c r="I141">
        <v>8841</v>
      </c>
      <c r="J141">
        <v>7793</v>
      </c>
      <c r="K141">
        <v>-7289</v>
      </c>
    </row>
    <row r="142" spans="2:11" x14ac:dyDescent="0.25">
      <c r="B142">
        <v>-11805</v>
      </c>
      <c r="C142">
        <v>14031</v>
      </c>
      <c r="D142">
        <v>12938</v>
      </c>
      <c r="E142">
        <v>-4978</v>
      </c>
      <c r="F142">
        <v>16387</v>
      </c>
      <c r="G142">
        <v>-38767</v>
      </c>
      <c r="H142">
        <v>-4666</v>
      </c>
      <c r="I142">
        <v>-18726</v>
      </c>
      <c r="J142">
        <v>-6295</v>
      </c>
      <c r="K142">
        <v>-7052</v>
      </c>
    </row>
    <row r="143" spans="2:11" x14ac:dyDescent="0.25">
      <c r="B143">
        <v>-7081</v>
      </c>
      <c r="C143">
        <v>5321</v>
      </c>
      <c r="D143">
        <v>-5314</v>
      </c>
      <c r="E143">
        <v>-15492</v>
      </c>
      <c r="F143">
        <v>-6737</v>
      </c>
      <c r="G143">
        <v>-5473</v>
      </c>
      <c r="H143">
        <v>-431</v>
      </c>
      <c r="I143">
        <v>15033</v>
      </c>
      <c r="J143">
        <v>-25618</v>
      </c>
      <c r="K143">
        <v>-34834</v>
      </c>
    </row>
    <row r="144" spans="2:11" x14ac:dyDescent="0.25">
      <c r="B144">
        <v>-2553</v>
      </c>
      <c r="C144">
        <v>31085</v>
      </c>
      <c r="D144">
        <v>32828</v>
      </c>
      <c r="E144">
        <v>1462</v>
      </c>
      <c r="F144">
        <v>-17919</v>
      </c>
      <c r="G144">
        <v>-6572</v>
      </c>
      <c r="H144">
        <v>10996</v>
      </c>
      <c r="I144">
        <v>4302</v>
      </c>
      <c r="J144">
        <v>0</v>
      </c>
      <c r="K144">
        <v>19882</v>
      </c>
    </row>
    <row r="145" spans="2:11" x14ac:dyDescent="0.25">
      <c r="B145">
        <v>20117</v>
      </c>
      <c r="C145">
        <v>77023</v>
      </c>
      <c r="D145">
        <v>-15578</v>
      </c>
      <c r="E145">
        <v>-6344</v>
      </c>
      <c r="F145">
        <v>74802</v>
      </c>
      <c r="G145">
        <v>-16767</v>
      </c>
      <c r="H145">
        <v>-9331</v>
      </c>
      <c r="I145">
        <v>-10931</v>
      </c>
      <c r="J145">
        <v>24280</v>
      </c>
      <c r="K145">
        <v>66434</v>
      </c>
    </row>
    <row r="146" spans="2:11" x14ac:dyDescent="0.25">
      <c r="B146">
        <v>-24514</v>
      </c>
      <c r="C146">
        <v>-14717</v>
      </c>
      <c r="D146">
        <v>7113</v>
      </c>
      <c r="E146">
        <v>-26256</v>
      </c>
      <c r="F146">
        <v>19908</v>
      </c>
      <c r="G146">
        <v>4087</v>
      </c>
      <c r="H146">
        <v>-771</v>
      </c>
      <c r="I146">
        <v>-11851</v>
      </c>
      <c r="J146">
        <v>14440</v>
      </c>
      <c r="K146">
        <v>12108</v>
      </c>
    </row>
    <row r="147" spans="2:11" x14ac:dyDescent="0.25">
      <c r="B147">
        <v>-14231</v>
      </c>
      <c r="C147">
        <v>12312</v>
      </c>
      <c r="D147">
        <v>22942</v>
      </c>
      <c r="E147">
        <v>18421</v>
      </c>
      <c r="F147">
        <v>9340</v>
      </c>
      <c r="G147">
        <v>-107</v>
      </c>
      <c r="H147">
        <v>-1137</v>
      </c>
      <c r="I147">
        <v>9356</v>
      </c>
      <c r="J147">
        <v>22349</v>
      </c>
      <c r="K147">
        <v>-5641</v>
      </c>
    </row>
    <row r="148" spans="2:11" x14ac:dyDescent="0.25">
      <c r="B148">
        <v>3630</v>
      </c>
      <c r="C148">
        <v>-88744</v>
      </c>
      <c r="D148">
        <v>69152</v>
      </c>
      <c r="E148">
        <v>13509</v>
      </c>
      <c r="F148">
        <v>57561</v>
      </c>
      <c r="G148">
        <v>50682</v>
      </c>
      <c r="H148">
        <v>-34967</v>
      </c>
      <c r="I148">
        <v>-14855</v>
      </c>
      <c r="J148">
        <v>0</v>
      </c>
      <c r="K148">
        <v>-62752</v>
      </c>
    </row>
    <row r="149" spans="2:11" x14ac:dyDescent="0.25">
      <c r="B149">
        <v>-63016</v>
      </c>
      <c r="C149">
        <v>-6584</v>
      </c>
      <c r="D149">
        <v>51867</v>
      </c>
      <c r="E149">
        <v>20574</v>
      </c>
      <c r="F149">
        <v>-1820</v>
      </c>
      <c r="G149">
        <v>54341</v>
      </c>
      <c r="H149">
        <v>38367</v>
      </c>
      <c r="I149">
        <v>41812</v>
      </c>
      <c r="J149">
        <v>-54471</v>
      </c>
      <c r="K149">
        <v>-66745</v>
      </c>
    </row>
    <row r="150" spans="2:11" x14ac:dyDescent="0.25">
      <c r="B150">
        <v>74444</v>
      </c>
      <c r="C150">
        <v>55527</v>
      </c>
      <c r="D150">
        <v>-24356</v>
      </c>
      <c r="E150">
        <v>84312</v>
      </c>
      <c r="F150">
        <v>30978</v>
      </c>
      <c r="G150">
        <v>-14017</v>
      </c>
      <c r="H150">
        <v>3165</v>
      </c>
      <c r="I150">
        <v>-40225</v>
      </c>
      <c r="J150">
        <v>-38671</v>
      </c>
      <c r="K150">
        <v>-34558</v>
      </c>
    </row>
    <row r="151" spans="2:11" x14ac:dyDescent="0.25">
      <c r="B151">
        <v>44575</v>
      </c>
      <c r="C151">
        <v>-34931</v>
      </c>
      <c r="D151">
        <v>-71328</v>
      </c>
      <c r="E151">
        <v>-48401</v>
      </c>
      <c r="F151">
        <v>-29021</v>
      </c>
      <c r="G151">
        <v>1616</v>
      </c>
      <c r="H151">
        <v>3215</v>
      </c>
      <c r="I151">
        <v>-22007</v>
      </c>
      <c r="J151">
        <v>-69680</v>
      </c>
      <c r="K151">
        <v>19208</v>
      </c>
    </row>
    <row r="152" spans="2:11" x14ac:dyDescent="0.25">
      <c r="B152">
        <v>-31742</v>
      </c>
    </row>
  </sheetData>
  <pageMargins bottom="0.75" footer="0.3" header="0.3" left="0.7" right="0.7" top="0.75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47"/>
  <sheetViews>
    <sheetView workbookViewId="0">
      <selection activeCell="A8" sqref="A8:K47"/>
    </sheetView>
  </sheetViews>
  <sheetFormatPr defaultRowHeight="15" x14ac:dyDescent="0.25"/>
  <sheetData>
    <row r="1" spans="1:11" x14ac:dyDescent="0.25">
      <c r="A1" s="48" t="s">
        <v>201</v>
      </c>
      <c r="B1" s="45"/>
      <c r="C1" s="45"/>
      <c r="D1" s="45"/>
      <c r="E1" s="45"/>
      <c r="F1" s="45"/>
      <c r="G1" s="45"/>
      <c r="H1" s="45" t="s">
        <v>202</v>
      </c>
      <c r="I1" s="45"/>
      <c r="J1" s="45"/>
      <c r="K1" s="45"/>
    </row>
    <row r="2" spans="1:11" x14ac:dyDescent="0.25">
      <c r="A2" s="45">
        <v>1</v>
      </c>
      <c r="B2" s="45" t="s">
        <v>295</v>
      </c>
      <c r="C2" s="45"/>
      <c r="D2" s="45"/>
      <c r="E2" s="45"/>
      <c r="F2" s="45"/>
      <c r="G2" s="45"/>
      <c r="H2" s="45"/>
      <c r="I2" s="45"/>
      <c r="J2" s="45"/>
      <c r="K2" s="45"/>
    </row>
    <row r="3" spans="1:11" x14ac:dyDescent="0.25">
      <c r="A3" s="45">
        <v>2</v>
      </c>
      <c r="B3" s="45" t="s">
        <v>203</v>
      </c>
      <c r="C3" s="45"/>
      <c r="D3" s="45"/>
      <c r="E3" s="45"/>
      <c r="F3" s="45"/>
      <c r="G3" s="45"/>
      <c r="H3" s="45"/>
      <c r="I3" s="45"/>
      <c r="J3" s="45"/>
      <c r="K3" s="45"/>
    </row>
    <row r="4" spans="1:11" x14ac:dyDescent="0.25">
      <c r="A4" s="45">
        <v>3</v>
      </c>
      <c r="B4" s="45" t="s">
        <v>204</v>
      </c>
      <c r="C4" s="45"/>
      <c r="D4" s="45"/>
      <c r="E4" s="45"/>
      <c r="F4" s="45"/>
      <c r="G4" s="45"/>
      <c r="H4" s="45"/>
      <c r="I4" s="45"/>
      <c r="J4" s="45"/>
      <c r="K4" s="45"/>
    </row>
    <row r="5" spans="1:11" x14ac:dyDescent="0.25">
      <c r="A5" s="45">
        <v>4</v>
      </c>
      <c r="B5" s="45" t="s">
        <v>205</v>
      </c>
      <c r="C5" s="45"/>
      <c r="D5" s="45"/>
      <c r="E5" s="45"/>
      <c r="F5" s="45"/>
      <c r="G5" s="45"/>
      <c r="H5" s="45"/>
      <c r="I5" s="45"/>
      <c r="J5" s="45"/>
      <c r="K5" s="45"/>
    </row>
    <row r="6" spans="1:11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</row>
    <row r="8" spans="1:11" x14ac:dyDescent="0.25">
      <c r="A8" t="s">
        <v>181</v>
      </c>
      <c r="B8" t="s">
        <v>207</v>
      </c>
      <c r="C8" t="s">
        <v>208</v>
      </c>
      <c r="D8" t="s">
        <v>209</v>
      </c>
    </row>
    <row r="9" spans="1:11" x14ac:dyDescent="0.25">
      <c r="A9" t="s">
        <v>210</v>
      </c>
      <c r="B9" t="s">
        <v>211</v>
      </c>
      <c r="C9" t="s">
        <v>212</v>
      </c>
      <c r="D9" t="s">
        <v>213</v>
      </c>
      <c r="E9">
        <v>4</v>
      </c>
      <c r="F9" s="43">
        <v>0.64333333333333331</v>
      </c>
      <c r="G9" t="s">
        <v>214</v>
      </c>
      <c r="H9">
        <v>2</v>
      </c>
      <c r="I9" t="s">
        <v>215</v>
      </c>
      <c r="J9">
        <v>12</v>
      </c>
    </row>
    <row r="10" spans="1:11" x14ac:dyDescent="0.25">
      <c r="A10" t="s">
        <v>216</v>
      </c>
    </row>
    <row r="11" spans="1:11" x14ac:dyDescent="0.25">
      <c r="B11">
        <v>2</v>
      </c>
      <c r="C11" t="s">
        <v>55</v>
      </c>
      <c r="D11" t="s">
        <v>54</v>
      </c>
      <c r="E11">
        <v>3.3415951050000001</v>
      </c>
    </row>
    <row r="12" spans="1:11" x14ac:dyDescent="0.25">
      <c r="B12">
        <v>30</v>
      </c>
      <c r="C12" t="s">
        <v>66</v>
      </c>
      <c r="D12" t="s">
        <v>54</v>
      </c>
      <c r="E12">
        <v>-2.5112174031630001</v>
      </c>
    </row>
    <row r="13" spans="1:11" x14ac:dyDescent="0.25">
      <c r="B13">
        <v>31</v>
      </c>
      <c r="C13" t="s">
        <v>123</v>
      </c>
      <c r="D13" t="s">
        <v>54</v>
      </c>
      <c r="E13">
        <v>1.166803974</v>
      </c>
      <c r="F13" s="35"/>
    </row>
    <row r="14" spans="1:11" x14ac:dyDescent="0.25">
      <c r="B14">
        <v>32</v>
      </c>
      <c r="C14" t="s">
        <v>124</v>
      </c>
      <c r="D14" t="s">
        <v>54</v>
      </c>
      <c r="E14">
        <v>0.48228420700000002</v>
      </c>
      <c r="F14" s="35"/>
    </row>
    <row r="15" spans="1:11" x14ac:dyDescent="0.25">
      <c r="B15">
        <v>33</v>
      </c>
      <c r="C15" t="s">
        <v>125</v>
      </c>
      <c r="D15" t="s">
        <v>54</v>
      </c>
      <c r="E15" s="35">
        <v>7.7733427999999993E-2</v>
      </c>
    </row>
    <row r="16" spans="1:11" x14ac:dyDescent="0.25">
      <c r="B16">
        <v>36</v>
      </c>
      <c r="C16" t="s">
        <v>247</v>
      </c>
      <c r="D16" t="s">
        <v>54</v>
      </c>
      <c r="E16">
        <v>1.4574897382180001</v>
      </c>
    </row>
    <row r="17" spans="2:6" x14ac:dyDescent="0.25">
      <c r="B17">
        <v>37</v>
      </c>
      <c r="C17" t="s">
        <v>248</v>
      </c>
      <c r="D17" t="s">
        <v>54</v>
      </c>
      <c r="E17">
        <v>-0.271572152663</v>
      </c>
    </row>
    <row r="18" spans="2:6" x14ac:dyDescent="0.25">
      <c r="B18">
        <v>40</v>
      </c>
      <c r="C18" t="s">
        <v>69</v>
      </c>
      <c r="D18" t="s">
        <v>54</v>
      </c>
      <c r="E18" s="35">
        <v>-1.6429440483269999</v>
      </c>
    </row>
    <row r="19" spans="2:6" x14ac:dyDescent="0.25">
      <c r="B19">
        <v>41</v>
      </c>
      <c r="C19" t="s">
        <v>70</v>
      </c>
      <c r="D19" t="s">
        <v>63</v>
      </c>
      <c r="E19">
        <v>-6.1146910156400001</v>
      </c>
    </row>
    <row r="20" spans="2:6" x14ac:dyDescent="0.25">
      <c r="B20">
        <v>42</v>
      </c>
      <c r="C20" t="s">
        <v>126</v>
      </c>
      <c r="D20" t="s">
        <v>54</v>
      </c>
      <c r="E20" s="35">
        <v>0.121738261781</v>
      </c>
    </row>
    <row r="21" spans="2:6" x14ac:dyDescent="0.25">
      <c r="B21">
        <v>50</v>
      </c>
      <c r="C21" t="s">
        <v>74</v>
      </c>
      <c r="D21" t="s">
        <v>63</v>
      </c>
      <c r="E21">
        <v>-9.42291722515</v>
      </c>
    </row>
    <row r="22" spans="2:6" x14ac:dyDescent="0.25">
      <c r="B22">
        <v>52</v>
      </c>
      <c r="C22" t="s">
        <v>75</v>
      </c>
      <c r="D22" t="s">
        <v>54</v>
      </c>
      <c r="E22" s="35">
        <v>-1.2907770727600001</v>
      </c>
      <c r="F22" s="35"/>
    </row>
    <row r="23" spans="2:6" x14ac:dyDescent="0.25">
      <c r="B23">
        <v>60</v>
      </c>
      <c r="C23" t="s">
        <v>79</v>
      </c>
      <c r="D23" t="s">
        <v>63</v>
      </c>
      <c r="E23">
        <v>-15</v>
      </c>
    </row>
    <row r="24" spans="2:6" x14ac:dyDescent="0.25">
      <c r="B24">
        <v>67</v>
      </c>
      <c r="C24" t="s">
        <v>249</v>
      </c>
      <c r="D24" t="s">
        <v>54</v>
      </c>
      <c r="E24" s="35">
        <v>0</v>
      </c>
    </row>
    <row r="25" spans="2:6" x14ac:dyDescent="0.25">
      <c r="B25">
        <v>68</v>
      </c>
      <c r="C25" t="s">
        <v>250</v>
      </c>
      <c r="D25" t="s">
        <v>54</v>
      </c>
      <c r="E25">
        <v>0</v>
      </c>
    </row>
    <row r="26" spans="2:6" x14ac:dyDescent="0.25">
      <c r="B26">
        <v>70</v>
      </c>
      <c r="C26" t="s">
        <v>251</v>
      </c>
      <c r="D26" t="s">
        <v>54</v>
      </c>
      <c r="E26">
        <v>-7.2110841533E-2</v>
      </c>
      <c r="F26" s="35"/>
    </row>
    <row r="27" spans="2:6" x14ac:dyDescent="0.25">
      <c r="B27">
        <v>73</v>
      </c>
      <c r="C27" s="35" t="s">
        <v>128</v>
      </c>
      <c r="D27" s="35" t="s">
        <v>54</v>
      </c>
      <c r="E27" s="35">
        <v>-2.3805019629999999</v>
      </c>
    </row>
    <row r="28" spans="2:6" x14ac:dyDescent="0.25">
      <c r="B28">
        <v>76</v>
      </c>
      <c r="C28" s="35" t="s">
        <v>129</v>
      </c>
      <c r="D28" s="35" t="s">
        <v>54</v>
      </c>
      <c r="E28" s="35">
        <v>1.5103600000000001E-3</v>
      </c>
      <c r="F28" s="35"/>
    </row>
    <row r="29" spans="2:6" x14ac:dyDescent="0.25">
      <c r="B29">
        <v>77</v>
      </c>
      <c r="C29" t="s">
        <v>252</v>
      </c>
      <c r="D29" t="s">
        <v>54</v>
      </c>
      <c r="E29">
        <v>1.2149093918210001</v>
      </c>
    </row>
    <row r="30" spans="2:6" x14ac:dyDescent="0.25">
      <c r="B30">
        <v>78</v>
      </c>
      <c r="C30" t="s">
        <v>253</v>
      </c>
      <c r="D30" t="s">
        <v>54</v>
      </c>
      <c r="E30">
        <v>1.650016479871</v>
      </c>
    </row>
    <row r="31" spans="2:6" x14ac:dyDescent="0.25">
      <c r="B31">
        <v>81</v>
      </c>
      <c r="C31" t="s">
        <v>130</v>
      </c>
      <c r="D31" t="s">
        <v>54</v>
      </c>
      <c r="E31">
        <v>0.91500335799999999</v>
      </c>
    </row>
    <row r="32" spans="2:6" x14ac:dyDescent="0.25">
      <c r="B32">
        <v>82</v>
      </c>
      <c r="C32" t="s">
        <v>131</v>
      </c>
      <c r="D32" t="s">
        <v>54</v>
      </c>
      <c r="E32" s="35">
        <v>-2.7232830999999999E-2</v>
      </c>
    </row>
    <row r="33" spans="2:11" x14ac:dyDescent="0.25">
      <c r="B33">
        <v>83</v>
      </c>
      <c r="C33" t="s">
        <v>132</v>
      </c>
      <c r="D33" t="s">
        <v>54</v>
      </c>
      <c r="E33">
        <v>-1.4154841929999999</v>
      </c>
    </row>
    <row r="34" spans="2:11" x14ac:dyDescent="0.25">
      <c r="B34">
        <v>-1</v>
      </c>
    </row>
    <row r="35" spans="2:11" x14ac:dyDescent="0.25">
      <c r="B35">
        <v>1432</v>
      </c>
      <c r="C35" s="35">
        <v>-1248.0425607699999</v>
      </c>
      <c r="D35" s="35">
        <v>-2225.6358047399999</v>
      </c>
      <c r="E35" s="35">
        <v>-1113.99388909</v>
      </c>
    </row>
    <row r="36" spans="2:11" x14ac:dyDescent="0.25">
      <c r="B36">
        <v>8</v>
      </c>
      <c r="C36" t="s">
        <v>263</v>
      </c>
      <c r="D36" t="s">
        <v>214</v>
      </c>
      <c r="E36">
        <v>2</v>
      </c>
      <c r="F36" t="s">
        <v>215</v>
      </c>
      <c r="G36">
        <v>12</v>
      </c>
    </row>
    <row r="37" spans="2:11" x14ac:dyDescent="0.25">
      <c r="B37">
        <v>13152</v>
      </c>
      <c r="C37">
        <v>1048</v>
      </c>
      <c r="D37">
        <v>-4458</v>
      </c>
      <c r="E37">
        <v>4709</v>
      </c>
      <c r="F37">
        <v>-6639</v>
      </c>
      <c r="G37">
        <v>-3707</v>
      </c>
      <c r="H37">
        <v>1760</v>
      </c>
      <c r="I37">
        <v>-6584</v>
      </c>
      <c r="J37">
        <v>13307</v>
      </c>
      <c r="K37">
        <v>-2743</v>
      </c>
    </row>
    <row r="38" spans="2:11" x14ac:dyDescent="0.25">
      <c r="B38">
        <v>14855</v>
      </c>
      <c r="C38">
        <v>95729</v>
      </c>
      <c r="D38">
        <v>4263</v>
      </c>
      <c r="E38">
        <v>10498</v>
      </c>
      <c r="F38">
        <v>-1616</v>
      </c>
      <c r="G38">
        <v>0</v>
      </c>
      <c r="H38">
        <v>0</v>
      </c>
      <c r="I38">
        <v>0</v>
      </c>
      <c r="J38">
        <v>0</v>
      </c>
      <c r="K38">
        <v>0</v>
      </c>
    </row>
    <row r="39" spans="2:11" x14ac:dyDescent="0.25">
      <c r="B39">
        <v>0</v>
      </c>
      <c r="C39">
        <v>1334</v>
      </c>
      <c r="D39">
        <v>-594</v>
      </c>
      <c r="E39">
        <v>-428</v>
      </c>
      <c r="F39">
        <v>-8083</v>
      </c>
      <c r="G39">
        <v>35744</v>
      </c>
      <c r="H39">
        <v>-11111</v>
      </c>
      <c r="I39">
        <v>0</v>
      </c>
      <c r="J39">
        <v>0</v>
      </c>
      <c r="K39">
        <v>0</v>
      </c>
    </row>
    <row r="40" spans="2:11" x14ac:dyDescent="0.25"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</row>
    <row r="41" spans="2:11" x14ac:dyDescent="0.25">
      <c r="B41">
        <v>0</v>
      </c>
      <c r="C41">
        <v>0</v>
      </c>
      <c r="D41">
        <v>0</v>
      </c>
      <c r="E41">
        <v>0</v>
      </c>
      <c r="F41">
        <v>0</v>
      </c>
      <c r="G41">
        <v>10476</v>
      </c>
      <c r="H41">
        <v>23391</v>
      </c>
      <c r="I41">
        <v>731</v>
      </c>
      <c r="J41">
        <v>2316</v>
      </c>
      <c r="K41">
        <v>-668</v>
      </c>
    </row>
    <row r="42" spans="2:11" x14ac:dyDescent="0.25">
      <c r="B42">
        <v>24118</v>
      </c>
      <c r="C42">
        <v>0</v>
      </c>
      <c r="D42">
        <v>-2217</v>
      </c>
      <c r="E42">
        <v>0</v>
      </c>
      <c r="F42">
        <v>0</v>
      </c>
      <c r="G42">
        <v>28220</v>
      </c>
      <c r="H42">
        <v>52674</v>
      </c>
      <c r="I42">
        <v>-23</v>
      </c>
      <c r="J42">
        <v>314</v>
      </c>
      <c r="K42">
        <v>503</v>
      </c>
    </row>
    <row r="43" spans="2:11" x14ac:dyDescent="0.25">
      <c r="B43">
        <v>52615</v>
      </c>
      <c r="C43">
        <v>0</v>
      </c>
      <c r="D43">
        <v>2357</v>
      </c>
      <c r="E43">
        <v>0</v>
      </c>
      <c r="F43">
        <v>0</v>
      </c>
      <c r="G43">
        <v>-8776</v>
      </c>
      <c r="H43">
        <v>17406</v>
      </c>
      <c r="I43">
        <v>22412</v>
      </c>
      <c r="J43">
        <v>34636</v>
      </c>
      <c r="K43">
        <v>-42</v>
      </c>
    </row>
    <row r="44" spans="2:11" x14ac:dyDescent="0.25">
      <c r="B44">
        <v>2587</v>
      </c>
      <c r="C44">
        <v>24724</v>
      </c>
      <c r="D44">
        <v>0</v>
      </c>
      <c r="E44">
        <v>-614</v>
      </c>
      <c r="F44">
        <v>0</v>
      </c>
      <c r="G44">
        <v>0</v>
      </c>
      <c r="H44">
        <v>17241</v>
      </c>
      <c r="I44">
        <v>-14877</v>
      </c>
      <c r="J44">
        <v>18352</v>
      </c>
      <c r="K44">
        <v>41749</v>
      </c>
    </row>
    <row r="45" spans="2:11" x14ac:dyDescent="0.25">
      <c r="B45">
        <v>-696</v>
      </c>
      <c r="C45">
        <v>27795</v>
      </c>
      <c r="D45">
        <v>-3478</v>
      </c>
      <c r="E45">
        <v>46031</v>
      </c>
      <c r="F45">
        <v>0</v>
      </c>
      <c r="G45">
        <v>-5552</v>
      </c>
      <c r="H45">
        <v>0</v>
      </c>
      <c r="I45">
        <v>0</v>
      </c>
      <c r="J45">
        <v>24109</v>
      </c>
      <c r="K45">
        <v>-13978</v>
      </c>
    </row>
    <row r="46" spans="2:11" x14ac:dyDescent="0.25">
      <c r="B46">
        <v>3611</v>
      </c>
      <c r="C46">
        <v>11065</v>
      </c>
      <c r="D46">
        <v>19010</v>
      </c>
      <c r="E46">
        <v>1713</v>
      </c>
      <c r="F46">
        <v>-1438</v>
      </c>
      <c r="G46">
        <v>14571</v>
      </c>
      <c r="H46">
        <v>19035</v>
      </c>
      <c r="I46">
        <v>0</v>
      </c>
      <c r="J46">
        <v>9437</v>
      </c>
      <c r="K46">
        <v>0</v>
      </c>
    </row>
    <row r="47" spans="2:11" x14ac:dyDescent="0.25">
      <c r="B47">
        <v>0</v>
      </c>
      <c r="C47">
        <v>6240</v>
      </c>
      <c r="D47">
        <v>5269</v>
      </c>
      <c r="E47">
        <v>15768</v>
      </c>
      <c r="F47">
        <v>-2667</v>
      </c>
    </row>
  </sheetData>
  <pageMargins bottom="0.75" footer="0.3" header="0.3" left="0.7" right="0.7" top="0.75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166"/>
  <sheetViews>
    <sheetView workbookViewId="0">
      <selection activeCell="A8" sqref="A8:K166"/>
    </sheetView>
  </sheetViews>
  <sheetFormatPr defaultRowHeight="15" x14ac:dyDescent="0.25"/>
  <sheetData>
    <row r="1" spans="1:11" x14ac:dyDescent="0.25">
      <c r="A1" s="48" t="s">
        <v>201</v>
      </c>
      <c r="B1" s="45"/>
      <c r="C1" s="45"/>
      <c r="D1" s="45"/>
      <c r="E1" s="45"/>
      <c r="F1" s="45"/>
      <c r="G1" s="45"/>
      <c r="H1" s="45" t="s">
        <v>202</v>
      </c>
      <c r="I1" s="45"/>
      <c r="J1" s="45"/>
      <c r="K1" s="45"/>
    </row>
    <row r="2" spans="1:11" x14ac:dyDescent="0.25">
      <c r="A2" s="45">
        <v>1</v>
      </c>
      <c r="B2" s="45" t="s">
        <v>296</v>
      </c>
      <c r="C2" s="45"/>
      <c r="D2" s="45"/>
      <c r="E2" s="45"/>
      <c r="F2" s="45"/>
      <c r="G2" s="45"/>
      <c r="H2" s="45"/>
      <c r="I2" s="45"/>
      <c r="J2" s="45"/>
      <c r="K2" s="45"/>
    </row>
    <row r="3" spans="1:11" x14ac:dyDescent="0.25">
      <c r="A3" s="45">
        <v>2</v>
      </c>
      <c r="B3" s="45" t="s">
        <v>203</v>
      </c>
      <c r="C3" s="45"/>
      <c r="D3" s="45"/>
      <c r="E3" s="45"/>
      <c r="F3" s="45"/>
      <c r="G3" s="45"/>
      <c r="H3" s="45"/>
      <c r="I3" s="45"/>
      <c r="J3" s="45"/>
      <c r="K3" s="45"/>
    </row>
    <row r="4" spans="1:11" x14ac:dyDescent="0.25">
      <c r="A4" s="45">
        <v>3</v>
      </c>
      <c r="B4" s="45" t="s">
        <v>204</v>
      </c>
      <c r="C4" s="45"/>
      <c r="D4" s="45"/>
      <c r="E4" s="45"/>
      <c r="F4" s="45"/>
      <c r="G4" s="45"/>
      <c r="H4" s="45"/>
      <c r="I4" s="45"/>
      <c r="J4" s="45"/>
      <c r="K4" s="45"/>
    </row>
    <row r="5" spans="1:11" x14ac:dyDescent="0.25">
      <c r="A5" s="45">
        <v>4</v>
      </c>
      <c r="B5" s="45" t="s">
        <v>205</v>
      </c>
      <c r="C5" s="45"/>
      <c r="D5" s="45"/>
      <c r="E5" s="45"/>
      <c r="F5" s="45"/>
      <c r="G5" s="45"/>
      <c r="H5" s="45"/>
      <c r="I5" s="45"/>
      <c r="J5" s="45"/>
      <c r="K5" s="45"/>
    </row>
    <row r="6" spans="1:11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</row>
    <row r="8" spans="1:11" x14ac:dyDescent="0.25">
      <c r="A8" t="s">
        <v>182</v>
      </c>
      <c r="B8" t="s">
        <v>218</v>
      </c>
      <c r="C8" t="s">
        <v>207</v>
      </c>
      <c r="D8" t="s">
        <v>208</v>
      </c>
      <c r="E8" t="s">
        <v>209</v>
      </c>
    </row>
    <row r="9" spans="1:11" x14ac:dyDescent="0.25">
      <c r="A9" t="s">
        <v>210</v>
      </c>
      <c r="B9" t="s">
        <v>211</v>
      </c>
      <c r="C9" t="s">
        <v>212</v>
      </c>
      <c r="D9" t="s">
        <v>213</v>
      </c>
      <c r="E9">
        <v>4</v>
      </c>
      <c r="F9" s="43">
        <v>0.64185185185185178</v>
      </c>
      <c r="G9" t="s">
        <v>214</v>
      </c>
      <c r="H9">
        <v>2</v>
      </c>
      <c r="I9" t="s">
        <v>215</v>
      </c>
      <c r="J9">
        <v>12</v>
      </c>
    </row>
    <row r="10" spans="1:11" x14ac:dyDescent="0.25">
      <c r="A10" t="s">
        <v>216</v>
      </c>
    </row>
    <row r="11" spans="1:11" x14ac:dyDescent="0.25">
      <c r="B11">
        <v>1</v>
      </c>
      <c r="C11" t="s">
        <v>53</v>
      </c>
      <c r="D11" t="s">
        <v>54</v>
      </c>
      <c r="E11">
        <v>0.37910550300000001</v>
      </c>
      <c r="F11" s="35"/>
    </row>
    <row r="12" spans="1:11" x14ac:dyDescent="0.25">
      <c r="B12">
        <v>2</v>
      </c>
      <c r="C12" t="s">
        <v>55</v>
      </c>
      <c r="D12" t="s">
        <v>54</v>
      </c>
      <c r="E12">
        <v>2.0186908849999998</v>
      </c>
      <c r="F12" s="35"/>
    </row>
    <row r="13" spans="1:11" x14ac:dyDescent="0.25">
      <c r="B13">
        <v>20</v>
      </c>
      <c r="C13" t="s">
        <v>59</v>
      </c>
      <c r="D13" t="s">
        <v>54</v>
      </c>
      <c r="E13">
        <v>-6.9987311616990002</v>
      </c>
    </row>
    <row r="14" spans="1:11" x14ac:dyDescent="0.25">
      <c r="B14">
        <v>21</v>
      </c>
      <c r="C14" t="s">
        <v>60</v>
      </c>
      <c r="D14" t="s">
        <v>54</v>
      </c>
      <c r="E14">
        <v>4.28413294936</v>
      </c>
    </row>
    <row r="15" spans="1:11" x14ac:dyDescent="0.25">
      <c r="B15">
        <v>22</v>
      </c>
      <c r="C15" t="s">
        <v>61</v>
      </c>
      <c r="D15" t="s">
        <v>54</v>
      </c>
      <c r="E15">
        <v>8.4805857060999995E-2</v>
      </c>
    </row>
    <row r="16" spans="1:11" x14ac:dyDescent="0.25">
      <c r="B16">
        <v>30</v>
      </c>
      <c r="C16" t="s">
        <v>66</v>
      </c>
      <c r="D16" t="s">
        <v>54</v>
      </c>
      <c r="E16">
        <v>-3.4435911421090002</v>
      </c>
      <c r="F16" s="35"/>
    </row>
    <row r="17" spans="2:6" x14ac:dyDescent="0.25">
      <c r="B17">
        <v>31</v>
      </c>
      <c r="C17" t="s">
        <v>142</v>
      </c>
      <c r="D17" t="s">
        <v>54</v>
      </c>
      <c r="E17">
        <v>0.59818794900000005</v>
      </c>
      <c r="F17" s="35"/>
    </row>
    <row r="18" spans="2:6" x14ac:dyDescent="0.25">
      <c r="B18">
        <v>32</v>
      </c>
      <c r="C18" t="s">
        <v>143</v>
      </c>
      <c r="D18" t="s">
        <v>54</v>
      </c>
      <c r="E18">
        <v>0.12634611800000001</v>
      </c>
      <c r="F18" s="35"/>
    </row>
    <row r="19" spans="2:6" x14ac:dyDescent="0.25">
      <c r="B19">
        <v>34</v>
      </c>
      <c r="C19" t="s">
        <v>160</v>
      </c>
      <c r="D19" t="s">
        <v>54</v>
      </c>
      <c r="E19">
        <v>0.18245742700000001</v>
      </c>
      <c r="F19" s="35"/>
    </row>
    <row r="20" spans="2:6" x14ac:dyDescent="0.25">
      <c r="B20">
        <v>35</v>
      </c>
      <c r="C20" t="s">
        <v>144</v>
      </c>
      <c r="D20" t="s">
        <v>54</v>
      </c>
      <c r="E20">
        <v>0.225107115</v>
      </c>
      <c r="F20" s="35"/>
    </row>
    <row r="21" spans="2:6" x14ac:dyDescent="0.25">
      <c r="B21">
        <v>36</v>
      </c>
      <c r="C21" t="s">
        <v>247</v>
      </c>
      <c r="D21" t="s">
        <v>54</v>
      </c>
      <c r="E21">
        <v>-0.25563032823999998</v>
      </c>
    </row>
    <row r="22" spans="2:6" x14ac:dyDescent="0.25">
      <c r="B22">
        <v>37</v>
      </c>
      <c r="C22" t="s">
        <v>318</v>
      </c>
      <c r="D22" t="s">
        <v>54</v>
      </c>
      <c r="E22">
        <v>-2.1027532788780001</v>
      </c>
    </row>
    <row r="23" spans="2:6" x14ac:dyDescent="0.25">
      <c r="B23">
        <v>38</v>
      </c>
      <c r="C23" t="s">
        <v>145</v>
      </c>
      <c r="D23" t="s">
        <v>54</v>
      </c>
      <c r="E23">
        <v>-3.644945651</v>
      </c>
    </row>
    <row r="24" spans="2:6" x14ac:dyDescent="0.25">
      <c r="B24">
        <v>39</v>
      </c>
      <c r="C24" t="s">
        <v>67</v>
      </c>
      <c r="D24" t="s">
        <v>54</v>
      </c>
      <c r="E24" s="35">
        <v>-2.0456438239999999</v>
      </c>
    </row>
    <row r="25" spans="2:6" x14ac:dyDescent="0.25">
      <c r="B25">
        <v>40</v>
      </c>
      <c r="C25" t="s">
        <v>69</v>
      </c>
      <c r="D25" t="s">
        <v>54</v>
      </c>
      <c r="E25">
        <v>-3.5042557326249999</v>
      </c>
    </row>
    <row r="26" spans="2:6" x14ac:dyDescent="0.25">
      <c r="B26">
        <v>41</v>
      </c>
      <c r="C26" t="s">
        <v>70</v>
      </c>
      <c r="D26" t="s">
        <v>54</v>
      </c>
      <c r="E26">
        <v>-1.2019776677280001</v>
      </c>
    </row>
    <row r="27" spans="2:6" x14ac:dyDescent="0.25">
      <c r="B27">
        <v>43</v>
      </c>
      <c r="C27" t="s">
        <v>161</v>
      </c>
      <c r="D27" t="s">
        <v>54</v>
      </c>
      <c r="E27">
        <v>-0.23165764769700001</v>
      </c>
      <c r="F27" s="35"/>
    </row>
    <row r="28" spans="2:6" x14ac:dyDescent="0.25">
      <c r="B28">
        <v>48</v>
      </c>
      <c r="C28" t="s">
        <v>68</v>
      </c>
      <c r="D28" t="s">
        <v>54</v>
      </c>
      <c r="E28" s="35">
        <v>-2.1236838850000002</v>
      </c>
    </row>
    <row r="29" spans="2:6" x14ac:dyDescent="0.25">
      <c r="B29">
        <v>50</v>
      </c>
      <c r="C29" t="s">
        <v>74</v>
      </c>
      <c r="D29" t="s">
        <v>54</v>
      </c>
      <c r="E29">
        <v>-1.7357729912290001</v>
      </c>
    </row>
    <row r="30" spans="2:6" x14ac:dyDescent="0.25">
      <c r="B30">
        <v>52</v>
      </c>
      <c r="C30" t="s">
        <v>75</v>
      </c>
      <c r="D30" t="s">
        <v>54</v>
      </c>
      <c r="E30">
        <v>-0.64206868482799995</v>
      </c>
    </row>
    <row r="31" spans="2:6" x14ac:dyDescent="0.25">
      <c r="B31">
        <v>54</v>
      </c>
      <c r="C31" t="s">
        <v>162</v>
      </c>
      <c r="D31" t="s">
        <v>54</v>
      </c>
      <c r="E31">
        <v>0.114530954</v>
      </c>
    </row>
    <row r="32" spans="2:6" x14ac:dyDescent="0.25">
      <c r="B32">
        <v>60</v>
      </c>
      <c r="C32" t="s">
        <v>79</v>
      </c>
      <c r="D32" t="s">
        <v>54</v>
      </c>
      <c r="E32" s="35">
        <v>-7.5193251396859999</v>
      </c>
      <c r="F32" s="35"/>
    </row>
    <row r="33" spans="2:6" x14ac:dyDescent="0.25">
      <c r="B33">
        <v>61</v>
      </c>
      <c r="C33" t="s">
        <v>80</v>
      </c>
      <c r="D33" t="s">
        <v>54</v>
      </c>
      <c r="E33">
        <v>1.0360071209999999</v>
      </c>
    </row>
    <row r="34" spans="2:6" x14ac:dyDescent="0.25">
      <c r="B34">
        <v>63</v>
      </c>
      <c r="C34" t="s">
        <v>147</v>
      </c>
      <c r="D34" t="s">
        <v>54</v>
      </c>
      <c r="E34">
        <v>-0.76682515699999998</v>
      </c>
    </row>
    <row r="35" spans="2:6" x14ac:dyDescent="0.25">
      <c r="B35">
        <v>67</v>
      </c>
      <c r="C35" t="s">
        <v>249</v>
      </c>
      <c r="D35" t="s">
        <v>54</v>
      </c>
      <c r="E35" s="35">
        <v>-1.2341875453940001</v>
      </c>
      <c r="F35" s="35"/>
    </row>
    <row r="36" spans="2:6" x14ac:dyDescent="0.25">
      <c r="B36">
        <v>68</v>
      </c>
      <c r="C36" t="s">
        <v>250</v>
      </c>
      <c r="D36" t="s">
        <v>54</v>
      </c>
      <c r="E36">
        <v>0.44391216245499998</v>
      </c>
    </row>
    <row r="37" spans="2:6" x14ac:dyDescent="0.25">
      <c r="B37">
        <v>70</v>
      </c>
      <c r="C37" t="s">
        <v>251</v>
      </c>
      <c r="D37" t="s">
        <v>54</v>
      </c>
      <c r="E37">
        <v>0</v>
      </c>
      <c r="F37" s="35"/>
    </row>
    <row r="38" spans="2:6" x14ac:dyDescent="0.25">
      <c r="B38">
        <v>73</v>
      </c>
      <c r="C38" t="s">
        <v>128</v>
      </c>
      <c r="D38" t="s">
        <v>54</v>
      </c>
      <c r="E38">
        <v>-0.36705005200000002</v>
      </c>
    </row>
    <row r="39" spans="2:6" x14ac:dyDescent="0.25">
      <c r="B39">
        <v>77</v>
      </c>
      <c r="C39" t="s">
        <v>252</v>
      </c>
      <c r="D39" t="s">
        <v>54</v>
      </c>
      <c r="E39">
        <v>1.3681286549630001</v>
      </c>
      <c r="F39" s="35"/>
    </row>
    <row r="40" spans="2:6" x14ac:dyDescent="0.25">
      <c r="B40">
        <v>78</v>
      </c>
      <c r="C40" t="s">
        <v>253</v>
      </c>
      <c r="D40" t="s">
        <v>54</v>
      </c>
      <c r="E40" s="35">
        <v>0.72433533718200005</v>
      </c>
      <c r="F40" s="35"/>
    </row>
    <row r="41" spans="2:6" x14ac:dyDescent="0.25">
      <c r="B41">
        <v>120</v>
      </c>
      <c r="C41" t="s">
        <v>163</v>
      </c>
      <c r="D41" t="s">
        <v>54</v>
      </c>
      <c r="E41">
        <v>-1.373931861</v>
      </c>
    </row>
    <row r="42" spans="2:6" x14ac:dyDescent="0.25">
      <c r="B42">
        <v>124</v>
      </c>
      <c r="C42" t="s">
        <v>149</v>
      </c>
      <c r="D42" t="s">
        <v>54</v>
      </c>
      <c r="E42">
        <v>1.9854496230000001</v>
      </c>
      <c r="F42" s="35"/>
    </row>
    <row r="43" spans="2:6" x14ac:dyDescent="0.25">
      <c r="B43">
        <v>128</v>
      </c>
      <c r="C43" t="s">
        <v>151</v>
      </c>
      <c r="D43" t="s">
        <v>54</v>
      </c>
      <c r="E43" s="35">
        <v>1.5630799999999999E-4</v>
      </c>
      <c r="F43" s="35"/>
    </row>
    <row r="44" spans="2:6" x14ac:dyDescent="0.25">
      <c r="B44">
        <v>131</v>
      </c>
      <c r="C44" t="s">
        <v>85</v>
      </c>
      <c r="D44" t="s">
        <v>54</v>
      </c>
      <c r="E44">
        <v>-0.48853505699999999</v>
      </c>
    </row>
    <row r="45" spans="2:6" x14ac:dyDescent="0.25">
      <c r="B45">
        <v>132</v>
      </c>
      <c r="C45" t="s">
        <v>86</v>
      </c>
      <c r="D45" t="s">
        <v>54</v>
      </c>
      <c r="E45">
        <v>0.231801804</v>
      </c>
    </row>
    <row r="46" spans="2:6" x14ac:dyDescent="0.25">
      <c r="B46">
        <v>133</v>
      </c>
      <c r="C46" t="s">
        <v>87</v>
      </c>
      <c r="D46" t="s">
        <v>54</v>
      </c>
      <c r="E46">
        <v>-0.44898267400000003</v>
      </c>
    </row>
    <row r="47" spans="2:6" x14ac:dyDescent="0.25">
      <c r="B47">
        <v>134</v>
      </c>
      <c r="C47" t="s">
        <v>88</v>
      </c>
      <c r="D47" t="s">
        <v>54</v>
      </c>
      <c r="E47">
        <v>0.33715357200000001</v>
      </c>
    </row>
    <row r="48" spans="2:6" x14ac:dyDescent="0.25">
      <c r="B48">
        <v>136</v>
      </c>
      <c r="C48" t="s">
        <v>164</v>
      </c>
      <c r="D48" t="s">
        <v>54</v>
      </c>
      <c r="E48" s="35">
        <v>7.2810588999999995E-2</v>
      </c>
      <c r="F48" s="35"/>
    </row>
    <row r="49" spans="2:6" x14ac:dyDescent="0.25">
      <c r="B49">
        <v>137</v>
      </c>
      <c r="C49" t="s">
        <v>165</v>
      </c>
      <c r="D49" t="s">
        <v>54</v>
      </c>
      <c r="E49" s="35">
        <v>2.1739211389999999</v>
      </c>
      <c r="F49" s="35"/>
    </row>
    <row r="50" spans="2:6" x14ac:dyDescent="0.25">
      <c r="B50">
        <v>138</v>
      </c>
      <c r="C50" t="s">
        <v>166</v>
      </c>
      <c r="D50" t="s">
        <v>54</v>
      </c>
      <c r="E50">
        <v>0.54895052200000005</v>
      </c>
    </row>
    <row r="51" spans="2:6" x14ac:dyDescent="0.25">
      <c r="B51">
        <v>160</v>
      </c>
      <c r="C51" t="s">
        <v>167</v>
      </c>
      <c r="D51" t="s">
        <v>54</v>
      </c>
      <c r="E51">
        <v>0.97577037600000005</v>
      </c>
    </row>
    <row r="52" spans="2:6" x14ac:dyDescent="0.25">
      <c r="B52">
        <v>161</v>
      </c>
      <c r="C52" t="s">
        <v>89</v>
      </c>
      <c r="D52" t="s">
        <v>54</v>
      </c>
      <c r="E52">
        <v>0.73068915300000004</v>
      </c>
    </row>
    <row r="53" spans="2:6" x14ac:dyDescent="0.25">
      <c r="B53">
        <v>162</v>
      </c>
      <c r="C53" t="s">
        <v>90</v>
      </c>
      <c r="D53" t="s">
        <v>54</v>
      </c>
      <c r="E53" s="35">
        <v>0.91913294499999998</v>
      </c>
      <c r="F53" s="35"/>
    </row>
    <row r="54" spans="2:6" x14ac:dyDescent="0.25">
      <c r="B54">
        <v>163</v>
      </c>
      <c r="C54" t="s">
        <v>91</v>
      </c>
      <c r="D54" t="s">
        <v>54</v>
      </c>
      <c r="E54" s="35">
        <v>-0.88337105100000002</v>
      </c>
      <c r="F54" s="35"/>
    </row>
    <row r="55" spans="2:6" x14ac:dyDescent="0.25">
      <c r="B55">
        <v>164</v>
      </c>
      <c r="C55" t="s">
        <v>92</v>
      </c>
      <c r="D55" t="s">
        <v>54</v>
      </c>
      <c r="E55">
        <v>2.868961434</v>
      </c>
      <c r="F55" s="35"/>
    </row>
    <row r="56" spans="2:6" x14ac:dyDescent="0.25">
      <c r="B56">
        <v>165</v>
      </c>
      <c r="C56" t="s">
        <v>168</v>
      </c>
      <c r="D56" t="s">
        <v>54</v>
      </c>
      <c r="E56" s="35">
        <v>8.0969099999999997E-4</v>
      </c>
      <c r="F56" s="35"/>
    </row>
    <row r="57" spans="2:6" x14ac:dyDescent="0.25">
      <c r="B57">
        <v>168</v>
      </c>
      <c r="C57" s="35" t="s">
        <v>93</v>
      </c>
      <c r="D57" s="35" t="s">
        <v>54</v>
      </c>
      <c r="E57" s="35">
        <v>5.64362E-5</v>
      </c>
      <c r="F57" s="35"/>
    </row>
    <row r="58" spans="2:6" x14ac:dyDescent="0.25">
      <c r="B58">
        <v>169</v>
      </c>
      <c r="C58" t="s">
        <v>94</v>
      </c>
      <c r="D58" t="s">
        <v>54</v>
      </c>
      <c r="E58">
        <v>1.043010376</v>
      </c>
    </row>
    <row r="59" spans="2:6" x14ac:dyDescent="0.25">
      <c r="B59">
        <v>171</v>
      </c>
      <c r="C59" t="s">
        <v>169</v>
      </c>
      <c r="D59" t="s">
        <v>54</v>
      </c>
      <c r="E59">
        <v>1.238277402</v>
      </c>
    </row>
    <row r="60" spans="2:6" x14ac:dyDescent="0.25">
      <c r="B60">
        <v>172</v>
      </c>
      <c r="C60" t="s">
        <v>170</v>
      </c>
      <c r="D60" t="s">
        <v>54</v>
      </c>
      <c r="E60">
        <v>1.3528226169999999</v>
      </c>
    </row>
    <row r="61" spans="2:6" x14ac:dyDescent="0.25">
      <c r="B61">
        <v>175</v>
      </c>
      <c r="C61" t="s">
        <v>171</v>
      </c>
      <c r="D61" t="s">
        <v>54</v>
      </c>
      <c r="E61" s="35">
        <v>8.3440800000000002E-4</v>
      </c>
      <c r="F61" s="35"/>
    </row>
    <row r="62" spans="2:6" x14ac:dyDescent="0.25">
      <c r="B62">
        <v>178</v>
      </c>
      <c r="C62" t="s">
        <v>172</v>
      </c>
      <c r="D62" t="s">
        <v>54</v>
      </c>
      <c r="E62" s="35">
        <v>1.08743E-5</v>
      </c>
      <c r="F62" s="35"/>
    </row>
    <row r="63" spans="2:6" x14ac:dyDescent="0.25">
      <c r="B63">
        <v>180</v>
      </c>
      <c r="C63" t="s">
        <v>64</v>
      </c>
      <c r="D63" t="s">
        <v>54</v>
      </c>
      <c r="E63">
        <v>-5.9573940959999998</v>
      </c>
      <c r="F63" s="35"/>
    </row>
    <row r="64" spans="2:6" x14ac:dyDescent="0.25">
      <c r="B64">
        <v>99</v>
      </c>
      <c r="C64" t="s">
        <v>96</v>
      </c>
      <c r="D64" t="s">
        <v>54</v>
      </c>
      <c r="E64">
        <v>0.78390199500000002</v>
      </c>
    </row>
    <row r="65" spans="2:11" x14ac:dyDescent="0.25">
      <c r="B65">
        <v>-1</v>
      </c>
      <c r="C65" s="35"/>
      <c r="D65" s="35"/>
      <c r="E65" s="35"/>
    </row>
    <row r="66" spans="2:11" x14ac:dyDescent="0.25">
      <c r="B66">
        <v>4501</v>
      </c>
      <c r="C66" s="35">
        <v>-5205.9885667899998</v>
      </c>
      <c r="D66" s="35">
        <v>-7395.8115827700003</v>
      </c>
      <c r="E66" s="35">
        <v>-4113.5639558900002</v>
      </c>
      <c r="F66" s="35"/>
    </row>
    <row r="67" spans="2:11" x14ac:dyDescent="0.25">
      <c r="B67">
        <v>14</v>
      </c>
      <c r="C67" t="s">
        <v>265</v>
      </c>
      <c r="D67" t="s">
        <v>214</v>
      </c>
      <c r="E67">
        <v>2</v>
      </c>
      <c r="F67" t="s">
        <v>215</v>
      </c>
      <c r="G67">
        <v>12</v>
      </c>
    </row>
    <row r="68" spans="2:11" x14ac:dyDescent="0.25">
      <c r="B68">
        <v>24458</v>
      </c>
      <c r="C68" s="35">
        <v>-9643</v>
      </c>
      <c r="D68" s="35">
        <v>-17666</v>
      </c>
      <c r="E68" s="35">
        <v>18936</v>
      </c>
      <c r="F68">
        <v>48701</v>
      </c>
      <c r="G68">
        <v>-29728</v>
      </c>
      <c r="H68">
        <v>-8518</v>
      </c>
      <c r="I68">
        <v>-35596</v>
      </c>
      <c r="J68">
        <v>7548</v>
      </c>
      <c r="K68">
        <v>-4608</v>
      </c>
    </row>
    <row r="69" spans="2:11" x14ac:dyDescent="0.25">
      <c r="B69">
        <v>19235</v>
      </c>
      <c r="C69">
        <v>44170</v>
      </c>
      <c r="D69">
        <v>-15060</v>
      </c>
      <c r="E69">
        <v>35331</v>
      </c>
      <c r="F69">
        <v>-13082</v>
      </c>
      <c r="G69">
        <v>16380</v>
      </c>
      <c r="H69">
        <v>33824</v>
      </c>
      <c r="I69">
        <v>-11848</v>
      </c>
      <c r="J69">
        <v>26964</v>
      </c>
      <c r="K69">
        <v>-21248</v>
      </c>
    </row>
    <row r="70" spans="2:11" x14ac:dyDescent="0.25">
      <c r="B70">
        <v>22295</v>
      </c>
      <c r="C70">
        <v>11908</v>
      </c>
      <c r="D70">
        <v>22429</v>
      </c>
      <c r="E70">
        <v>-8405</v>
      </c>
      <c r="F70">
        <v>17315</v>
      </c>
      <c r="G70">
        <v>-19818</v>
      </c>
      <c r="H70">
        <v>20862</v>
      </c>
      <c r="I70">
        <v>32157</v>
      </c>
      <c r="J70">
        <v>20404</v>
      </c>
      <c r="K70">
        <v>26288</v>
      </c>
    </row>
    <row r="71" spans="2:11" x14ac:dyDescent="0.25">
      <c r="B71">
        <v>-14418</v>
      </c>
      <c r="C71">
        <v>34637</v>
      </c>
      <c r="D71">
        <v>-4355</v>
      </c>
      <c r="E71">
        <v>37256</v>
      </c>
      <c r="F71">
        <v>29199</v>
      </c>
      <c r="G71">
        <v>15694</v>
      </c>
      <c r="H71">
        <v>-23185</v>
      </c>
      <c r="I71">
        <v>-54623</v>
      </c>
      <c r="J71">
        <v>18918</v>
      </c>
      <c r="K71">
        <v>-41283</v>
      </c>
    </row>
    <row r="72" spans="2:11" x14ac:dyDescent="0.25">
      <c r="B72">
        <v>3342</v>
      </c>
      <c r="C72">
        <v>-36100</v>
      </c>
      <c r="D72">
        <v>-24893</v>
      </c>
      <c r="E72">
        <v>-15009</v>
      </c>
      <c r="F72">
        <v>-39227</v>
      </c>
      <c r="G72">
        <v>-7677</v>
      </c>
      <c r="H72">
        <v>-14179</v>
      </c>
      <c r="I72">
        <v>4387</v>
      </c>
      <c r="J72">
        <v>-10570</v>
      </c>
      <c r="K72">
        <v>-5485</v>
      </c>
    </row>
    <row r="73" spans="2:11" x14ac:dyDescent="0.25">
      <c r="B73">
        <v>-5644</v>
      </c>
      <c r="C73">
        <v>318</v>
      </c>
      <c r="D73">
        <v>-8489</v>
      </c>
      <c r="E73">
        <v>-9880</v>
      </c>
      <c r="F73">
        <v>19009</v>
      </c>
      <c r="G73">
        <v>-8326</v>
      </c>
      <c r="H73">
        <v>-36871</v>
      </c>
      <c r="I73">
        <v>8115</v>
      </c>
      <c r="J73">
        <v>-5768</v>
      </c>
      <c r="K73">
        <v>98498</v>
      </c>
    </row>
    <row r="74" spans="2:11" x14ac:dyDescent="0.25">
      <c r="B74">
        <v>-13370</v>
      </c>
      <c r="C74">
        <v>-20603</v>
      </c>
      <c r="D74">
        <v>-21268</v>
      </c>
      <c r="E74">
        <v>-5663</v>
      </c>
      <c r="F74">
        <v>6658</v>
      </c>
      <c r="G74">
        <v>2380</v>
      </c>
      <c r="H74">
        <v>-9011</v>
      </c>
      <c r="I74">
        <v>-20682</v>
      </c>
      <c r="J74">
        <v>10460</v>
      </c>
      <c r="K74">
        <v>11608</v>
      </c>
    </row>
    <row r="75" spans="2:11" x14ac:dyDescent="0.25">
      <c r="B75">
        <v>4246</v>
      </c>
      <c r="C75">
        <v>-7944</v>
      </c>
      <c r="D75">
        <v>-7390</v>
      </c>
      <c r="E75">
        <v>-6624</v>
      </c>
      <c r="F75">
        <v>-5780</v>
      </c>
      <c r="G75">
        <v>5598</v>
      </c>
      <c r="H75">
        <v>2697</v>
      </c>
      <c r="I75">
        <v>4371</v>
      </c>
      <c r="J75">
        <v>-3521</v>
      </c>
      <c r="K75">
        <v>-3286</v>
      </c>
    </row>
    <row r="76" spans="2:11" x14ac:dyDescent="0.25">
      <c r="B76">
        <v>176</v>
      </c>
      <c r="C76">
        <v>-2160</v>
      </c>
      <c r="D76">
        <v>-6303</v>
      </c>
      <c r="E76">
        <v>-5262</v>
      </c>
      <c r="F76">
        <v>4838</v>
      </c>
      <c r="G76">
        <v>19312</v>
      </c>
      <c r="H76">
        <v>-233</v>
      </c>
      <c r="I76">
        <v>3380</v>
      </c>
      <c r="J76">
        <v>956</v>
      </c>
      <c r="K76">
        <v>-6282</v>
      </c>
    </row>
    <row r="77" spans="2:11" x14ac:dyDescent="0.25">
      <c r="B77">
        <v>2053</v>
      </c>
      <c r="C77">
        <v>-26735</v>
      </c>
      <c r="D77">
        <v>-64901</v>
      </c>
      <c r="E77">
        <v>22738</v>
      </c>
      <c r="F77">
        <v>-49417</v>
      </c>
      <c r="G77">
        <v>5597</v>
      </c>
      <c r="H77">
        <v>-43916</v>
      </c>
      <c r="I77">
        <v>-31118</v>
      </c>
      <c r="J77">
        <v>-16935</v>
      </c>
      <c r="K77">
        <v>-47003</v>
      </c>
    </row>
    <row r="78" spans="2:11" x14ac:dyDescent="0.25">
      <c r="B78">
        <v>71033</v>
      </c>
      <c r="C78">
        <v>15503</v>
      </c>
      <c r="D78">
        <v>6721</v>
      </c>
      <c r="E78">
        <v>6276</v>
      </c>
      <c r="F78">
        <v>4005</v>
      </c>
      <c r="G78">
        <v>14663</v>
      </c>
      <c r="H78">
        <v>7165</v>
      </c>
      <c r="I78">
        <v>-7382</v>
      </c>
      <c r="J78">
        <v>29234</v>
      </c>
      <c r="K78">
        <v>74211</v>
      </c>
    </row>
    <row r="79" spans="2:11" x14ac:dyDescent="0.25">
      <c r="B79">
        <v>24223</v>
      </c>
      <c r="C79">
        <v>16005</v>
      </c>
      <c r="D79">
        <v>14646</v>
      </c>
      <c r="E79">
        <v>47042</v>
      </c>
      <c r="F79">
        <v>-30850</v>
      </c>
      <c r="G79">
        <v>-7277</v>
      </c>
      <c r="H79">
        <v>73847</v>
      </c>
      <c r="I79">
        <v>-5104</v>
      </c>
      <c r="J79">
        <v>-3309</v>
      </c>
      <c r="K79">
        <v>-37362</v>
      </c>
    </row>
    <row r="80" spans="2:11" x14ac:dyDescent="0.25">
      <c r="B80">
        <v>-24472</v>
      </c>
      <c r="C80">
        <v>-56702</v>
      </c>
      <c r="D80">
        <v>18180</v>
      </c>
      <c r="E80">
        <v>-44454</v>
      </c>
      <c r="F80">
        <v>4836</v>
      </c>
      <c r="G80">
        <v>-42426</v>
      </c>
      <c r="H80">
        <v>-30159</v>
      </c>
      <c r="I80">
        <v>-9186</v>
      </c>
      <c r="J80">
        <v>-41742</v>
      </c>
      <c r="K80">
        <v>45483</v>
      </c>
    </row>
    <row r="81" spans="2:11" x14ac:dyDescent="0.25">
      <c r="B81">
        <v>9700</v>
      </c>
      <c r="C81">
        <v>5594</v>
      </c>
      <c r="D81">
        <v>14127</v>
      </c>
      <c r="E81">
        <v>21660</v>
      </c>
      <c r="F81">
        <v>54775</v>
      </c>
      <c r="G81">
        <v>-38959</v>
      </c>
      <c r="H81">
        <v>11862</v>
      </c>
      <c r="I81">
        <v>14240</v>
      </c>
      <c r="J81">
        <v>-2861</v>
      </c>
      <c r="K81">
        <v>8661</v>
      </c>
    </row>
    <row r="82" spans="2:11" x14ac:dyDescent="0.25">
      <c r="B82">
        <v>-6335</v>
      </c>
      <c r="C82">
        <v>12061</v>
      </c>
      <c r="D82">
        <v>5128</v>
      </c>
      <c r="E82">
        <v>13796</v>
      </c>
      <c r="F82">
        <v>4580</v>
      </c>
      <c r="G82">
        <v>-1880</v>
      </c>
      <c r="H82">
        <v>-1275</v>
      </c>
      <c r="I82">
        <v>-6282</v>
      </c>
      <c r="J82">
        <v>-4560</v>
      </c>
      <c r="K82">
        <v>115</v>
      </c>
    </row>
    <row r="83" spans="2:11" x14ac:dyDescent="0.25">
      <c r="B83">
        <v>-2002</v>
      </c>
      <c r="C83">
        <v>-1615</v>
      </c>
      <c r="D83">
        <v>-15041</v>
      </c>
      <c r="E83">
        <v>-17299</v>
      </c>
      <c r="F83">
        <v>-42303</v>
      </c>
      <c r="G83">
        <v>12326</v>
      </c>
      <c r="H83">
        <v>-26651</v>
      </c>
      <c r="I83">
        <v>20555</v>
      </c>
      <c r="J83">
        <v>-24094</v>
      </c>
      <c r="K83">
        <v>-17501</v>
      </c>
    </row>
    <row r="84" spans="2:11" x14ac:dyDescent="0.25">
      <c r="B84">
        <v>-12379</v>
      </c>
      <c r="C84">
        <v>-19757</v>
      </c>
      <c r="D84">
        <v>30143</v>
      </c>
      <c r="E84">
        <v>7674</v>
      </c>
      <c r="F84">
        <v>21415</v>
      </c>
      <c r="G84">
        <v>10223</v>
      </c>
      <c r="H84">
        <v>2408</v>
      </c>
      <c r="I84">
        <v>35959</v>
      </c>
      <c r="J84">
        <v>-4311</v>
      </c>
      <c r="K84">
        <v>31867</v>
      </c>
    </row>
    <row r="85" spans="2:11" x14ac:dyDescent="0.25">
      <c r="B85">
        <v>-6716</v>
      </c>
      <c r="C85">
        <v>4708</v>
      </c>
      <c r="D85">
        <v>12784</v>
      </c>
      <c r="E85">
        <v>-4529</v>
      </c>
      <c r="F85">
        <v>9114</v>
      </c>
      <c r="G85">
        <v>-2289</v>
      </c>
      <c r="H85">
        <v>8323</v>
      </c>
      <c r="I85">
        <v>6953</v>
      </c>
      <c r="J85">
        <v>4593</v>
      </c>
      <c r="K85">
        <v>7987</v>
      </c>
    </row>
    <row r="86" spans="2:11" x14ac:dyDescent="0.25">
      <c r="B86">
        <v>-10479</v>
      </c>
      <c r="C86">
        <v>-2672</v>
      </c>
      <c r="D86">
        <v>-2587</v>
      </c>
      <c r="E86">
        <v>-5454</v>
      </c>
      <c r="F86">
        <v>214</v>
      </c>
      <c r="G86">
        <v>-12545</v>
      </c>
      <c r="H86">
        <v>6174</v>
      </c>
      <c r="I86">
        <v>-10668</v>
      </c>
      <c r="J86">
        <v>1409</v>
      </c>
      <c r="K86">
        <v>-31748</v>
      </c>
    </row>
    <row r="87" spans="2:11" x14ac:dyDescent="0.25">
      <c r="B87">
        <v>-7986</v>
      </c>
      <c r="C87">
        <v>-19563</v>
      </c>
      <c r="D87">
        <v>5793</v>
      </c>
      <c r="E87">
        <v>-12186</v>
      </c>
      <c r="F87">
        <v>11047</v>
      </c>
      <c r="G87">
        <v>-18039</v>
      </c>
      <c r="H87">
        <v>-15766</v>
      </c>
      <c r="I87">
        <v>-3249</v>
      </c>
      <c r="J87">
        <v>-12277</v>
      </c>
      <c r="K87">
        <v>18025</v>
      </c>
    </row>
    <row r="88" spans="2:11" x14ac:dyDescent="0.25">
      <c r="B88">
        <v>4662</v>
      </c>
      <c r="C88">
        <v>11703</v>
      </c>
      <c r="D88">
        <v>7636</v>
      </c>
      <c r="E88">
        <v>-24</v>
      </c>
      <c r="F88">
        <v>21566</v>
      </c>
      <c r="G88">
        <v>-2349</v>
      </c>
      <c r="H88">
        <v>17324</v>
      </c>
      <c r="I88">
        <v>-1089</v>
      </c>
      <c r="J88">
        <v>1245</v>
      </c>
      <c r="K88">
        <v>-7082</v>
      </c>
    </row>
    <row r="89" spans="2:11" x14ac:dyDescent="0.25">
      <c r="B89">
        <v>-6696</v>
      </c>
      <c r="C89">
        <v>-13987</v>
      </c>
      <c r="D89">
        <v>8569</v>
      </c>
      <c r="E89">
        <v>-8733</v>
      </c>
      <c r="F89">
        <v>36255</v>
      </c>
      <c r="G89">
        <v>-16868</v>
      </c>
      <c r="H89">
        <v>-15729</v>
      </c>
      <c r="I89">
        <v>1563</v>
      </c>
      <c r="J89">
        <v>-6054</v>
      </c>
      <c r="K89">
        <v>13767</v>
      </c>
    </row>
    <row r="90" spans="2:11" x14ac:dyDescent="0.25">
      <c r="B90">
        <v>3730</v>
      </c>
      <c r="C90">
        <v>37122</v>
      </c>
      <c r="D90">
        <v>6178</v>
      </c>
      <c r="E90">
        <v>1574</v>
      </c>
      <c r="F90">
        <v>16458</v>
      </c>
      <c r="G90">
        <v>25350</v>
      </c>
      <c r="H90">
        <v>13264</v>
      </c>
      <c r="I90">
        <v>286</v>
      </c>
      <c r="J90">
        <v>14529</v>
      </c>
      <c r="K90">
        <v>-2624</v>
      </c>
    </row>
    <row r="91" spans="2:11" x14ac:dyDescent="0.25">
      <c r="B91">
        <v>29327</v>
      </c>
      <c r="C91">
        <v>-6269</v>
      </c>
      <c r="D91">
        <v>-17659</v>
      </c>
      <c r="E91">
        <v>12044</v>
      </c>
      <c r="F91">
        <v>-25787</v>
      </c>
      <c r="G91">
        <v>1502</v>
      </c>
      <c r="H91">
        <v>-12210</v>
      </c>
      <c r="I91">
        <v>-9076</v>
      </c>
      <c r="J91">
        <v>-5406</v>
      </c>
      <c r="K91">
        <v>-11425</v>
      </c>
    </row>
    <row r="92" spans="2:11" x14ac:dyDescent="0.25">
      <c r="B92">
        <v>14773</v>
      </c>
      <c r="C92">
        <v>3463</v>
      </c>
      <c r="D92">
        <v>1850</v>
      </c>
      <c r="E92">
        <v>-2938</v>
      </c>
      <c r="F92">
        <v>1242</v>
      </c>
      <c r="G92">
        <v>17734</v>
      </c>
      <c r="H92">
        <v>-9415</v>
      </c>
      <c r="I92">
        <v>15346</v>
      </c>
      <c r="J92">
        <v>-2574</v>
      </c>
      <c r="K92">
        <v>8571</v>
      </c>
    </row>
    <row r="93" spans="2:11" x14ac:dyDescent="0.25">
      <c r="B93">
        <v>-495</v>
      </c>
      <c r="C93">
        <v>6636</v>
      </c>
      <c r="D93">
        <v>3955</v>
      </c>
      <c r="E93">
        <v>2891</v>
      </c>
      <c r="F93">
        <v>7417</v>
      </c>
      <c r="G93">
        <v>-93360</v>
      </c>
      <c r="H93">
        <v>3223</v>
      </c>
      <c r="I93">
        <v>420</v>
      </c>
      <c r="J93">
        <v>6074</v>
      </c>
      <c r="K93">
        <v>4131</v>
      </c>
    </row>
    <row r="94" spans="2:11" x14ac:dyDescent="0.25">
      <c r="B94">
        <v>4163</v>
      </c>
      <c r="C94">
        <v>5535</v>
      </c>
      <c r="D94">
        <v>-8541</v>
      </c>
      <c r="E94">
        <v>-1715</v>
      </c>
      <c r="F94">
        <v>233</v>
      </c>
      <c r="G94">
        <v>-6799</v>
      </c>
      <c r="H94">
        <v>173</v>
      </c>
      <c r="I94">
        <v>-10308</v>
      </c>
      <c r="J94">
        <v>6176</v>
      </c>
      <c r="K94">
        <v>-7238</v>
      </c>
    </row>
    <row r="95" spans="2:11" x14ac:dyDescent="0.25">
      <c r="B95">
        <v>1113</v>
      </c>
      <c r="C95">
        <v>-4525</v>
      </c>
      <c r="D95">
        <v>1769</v>
      </c>
      <c r="E95">
        <v>-1047</v>
      </c>
      <c r="F95">
        <v>-615</v>
      </c>
      <c r="G95">
        <v>-13874</v>
      </c>
      <c r="H95">
        <v>-2471</v>
      </c>
      <c r="I95">
        <v>21833</v>
      </c>
      <c r="J95">
        <v>-15777</v>
      </c>
      <c r="K95">
        <v>39151</v>
      </c>
    </row>
    <row r="96" spans="2:11" x14ac:dyDescent="0.25">
      <c r="B96">
        <v>2776</v>
      </c>
      <c r="C96">
        <v>17711</v>
      </c>
      <c r="D96">
        <v>13767</v>
      </c>
      <c r="E96">
        <v>9348</v>
      </c>
      <c r="F96">
        <v>19186</v>
      </c>
      <c r="G96">
        <v>-21101</v>
      </c>
      <c r="H96">
        <v>-5058</v>
      </c>
      <c r="I96">
        <v>2074</v>
      </c>
      <c r="J96">
        <v>-11403</v>
      </c>
      <c r="K96">
        <v>2827</v>
      </c>
    </row>
    <row r="97" spans="2:11" x14ac:dyDescent="0.25">
      <c r="B97">
        <v>-25508</v>
      </c>
      <c r="C97">
        <v>19550</v>
      </c>
      <c r="D97">
        <v>-21710</v>
      </c>
      <c r="E97">
        <v>2710</v>
      </c>
      <c r="F97">
        <v>-10521</v>
      </c>
      <c r="G97">
        <v>5729</v>
      </c>
      <c r="H97">
        <v>-5809</v>
      </c>
      <c r="I97">
        <v>-4395</v>
      </c>
      <c r="J97">
        <v>-14925</v>
      </c>
      <c r="K97">
        <v>-3881</v>
      </c>
    </row>
    <row r="98" spans="2:11" x14ac:dyDescent="0.25">
      <c r="B98">
        <v>-3781</v>
      </c>
      <c r="C98">
        <v>-9262</v>
      </c>
      <c r="D98">
        <v>2135</v>
      </c>
      <c r="E98">
        <v>-6487</v>
      </c>
      <c r="F98">
        <v>-7941</v>
      </c>
      <c r="G98">
        <v>-5022</v>
      </c>
      <c r="H98">
        <v>-4025</v>
      </c>
      <c r="I98">
        <v>-5552</v>
      </c>
      <c r="J98">
        <v>-7056</v>
      </c>
      <c r="K98">
        <v>6914</v>
      </c>
    </row>
    <row r="99" spans="2:11" x14ac:dyDescent="0.25">
      <c r="B99">
        <v>1384</v>
      </c>
      <c r="C99">
        <v>-7954</v>
      </c>
      <c r="D99">
        <v>7065</v>
      </c>
      <c r="E99">
        <v>1019</v>
      </c>
      <c r="F99">
        <v>8326</v>
      </c>
      <c r="G99">
        <v>-14526</v>
      </c>
      <c r="H99">
        <v>8144</v>
      </c>
      <c r="I99">
        <v>-510</v>
      </c>
      <c r="J99">
        <v>6516</v>
      </c>
      <c r="K99">
        <v>-3833</v>
      </c>
    </row>
    <row r="100" spans="2:11" x14ac:dyDescent="0.25">
      <c r="B100">
        <v>-5512</v>
      </c>
      <c r="C100">
        <v>-12885</v>
      </c>
      <c r="D100">
        <v>2219</v>
      </c>
      <c r="E100">
        <v>-1777</v>
      </c>
      <c r="F100">
        <v>-3266</v>
      </c>
      <c r="G100">
        <v>7632</v>
      </c>
      <c r="H100">
        <v>16263</v>
      </c>
      <c r="I100">
        <v>-6624</v>
      </c>
      <c r="J100">
        <v>14418</v>
      </c>
      <c r="K100">
        <v>-19418</v>
      </c>
    </row>
    <row r="101" spans="2:11" x14ac:dyDescent="0.25">
      <c r="B101">
        <v>12788</v>
      </c>
      <c r="C101">
        <v>10773</v>
      </c>
      <c r="D101">
        <v>7998</v>
      </c>
      <c r="E101">
        <v>14407</v>
      </c>
      <c r="F101">
        <v>-14723</v>
      </c>
      <c r="G101">
        <v>-3932</v>
      </c>
      <c r="H101">
        <v>-20081</v>
      </c>
      <c r="I101">
        <v>-6984</v>
      </c>
      <c r="J101">
        <v>426</v>
      </c>
      <c r="K101">
        <v>-17551</v>
      </c>
    </row>
    <row r="102" spans="2:11" x14ac:dyDescent="0.25">
      <c r="B102">
        <v>-6625</v>
      </c>
      <c r="C102">
        <v>-13891</v>
      </c>
      <c r="D102">
        <v>4221</v>
      </c>
      <c r="E102">
        <v>-10499</v>
      </c>
      <c r="F102">
        <v>4199</v>
      </c>
      <c r="G102">
        <v>-7031</v>
      </c>
      <c r="H102">
        <v>-5239</v>
      </c>
      <c r="I102">
        <v>-5264</v>
      </c>
      <c r="J102">
        <v>3472</v>
      </c>
      <c r="K102">
        <v>6843</v>
      </c>
    </row>
    <row r="103" spans="2:11" x14ac:dyDescent="0.25">
      <c r="B103">
        <v>-19990</v>
      </c>
      <c r="C103">
        <v>-2790</v>
      </c>
      <c r="D103">
        <v>-7411</v>
      </c>
      <c r="E103">
        <v>1577</v>
      </c>
      <c r="F103">
        <v>-5038</v>
      </c>
      <c r="G103">
        <v>-8358</v>
      </c>
      <c r="H103">
        <v>-4761</v>
      </c>
      <c r="I103">
        <v>-10612</v>
      </c>
      <c r="J103">
        <v>779</v>
      </c>
      <c r="K103">
        <v>-4487</v>
      </c>
    </row>
    <row r="104" spans="2:11" x14ac:dyDescent="0.25">
      <c r="B104">
        <v>6101</v>
      </c>
      <c r="C104">
        <v>1571</v>
      </c>
      <c r="D104">
        <v>-8292</v>
      </c>
      <c r="E104">
        <v>6589</v>
      </c>
      <c r="F104">
        <v>113</v>
      </c>
      <c r="G104">
        <v>7282</v>
      </c>
      <c r="H104">
        <v>-11779</v>
      </c>
      <c r="I104">
        <v>6654</v>
      </c>
      <c r="J104">
        <v>-1102</v>
      </c>
      <c r="K104">
        <v>5361</v>
      </c>
    </row>
    <row r="105" spans="2:11" x14ac:dyDescent="0.25">
      <c r="B105">
        <v>-3457</v>
      </c>
      <c r="C105">
        <v>-4857</v>
      </c>
      <c r="D105">
        <v>-11268</v>
      </c>
      <c r="E105">
        <v>1766</v>
      </c>
      <c r="F105">
        <v>-1452</v>
      </c>
      <c r="G105">
        <v>-2572</v>
      </c>
      <c r="H105">
        <v>87863</v>
      </c>
      <c r="I105">
        <v>-18445</v>
      </c>
      <c r="J105">
        <v>9773</v>
      </c>
      <c r="K105">
        <v>23349</v>
      </c>
    </row>
    <row r="106" spans="2:11" x14ac:dyDescent="0.25">
      <c r="B106">
        <v>-9023</v>
      </c>
      <c r="C106">
        <v>19734</v>
      </c>
      <c r="D106">
        <v>-20807</v>
      </c>
      <c r="E106">
        <v>17735</v>
      </c>
      <c r="F106">
        <v>16016</v>
      </c>
      <c r="G106">
        <v>10614</v>
      </c>
      <c r="H106">
        <v>15715</v>
      </c>
      <c r="I106">
        <v>-21247</v>
      </c>
      <c r="J106">
        <v>-5657</v>
      </c>
      <c r="K106">
        <v>-21691</v>
      </c>
    </row>
    <row r="107" spans="2:11" x14ac:dyDescent="0.25">
      <c r="B107">
        <v>-7958</v>
      </c>
      <c r="C107">
        <v>748</v>
      </c>
      <c r="D107">
        <v>-25361</v>
      </c>
      <c r="E107">
        <v>-1133</v>
      </c>
      <c r="F107">
        <v>-21549</v>
      </c>
      <c r="G107">
        <v>4073</v>
      </c>
      <c r="H107">
        <v>-14331</v>
      </c>
      <c r="I107">
        <v>5514</v>
      </c>
      <c r="J107">
        <v>-9087</v>
      </c>
      <c r="K107">
        <v>-6801</v>
      </c>
    </row>
    <row r="108" spans="2:11" x14ac:dyDescent="0.25">
      <c r="B108">
        <v>-7159</v>
      </c>
      <c r="C108">
        <v>4556</v>
      </c>
      <c r="D108">
        <v>9627</v>
      </c>
      <c r="E108">
        <v>-19272</v>
      </c>
      <c r="F108">
        <v>94225</v>
      </c>
      <c r="G108">
        <v>-20126</v>
      </c>
      <c r="H108">
        <v>7264</v>
      </c>
      <c r="I108">
        <v>4571</v>
      </c>
      <c r="J108">
        <v>-3111</v>
      </c>
      <c r="K108">
        <v>2884</v>
      </c>
    </row>
    <row r="109" spans="2:11" x14ac:dyDescent="0.25">
      <c r="B109">
        <v>-19742</v>
      </c>
      <c r="C109">
        <v>2896</v>
      </c>
      <c r="D109">
        <v>2029</v>
      </c>
      <c r="E109">
        <v>6460</v>
      </c>
      <c r="F109">
        <v>12343</v>
      </c>
      <c r="G109">
        <v>-5404</v>
      </c>
      <c r="H109">
        <v>-1678</v>
      </c>
      <c r="I109">
        <v>-20144</v>
      </c>
      <c r="J109">
        <v>-3083</v>
      </c>
      <c r="K109">
        <v>-1519</v>
      </c>
    </row>
    <row r="110" spans="2:11" x14ac:dyDescent="0.25">
      <c r="B110">
        <v>-6352</v>
      </c>
      <c r="C110">
        <v>2175</v>
      </c>
      <c r="D110">
        <v>-3612</v>
      </c>
      <c r="E110">
        <v>2733</v>
      </c>
      <c r="F110">
        <v>-3382</v>
      </c>
      <c r="G110">
        <v>917</v>
      </c>
      <c r="H110">
        <v>-1896</v>
      </c>
      <c r="I110">
        <v>-1486</v>
      </c>
      <c r="J110">
        <v>3600</v>
      </c>
      <c r="K110">
        <v>1287</v>
      </c>
    </row>
    <row r="111" spans="2:11" x14ac:dyDescent="0.25">
      <c r="B111">
        <v>1568</v>
      </c>
      <c r="C111">
        <v>-899</v>
      </c>
      <c r="D111">
        <v>2202</v>
      </c>
      <c r="E111">
        <v>-825</v>
      </c>
      <c r="F111">
        <v>1057</v>
      </c>
      <c r="G111">
        <v>28954</v>
      </c>
      <c r="H111">
        <v>66280</v>
      </c>
      <c r="I111">
        <v>-22398</v>
      </c>
      <c r="J111">
        <v>51919</v>
      </c>
      <c r="K111">
        <v>-13790</v>
      </c>
    </row>
    <row r="112" spans="2:11" x14ac:dyDescent="0.25">
      <c r="B112">
        <v>49654</v>
      </c>
      <c r="C112">
        <v>41223</v>
      </c>
      <c r="D112">
        <v>28841</v>
      </c>
      <c r="E112">
        <v>50504</v>
      </c>
      <c r="F112">
        <v>-60228</v>
      </c>
      <c r="G112">
        <v>-15157</v>
      </c>
      <c r="H112">
        <v>-15570</v>
      </c>
      <c r="I112">
        <v>-13986</v>
      </c>
      <c r="J112">
        <v>-1509</v>
      </c>
      <c r="K112">
        <v>-72149</v>
      </c>
    </row>
    <row r="113" spans="2:11" x14ac:dyDescent="0.25">
      <c r="B113">
        <v>40655</v>
      </c>
      <c r="C113">
        <v>-62083</v>
      </c>
      <c r="D113">
        <v>12204</v>
      </c>
      <c r="E113">
        <v>-37272</v>
      </c>
      <c r="F113">
        <v>13080</v>
      </c>
      <c r="G113">
        <v>-21067</v>
      </c>
      <c r="H113">
        <v>-15644</v>
      </c>
      <c r="I113">
        <v>-17696</v>
      </c>
      <c r="J113">
        <v>9551</v>
      </c>
      <c r="K113">
        <v>26263</v>
      </c>
    </row>
    <row r="114" spans="2:11" x14ac:dyDescent="0.25">
      <c r="B114">
        <v>-9121</v>
      </c>
      <c r="C114">
        <v>18803</v>
      </c>
      <c r="D114">
        <v>-7810</v>
      </c>
      <c r="E114">
        <v>25865</v>
      </c>
      <c r="F114">
        <v>22416</v>
      </c>
      <c r="G114">
        <v>17554</v>
      </c>
      <c r="H114">
        <v>38864</v>
      </c>
      <c r="I114">
        <v>-12204</v>
      </c>
      <c r="J114">
        <v>29432</v>
      </c>
      <c r="K114">
        <v>-17841</v>
      </c>
    </row>
    <row r="115" spans="2:11" x14ac:dyDescent="0.25">
      <c r="B115">
        <v>26704</v>
      </c>
      <c r="C115">
        <v>22942</v>
      </c>
      <c r="D115">
        <v>22716</v>
      </c>
      <c r="E115">
        <v>26407</v>
      </c>
      <c r="F115">
        <v>-34035</v>
      </c>
      <c r="G115">
        <v>-8476</v>
      </c>
      <c r="H115">
        <v>-18903</v>
      </c>
      <c r="I115">
        <v>-8500</v>
      </c>
      <c r="J115">
        <v>-2911</v>
      </c>
      <c r="K115">
        <v>-40742</v>
      </c>
    </row>
    <row r="116" spans="2:11" x14ac:dyDescent="0.25">
      <c r="B116">
        <v>23580</v>
      </c>
      <c r="C116">
        <v>-37332</v>
      </c>
      <c r="D116">
        <v>6548</v>
      </c>
      <c r="E116">
        <v>-21784</v>
      </c>
      <c r="F116">
        <v>7587</v>
      </c>
      <c r="G116">
        <v>-12995</v>
      </c>
      <c r="H116">
        <v>-11367</v>
      </c>
      <c r="I116">
        <v>-9750</v>
      </c>
      <c r="J116">
        <v>4656</v>
      </c>
      <c r="K116">
        <v>15110</v>
      </c>
    </row>
    <row r="117" spans="2:11" x14ac:dyDescent="0.25">
      <c r="B117">
        <v>-4814</v>
      </c>
      <c r="C117">
        <v>11315</v>
      </c>
      <c r="D117">
        <v>-3867</v>
      </c>
      <c r="E117">
        <v>15027</v>
      </c>
      <c r="F117">
        <v>40400</v>
      </c>
      <c r="G117">
        <v>55711</v>
      </c>
      <c r="H117">
        <v>9741</v>
      </c>
      <c r="I117">
        <v>24825</v>
      </c>
      <c r="J117">
        <v>-4931</v>
      </c>
      <c r="K117">
        <v>16581</v>
      </c>
    </row>
    <row r="118" spans="2:11" x14ac:dyDescent="0.25">
      <c r="B118">
        <v>5628</v>
      </c>
      <c r="C118">
        <v>16916</v>
      </c>
      <c r="D118">
        <v>14887</v>
      </c>
      <c r="E118">
        <v>8792</v>
      </c>
      <c r="F118">
        <v>14296</v>
      </c>
      <c r="G118">
        <v>-20365</v>
      </c>
      <c r="H118">
        <v>-5079</v>
      </c>
      <c r="I118">
        <v>5195</v>
      </c>
      <c r="J118">
        <v>-9326</v>
      </c>
      <c r="K118">
        <v>-2023</v>
      </c>
    </row>
    <row r="119" spans="2:11" x14ac:dyDescent="0.25">
      <c r="B119">
        <v>-24394</v>
      </c>
      <c r="C119">
        <v>21750</v>
      </c>
      <c r="D119">
        <v>-22598</v>
      </c>
      <c r="E119">
        <v>4060</v>
      </c>
      <c r="F119">
        <v>-34244</v>
      </c>
      <c r="G119">
        <v>4644</v>
      </c>
      <c r="H119">
        <v>4621</v>
      </c>
      <c r="I119">
        <v>-3466</v>
      </c>
      <c r="J119">
        <v>-8357</v>
      </c>
      <c r="K119">
        <v>1798</v>
      </c>
    </row>
    <row r="120" spans="2:11" x14ac:dyDescent="0.25">
      <c r="B120">
        <v>8964</v>
      </c>
      <c r="C120">
        <v>-5640</v>
      </c>
      <c r="D120">
        <v>7090</v>
      </c>
      <c r="E120">
        <v>-5194</v>
      </c>
      <c r="F120">
        <v>9634</v>
      </c>
      <c r="G120">
        <v>406</v>
      </c>
      <c r="H120">
        <v>25324</v>
      </c>
      <c r="I120">
        <v>25194</v>
      </c>
      <c r="J120">
        <v>3020</v>
      </c>
      <c r="K120">
        <v>7639</v>
      </c>
    </row>
    <row r="121" spans="2:11" x14ac:dyDescent="0.25">
      <c r="B121">
        <v>-2914</v>
      </c>
      <c r="C121">
        <v>3958</v>
      </c>
      <c r="D121">
        <v>-4103</v>
      </c>
      <c r="E121">
        <v>1692</v>
      </c>
      <c r="F121">
        <v>812</v>
      </c>
      <c r="G121">
        <v>419</v>
      </c>
      <c r="H121">
        <v>680</v>
      </c>
      <c r="I121">
        <v>-3315</v>
      </c>
      <c r="J121">
        <v>-998</v>
      </c>
      <c r="K121">
        <v>-4180</v>
      </c>
    </row>
    <row r="122" spans="2:11" x14ac:dyDescent="0.25">
      <c r="B122">
        <v>-488</v>
      </c>
      <c r="C122">
        <v>-786</v>
      </c>
      <c r="D122">
        <v>-3872</v>
      </c>
      <c r="E122">
        <v>-1764</v>
      </c>
      <c r="F122">
        <v>-3195</v>
      </c>
      <c r="G122">
        <v>902</v>
      </c>
      <c r="H122">
        <v>-9880</v>
      </c>
      <c r="I122">
        <v>3147</v>
      </c>
      <c r="J122">
        <v>2335</v>
      </c>
      <c r="K122">
        <v>-850</v>
      </c>
    </row>
    <row r="123" spans="2:11" x14ac:dyDescent="0.25">
      <c r="B123">
        <v>-470</v>
      </c>
      <c r="C123">
        <v>2122</v>
      </c>
      <c r="D123">
        <v>2016</v>
      </c>
      <c r="E123">
        <v>-972</v>
      </c>
      <c r="F123">
        <v>1994</v>
      </c>
      <c r="G123">
        <v>-844</v>
      </c>
      <c r="H123">
        <v>2319</v>
      </c>
      <c r="I123">
        <v>775</v>
      </c>
      <c r="J123">
        <v>3896</v>
      </c>
      <c r="K123">
        <v>2233</v>
      </c>
    </row>
    <row r="124" spans="2:11" x14ac:dyDescent="0.25">
      <c r="B124">
        <v>-6050</v>
      </c>
      <c r="C124">
        <v>-1402</v>
      </c>
      <c r="D124">
        <v>1893</v>
      </c>
      <c r="E124">
        <v>294</v>
      </c>
      <c r="F124">
        <v>-1118</v>
      </c>
      <c r="G124">
        <v>-1976</v>
      </c>
      <c r="H124">
        <v>315</v>
      </c>
      <c r="I124">
        <v>-459</v>
      </c>
      <c r="J124">
        <v>-123</v>
      </c>
      <c r="K124">
        <v>-109</v>
      </c>
    </row>
    <row r="125" spans="2:11" x14ac:dyDescent="0.25">
      <c r="B125">
        <v>511</v>
      </c>
      <c r="C125">
        <v>172</v>
      </c>
      <c r="D125">
        <v>-1948</v>
      </c>
      <c r="E125">
        <v>-2768</v>
      </c>
      <c r="F125">
        <v>-677</v>
      </c>
      <c r="G125">
        <v>625</v>
      </c>
      <c r="H125">
        <v>-1945</v>
      </c>
      <c r="I125">
        <v>-82</v>
      </c>
      <c r="J125">
        <v>225</v>
      </c>
      <c r="K125">
        <v>-27037</v>
      </c>
    </row>
    <row r="126" spans="2:11" x14ac:dyDescent="0.25">
      <c r="B126">
        <v>4455</v>
      </c>
      <c r="C126">
        <v>-1998</v>
      </c>
      <c r="D126">
        <v>1671</v>
      </c>
      <c r="E126">
        <v>-1029</v>
      </c>
      <c r="F126">
        <v>86</v>
      </c>
      <c r="G126">
        <v>-857</v>
      </c>
      <c r="H126">
        <v>-595</v>
      </c>
      <c r="I126">
        <v>1316</v>
      </c>
      <c r="J126">
        <v>-422</v>
      </c>
      <c r="K126">
        <v>1130</v>
      </c>
    </row>
    <row r="127" spans="2:11" x14ac:dyDescent="0.25">
      <c r="B127">
        <v>-636</v>
      </c>
      <c r="C127">
        <v>-181</v>
      </c>
      <c r="D127">
        <v>-607</v>
      </c>
      <c r="E127">
        <v>-2270</v>
      </c>
      <c r="F127">
        <v>-22673</v>
      </c>
      <c r="G127">
        <v>2832</v>
      </c>
      <c r="H127">
        <v>9851</v>
      </c>
      <c r="I127">
        <v>-1271</v>
      </c>
      <c r="J127">
        <v>5844</v>
      </c>
      <c r="K127">
        <v>6</v>
      </c>
    </row>
    <row r="128" spans="2:11" x14ac:dyDescent="0.25">
      <c r="B128">
        <v>6969</v>
      </c>
      <c r="C128">
        <v>5805</v>
      </c>
      <c r="D128">
        <v>4352</v>
      </c>
      <c r="E128">
        <v>5541</v>
      </c>
      <c r="F128">
        <v>-8586</v>
      </c>
      <c r="G128">
        <v>-2166</v>
      </c>
      <c r="H128">
        <v>-241</v>
      </c>
      <c r="I128">
        <v>-3600</v>
      </c>
      <c r="J128">
        <v>611</v>
      </c>
      <c r="K128">
        <v>-10299</v>
      </c>
    </row>
    <row r="129" spans="2:11" x14ac:dyDescent="0.25">
      <c r="B129">
        <v>6606</v>
      </c>
      <c r="C129">
        <v>-8929</v>
      </c>
      <c r="D129">
        <v>1474</v>
      </c>
      <c r="E129">
        <v>-1080</v>
      </c>
      <c r="F129">
        <v>-755</v>
      </c>
      <c r="G129">
        <v>-7468</v>
      </c>
      <c r="H129">
        <v>-3862</v>
      </c>
      <c r="I129">
        <v>-2712</v>
      </c>
      <c r="J129">
        <v>-452</v>
      </c>
      <c r="K129">
        <v>3042</v>
      </c>
    </row>
    <row r="130" spans="2:11" x14ac:dyDescent="0.25">
      <c r="B130">
        <v>455</v>
      </c>
      <c r="C130">
        <v>-268</v>
      </c>
      <c r="D130">
        <v>625</v>
      </c>
      <c r="E130">
        <v>1091</v>
      </c>
      <c r="F130">
        <v>658</v>
      </c>
      <c r="G130">
        <v>10466</v>
      </c>
      <c r="H130">
        <v>6606</v>
      </c>
      <c r="I130">
        <v>8386</v>
      </c>
      <c r="J130">
        <v>-47579</v>
      </c>
      <c r="K130">
        <v>-6046</v>
      </c>
    </row>
    <row r="131" spans="2:11" x14ac:dyDescent="0.25">
      <c r="B131">
        <v>11461</v>
      </c>
      <c r="C131">
        <v>23923</v>
      </c>
      <c r="D131">
        <v>-7964</v>
      </c>
      <c r="E131">
        <v>19413</v>
      </c>
      <c r="F131">
        <v>-4588</v>
      </c>
      <c r="G131">
        <v>17348</v>
      </c>
      <c r="H131">
        <v>12460</v>
      </c>
      <c r="I131">
        <v>8652</v>
      </c>
      <c r="J131">
        <v>15723</v>
      </c>
      <c r="K131">
        <v>-19976</v>
      </c>
    </row>
    <row r="132" spans="2:11" x14ac:dyDescent="0.25">
      <c r="B132">
        <v>-4982</v>
      </c>
      <c r="C132">
        <v>-5107</v>
      </c>
      <c r="D132">
        <v>-1905</v>
      </c>
      <c r="E132">
        <v>-898</v>
      </c>
      <c r="F132">
        <v>-23900</v>
      </c>
      <c r="G132">
        <v>11894</v>
      </c>
      <c r="H132">
        <v>-21239</v>
      </c>
      <c r="I132">
        <v>4287</v>
      </c>
      <c r="J132">
        <v>-46836</v>
      </c>
      <c r="K132">
        <v>4429</v>
      </c>
    </row>
    <row r="133" spans="2:11" x14ac:dyDescent="0.25">
      <c r="B133">
        <v>-8407</v>
      </c>
      <c r="C133">
        <v>-5141</v>
      </c>
      <c r="D133">
        <v>-6102</v>
      </c>
      <c r="E133">
        <v>3356</v>
      </c>
      <c r="F133">
        <v>8531</v>
      </c>
      <c r="G133">
        <v>-5396</v>
      </c>
      <c r="H133">
        <v>7424</v>
      </c>
      <c r="I133">
        <v>-4716</v>
      </c>
      <c r="J133">
        <v>10007</v>
      </c>
      <c r="K133">
        <v>2290</v>
      </c>
    </row>
    <row r="134" spans="2:11" x14ac:dyDescent="0.25">
      <c r="B134">
        <v>25075</v>
      </c>
      <c r="C134">
        <v>14304</v>
      </c>
      <c r="D134">
        <v>8768</v>
      </c>
      <c r="E134">
        <v>6777</v>
      </c>
      <c r="F134">
        <v>4209</v>
      </c>
      <c r="G134">
        <v>-6361</v>
      </c>
      <c r="H134">
        <v>695</v>
      </c>
      <c r="I134">
        <v>34705</v>
      </c>
      <c r="J134">
        <v>-12336</v>
      </c>
      <c r="K134">
        <v>34461</v>
      </c>
    </row>
    <row r="135" spans="2:11" x14ac:dyDescent="0.25">
      <c r="B135">
        <v>11520</v>
      </c>
      <c r="C135">
        <v>27402</v>
      </c>
      <c r="D135">
        <v>17553</v>
      </c>
      <c r="E135">
        <v>12457</v>
      </c>
      <c r="F135">
        <v>26357</v>
      </c>
      <c r="G135">
        <v>-30704</v>
      </c>
      <c r="H135">
        <v>-7669</v>
      </c>
      <c r="I135">
        <v>10636</v>
      </c>
      <c r="J135">
        <v>61</v>
      </c>
      <c r="K135">
        <v>-1641</v>
      </c>
    </row>
    <row r="136" spans="2:11" x14ac:dyDescent="0.25">
      <c r="B136">
        <v>-36927</v>
      </c>
      <c r="C136">
        <v>35002</v>
      </c>
      <c r="D136">
        <v>-33753</v>
      </c>
      <c r="E136">
        <v>6482</v>
      </c>
      <c r="F136">
        <v>-21124</v>
      </c>
      <c r="G136">
        <v>10585</v>
      </c>
      <c r="H136">
        <v>-8030</v>
      </c>
      <c r="I136">
        <v>-7415</v>
      </c>
      <c r="J136">
        <v>-8886</v>
      </c>
      <c r="K136">
        <v>7382</v>
      </c>
    </row>
    <row r="137" spans="2:11" x14ac:dyDescent="0.25">
      <c r="B137">
        <v>17970</v>
      </c>
      <c r="C137">
        <v>-6322</v>
      </c>
      <c r="D137">
        <v>12258</v>
      </c>
      <c r="E137">
        <v>-5138</v>
      </c>
      <c r="F137">
        <v>16327</v>
      </c>
      <c r="G137">
        <v>1513</v>
      </c>
      <c r="H137">
        <v>38989</v>
      </c>
      <c r="I137">
        <v>22117</v>
      </c>
      <c r="J137">
        <v>21615</v>
      </c>
      <c r="K137">
        <v>5717</v>
      </c>
    </row>
    <row r="138" spans="2:11" x14ac:dyDescent="0.25">
      <c r="B138">
        <v>-7171</v>
      </c>
      <c r="C138">
        <v>2748</v>
      </c>
      <c r="D138">
        <v>-9783</v>
      </c>
      <c r="E138">
        <v>-9142</v>
      </c>
      <c r="F138">
        <v>6220</v>
      </c>
      <c r="G138">
        <v>-4557</v>
      </c>
      <c r="H138">
        <v>7674</v>
      </c>
      <c r="I138">
        <v>2130</v>
      </c>
      <c r="J138">
        <v>4025</v>
      </c>
      <c r="K138">
        <v>4641</v>
      </c>
    </row>
    <row r="139" spans="2:11" x14ac:dyDescent="0.25">
      <c r="B139">
        <v>3349</v>
      </c>
      <c r="C139">
        <v>6023</v>
      </c>
      <c r="D139">
        <v>-6410</v>
      </c>
      <c r="E139">
        <v>-1366</v>
      </c>
      <c r="F139">
        <v>1832</v>
      </c>
      <c r="G139">
        <v>-4644</v>
      </c>
      <c r="H139">
        <v>6064</v>
      </c>
      <c r="I139">
        <v>-7844</v>
      </c>
      <c r="J139">
        <v>6647</v>
      </c>
      <c r="K139">
        <v>-4424</v>
      </c>
    </row>
    <row r="140" spans="2:11" x14ac:dyDescent="0.25">
      <c r="B140">
        <v>-477</v>
      </c>
      <c r="C140">
        <v>3353</v>
      </c>
      <c r="D140">
        <v>6079</v>
      </c>
      <c r="E140">
        <v>-2909</v>
      </c>
      <c r="F140">
        <v>576</v>
      </c>
      <c r="G140">
        <v>1170</v>
      </c>
      <c r="H140">
        <v>1136</v>
      </c>
      <c r="I140">
        <v>22897</v>
      </c>
      <c r="J140">
        <v>-557</v>
      </c>
      <c r="K140">
        <v>1736</v>
      </c>
    </row>
    <row r="141" spans="2:11" x14ac:dyDescent="0.25">
      <c r="B141">
        <v>-438</v>
      </c>
      <c r="C141">
        <v>2615</v>
      </c>
      <c r="D141">
        <v>-270</v>
      </c>
      <c r="E141">
        <v>7739</v>
      </c>
      <c r="F141">
        <v>4075</v>
      </c>
      <c r="G141">
        <v>7443</v>
      </c>
      <c r="H141">
        <v>-18419</v>
      </c>
      <c r="I141">
        <v>-4668</v>
      </c>
      <c r="J141">
        <v>14816</v>
      </c>
      <c r="K141">
        <v>-5957</v>
      </c>
    </row>
    <row r="142" spans="2:11" x14ac:dyDescent="0.25">
      <c r="B142">
        <v>-14988</v>
      </c>
      <c r="C142">
        <v>6268</v>
      </c>
      <c r="D142">
        <v>4753</v>
      </c>
      <c r="E142">
        <v>24</v>
      </c>
      <c r="F142">
        <v>2206</v>
      </c>
      <c r="G142">
        <v>1719</v>
      </c>
      <c r="H142">
        <v>2045</v>
      </c>
      <c r="I142">
        <v>551</v>
      </c>
      <c r="J142">
        <v>1319</v>
      </c>
      <c r="K142">
        <v>3221</v>
      </c>
    </row>
    <row r="143" spans="2:11" x14ac:dyDescent="0.25">
      <c r="B143">
        <v>-4602</v>
      </c>
      <c r="C143">
        <v>-1237</v>
      </c>
      <c r="D143">
        <v>1654</v>
      </c>
      <c r="E143">
        <v>-3369</v>
      </c>
      <c r="F143">
        <v>-1735</v>
      </c>
      <c r="G143">
        <v>-5450</v>
      </c>
      <c r="H143">
        <v>4945</v>
      </c>
      <c r="I143">
        <v>-4882</v>
      </c>
      <c r="J143">
        <v>996</v>
      </c>
      <c r="K143">
        <v>-59316</v>
      </c>
    </row>
    <row r="144" spans="2:11" x14ac:dyDescent="0.25">
      <c r="B144">
        <v>3419</v>
      </c>
      <c r="C144">
        <v>-1561</v>
      </c>
      <c r="D144">
        <v>-1260</v>
      </c>
      <c r="E144">
        <v>-1478</v>
      </c>
      <c r="F144">
        <v>-204</v>
      </c>
      <c r="G144">
        <v>-3600</v>
      </c>
      <c r="H144">
        <v>-920</v>
      </c>
      <c r="I144">
        <v>1798</v>
      </c>
      <c r="J144">
        <v>-569</v>
      </c>
      <c r="K144">
        <v>2209</v>
      </c>
    </row>
    <row r="145" spans="2:11" x14ac:dyDescent="0.25">
      <c r="B145">
        <v>1410</v>
      </c>
      <c r="C145">
        <v>5748</v>
      </c>
      <c r="D145">
        <v>3310</v>
      </c>
      <c r="E145">
        <v>17076</v>
      </c>
      <c r="F145">
        <v>4955</v>
      </c>
      <c r="G145">
        <v>2473</v>
      </c>
      <c r="H145">
        <v>-903</v>
      </c>
      <c r="I145">
        <v>-17800</v>
      </c>
      <c r="J145">
        <v>4168</v>
      </c>
      <c r="K145">
        <v>-8213</v>
      </c>
    </row>
    <row r="146" spans="2:11" x14ac:dyDescent="0.25">
      <c r="B146">
        <v>11930</v>
      </c>
      <c r="C146">
        <v>26483</v>
      </c>
      <c r="D146">
        <v>-5697</v>
      </c>
      <c r="E146">
        <v>20902</v>
      </c>
      <c r="F146">
        <v>9982</v>
      </c>
      <c r="G146">
        <v>19222</v>
      </c>
      <c r="H146">
        <v>13742</v>
      </c>
      <c r="I146">
        <v>10031</v>
      </c>
      <c r="J146">
        <v>15689</v>
      </c>
      <c r="K146">
        <v>-22935</v>
      </c>
    </row>
    <row r="147" spans="2:11" x14ac:dyDescent="0.25">
      <c r="B147">
        <v>-5936</v>
      </c>
      <c r="C147">
        <v>9474</v>
      </c>
      <c r="D147">
        <v>-5724</v>
      </c>
      <c r="E147">
        <v>-3161</v>
      </c>
      <c r="F147">
        <v>-27420</v>
      </c>
      <c r="G147">
        <v>27016</v>
      </c>
      <c r="H147">
        <v>-25795</v>
      </c>
      <c r="I147">
        <v>5860</v>
      </c>
      <c r="J147">
        <v>-13446</v>
      </c>
      <c r="K147">
        <v>6104</v>
      </c>
    </row>
    <row r="148" spans="2:11" x14ac:dyDescent="0.25">
      <c r="B148">
        <v>-8886</v>
      </c>
      <c r="C148">
        <v>-9464</v>
      </c>
      <c r="D148">
        <v>-10637</v>
      </c>
      <c r="E148">
        <v>2535</v>
      </c>
      <c r="F148">
        <v>9564</v>
      </c>
      <c r="G148">
        <v>-1677</v>
      </c>
      <c r="H148">
        <v>5779</v>
      </c>
      <c r="I148">
        <v>-663</v>
      </c>
      <c r="J148">
        <v>8566</v>
      </c>
      <c r="K148">
        <v>400</v>
      </c>
    </row>
    <row r="149" spans="2:11" x14ac:dyDescent="0.25">
      <c r="B149">
        <v>38082</v>
      </c>
      <c r="C149">
        <v>18156</v>
      </c>
      <c r="D149">
        <v>12034</v>
      </c>
      <c r="E149">
        <v>726</v>
      </c>
      <c r="F149">
        <v>2392</v>
      </c>
      <c r="G149">
        <v>2871</v>
      </c>
      <c r="H149">
        <v>11197</v>
      </c>
      <c r="I149">
        <v>13353</v>
      </c>
      <c r="J149">
        <v>3801</v>
      </c>
      <c r="K149">
        <v>3578</v>
      </c>
    </row>
    <row r="150" spans="2:11" x14ac:dyDescent="0.25">
      <c r="B150">
        <v>18619</v>
      </c>
      <c r="C150">
        <v>42773</v>
      </c>
      <c r="D150">
        <v>-9013</v>
      </c>
      <c r="E150">
        <v>32696</v>
      </c>
      <c r="F150">
        <v>27936</v>
      </c>
      <c r="G150">
        <v>32668</v>
      </c>
      <c r="H150">
        <v>27060</v>
      </c>
      <c r="I150">
        <v>15918</v>
      </c>
      <c r="J150">
        <v>26894</v>
      </c>
      <c r="K150">
        <v>-37436</v>
      </c>
    </row>
    <row r="151" spans="2:11" x14ac:dyDescent="0.25">
      <c r="B151">
        <v>-9501</v>
      </c>
      <c r="C151">
        <v>27264</v>
      </c>
      <c r="D151">
        <v>-12895</v>
      </c>
      <c r="E151">
        <v>-4813</v>
      </c>
      <c r="F151">
        <v>-44820</v>
      </c>
      <c r="G151">
        <v>55556</v>
      </c>
      <c r="H151">
        <v>-41589</v>
      </c>
      <c r="I151">
        <v>7029</v>
      </c>
      <c r="J151">
        <v>-18160</v>
      </c>
      <c r="K151">
        <v>8187</v>
      </c>
    </row>
    <row r="152" spans="2:11" x14ac:dyDescent="0.25">
      <c r="B152">
        <v>-11763</v>
      </c>
      <c r="C152">
        <v>99</v>
      </c>
      <c r="D152">
        <v>-14120</v>
      </c>
      <c r="E152">
        <v>5054</v>
      </c>
      <c r="F152">
        <v>17858</v>
      </c>
      <c r="G152">
        <v>-9722</v>
      </c>
      <c r="H152">
        <v>11217</v>
      </c>
      <c r="I152">
        <v>-9009</v>
      </c>
      <c r="J152">
        <v>16086</v>
      </c>
      <c r="K152">
        <v>769</v>
      </c>
    </row>
    <row r="153" spans="2:11" x14ac:dyDescent="0.25">
      <c r="B153">
        <v>47300</v>
      </c>
      <c r="C153">
        <v>40443</v>
      </c>
      <c r="D153">
        <v>37985</v>
      </c>
      <c r="E153">
        <v>2097</v>
      </c>
      <c r="F153">
        <v>-453</v>
      </c>
      <c r="G153">
        <v>7576</v>
      </c>
      <c r="H153">
        <v>15925</v>
      </c>
      <c r="I153">
        <v>27914</v>
      </c>
      <c r="J153">
        <v>5862</v>
      </c>
      <c r="K153">
        <v>4832</v>
      </c>
    </row>
    <row r="154" spans="2:11" x14ac:dyDescent="0.25">
      <c r="B154">
        <v>36735</v>
      </c>
      <c r="C154">
        <v>-1143</v>
      </c>
      <c r="D154">
        <v>26255</v>
      </c>
      <c r="E154">
        <v>-10549</v>
      </c>
      <c r="F154">
        <v>27367</v>
      </c>
      <c r="G154">
        <v>10999</v>
      </c>
      <c r="H154">
        <v>21942</v>
      </c>
      <c r="I154">
        <v>12829</v>
      </c>
      <c r="J154">
        <v>8701</v>
      </c>
      <c r="K154">
        <v>19903</v>
      </c>
    </row>
    <row r="155" spans="2:11" x14ac:dyDescent="0.25">
      <c r="B155">
        <v>-21908</v>
      </c>
      <c r="C155">
        <v>-5503</v>
      </c>
      <c r="D155">
        <v>10397</v>
      </c>
      <c r="E155">
        <v>3299</v>
      </c>
      <c r="F155">
        <v>-225</v>
      </c>
      <c r="G155">
        <v>-26332</v>
      </c>
      <c r="H155">
        <v>28081</v>
      </c>
      <c r="I155">
        <v>-24509</v>
      </c>
      <c r="J155">
        <v>5548</v>
      </c>
      <c r="K155">
        <v>-12846</v>
      </c>
    </row>
    <row r="156" spans="2:11" x14ac:dyDescent="0.25">
      <c r="B156">
        <v>4653</v>
      </c>
      <c r="C156">
        <v>-5613</v>
      </c>
      <c r="D156">
        <v>-2067</v>
      </c>
      <c r="E156">
        <v>-6785</v>
      </c>
      <c r="F156">
        <v>7813</v>
      </c>
      <c r="G156">
        <v>13383</v>
      </c>
      <c r="H156">
        <v>-4965</v>
      </c>
      <c r="I156">
        <v>6497</v>
      </c>
      <c r="J156">
        <v>-4241</v>
      </c>
      <c r="K156">
        <v>9525</v>
      </c>
    </row>
    <row r="157" spans="2:11" x14ac:dyDescent="0.25">
      <c r="B157">
        <v>1213</v>
      </c>
      <c r="C157">
        <v>27664</v>
      </c>
      <c r="D157">
        <v>16062</v>
      </c>
      <c r="E157">
        <v>10296</v>
      </c>
      <c r="F157">
        <v>1803</v>
      </c>
      <c r="G157">
        <v>-2968</v>
      </c>
      <c r="H157">
        <v>2877</v>
      </c>
      <c r="I157">
        <v>11340</v>
      </c>
      <c r="J157">
        <v>37338</v>
      </c>
      <c r="K157">
        <v>1704</v>
      </c>
    </row>
    <row r="158" spans="2:11" x14ac:dyDescent="0.25">
      <c r="B158">
        <v>-372</v>
      </c>
      <c r="C158">
        <v>3142</v>
      </c>
      <c r="D158">
        <v>21003</v>
      </c>
      <c r="E158">
        <v>-5100</v>
      </c>
      <c r="F158">
        <v>-6730</v>
      </c>
      <c r="G158">
        <v>5680</v>
      </c>
      <c r="H158">
        <v>-3328</v>
      </c>
      <c r="I158">
        <v>24110</v>
      </c>
      <c r="J158">
        <v>-3151</v>
      </c>
      <c r="K158">
        <v>-1955</v>
      </c>
    </row>
    <row r="159" spans="2:11" x14ac:dyDescent="0.25">
      <c r="B159">
        <v>-172</v>
      </c>
      <c r="C159">
        <v>900</v>
      </c>
      <c r="D159">
        <v>633</v>
      </c>
      <c r="E159">
        <v>306</v>
      </c>
      <c r="F159">
        <v>24250</v>
      </c>
      <c r="G159">
        <v>-2521</v>
      </c>
      <c r="H159">
        <v>392</v>
      </c>
      <c r="I159">
        <v>619</v>
      </c>
      <c r="J159">
        <v>21062</v>
      </c>
      <c r="K159">
        <v>1671</v>
      </c>
    </row>
    <row r="160" spans="2:11" x14ac:dyDescent="0.25">
      <c r="B160">
        <v>-1747</v>
      </c>
      <c r="C160">
        <v>6480</v>
      </c>
      <c r="D160">
        <v>-932</v>
      </c>
      <c r="E160">
        <v>-1716</v>
      </c>
      <c r="F160">
        <v>-468</v>
      </c>
      <c r="G160">
        <v>573</v>
      </c>
      <c r="H160">
        <v>-3337</v>
      </c>
      <c r="I160">
        <v>2179</v>
      </c>
      <c r="J160">
        <v>1337</v>
      </c>
      <c r="K160">
        <v>1896</v>
      </c>
    </row>
    <row r="161" spans="2:11" x14ac:dyDescent="0.25">
      <c r="B161">
        <v>1468</v>
      </c>
      <c r="C161">
        <v>1660</v>
      </c>
      <c r="D161">
        <v>-190</v>
      </c>
      <c r="E161">
        <v>-664</v>
      </c>
      <c r="F161">
        <v>-1111</v>
      </c>
      <c r="G161">
        <v>2800</v>
      </c>
      <c r="H161">
        <v>-1810</v>
      </c>
      <c r="I161">
        <v>78</v>
      </c>
      <c r="J161">
        <v>4487</v>
      </c>
      <c r="K161">
        <v>-3895</v>
      </c>
    </row>
    <row r="162" spans="2:11" x14ac:dyDescent="0.25">
      <c r="B162">
        <v>-35</v>
      </c>
      <c r="C162">
        <v>3520</v>
      </c>
      <c r="D162">
        <v>3790</v>
      </c>
      <c r="E162">
        <v>3600</v>
      </c>
      <c r="F162">
        <v>3163</v>
      </c>
      <c r="G162">
        <v>-72289</v>
      </c>
      <c r="H162">
        <v>-33367</v>
      </c>
      <c r="I162">
        <v>-78308</v>
      </c>
      <c r="J162">
        <v>26119</v>
      </c>
      <c r="K162">
        <v>-61304</v>
      </c>
    </row>
    <row r="163" spans="2:11" x14ac:dyDescent="0.25">
      <c r="B163">
        <v>8575</v>
      </c>
      <c r="C163">
        <v>-57100</v>
      </c>
      <c r="D163">
        <v>-44747</v>
      </c>
      <c r="E163">
        <v>-29388</v>
      </c>
      <c r="F163">
        <v>-56886</v>
      </c>
      <c r="G163">
        <v>68213</v>
      </c>
      <c r="H163">
        <v>17285</v>
      </c>
      <c r="I163">
        <v>10471</v>
      </c>
      <c r="J163">
        <v>18239</v>
      </c>
      <c r="K163">
        <v>2873</v>
      </c>
    </row>
    <row r="164" spans="2:11" x14ac:dyDescent="0.25">
      <c r="B164">
        <v>81641</v>
      </c>
      <c r="C164">
        <v>-47165</v>
      </c>
      <c r="D164">
        <v>72021</v>
      </c>
      <c r="E164">
        <v>-13019</v>
      </c>
      <c r="F164">
        <v>43681</v>
      </c>
      <c r="G164">
        <v>-15266</v>
      </c>
      <c r="H164">
        <v>24917</v>
      </c>
      <c r="I164">
        <v>18537</v>
      </c>
      <c r="J164">
        <v>20729</v>
      </c>
      <c r="K164">
        <v>-10772</v>
      </c>
    </row>
    <row r="165" spans="2:11" x14ac:dyDescent="0.25">
      <c r="B165">
        <v>-31342</v>
      </c>
      <c r="C165">
        <v>10839</v>
      </c>
      <c r="D165">
        <v>-22327</v>
      </c>
      <c r="E165">
        <v>8457</v>
      </c>
      <c r="F165">
        <v>-30885</v>
      </c>
      <c r="G165">
        <v>-6486</v>
      </c>
      <c r="H165">
        <v>-84540</v>
      </c>
      <c r="I165">
        <v>-48873</v>
      </c>
      <c r="J165">
        <v>-29782</v>
      </c>
      <c r="K165">
        <v>-4497</v>
      </c>
    </row>
    <row r="166" spans="2:11" x14ac:dyDescent="0.25">
      <c r="B166">
        <v>433</v>
      </c>
      <c r="C166">
        <v>-12668</v>
      </c>
      <c r="D166">
        <v>-29372</v>
      </c>
      <c r="E166">
        <v>-45998</v>
      </c>
      <c r="F166">
        <v>-9245</v>
      </c>
      <c r="G166">
        <v>-6202</v>
      </c>
      <c r="H166">
        <v>-33467</v>
      </c>
      <c r="I166">
        <v>-54890</v>
      </c>
      <c r="J166">
        <v>-33444</v>
      </c>
      <c r="K166">
        <v>1472</v>
      </c>
    </row>
  </sheetData>
  <pageMargins bottom="0.75" footer="0.3" header="0.3" left="0.7" right="0.7" top="0.75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44"/>
  <sheetViews>
    <sheetView workbookViewId="0">
      <selection activeCell="A8" sqref="A8:K45"/>
    </sheetView>
  </sheetViews>
  <sheetFormatPr defaultRowHeight="15" x14ac:dyDescent="0.25"/>
  <sheetData>
    <row r="1" spans="1:11" x14ac:dyDescent="0.25">
      <c r="A1" s="48" t="s">
        <v>201</v>
      </c>
      <c r="B1" s="45"/>
      <c r="C1" s="45"/>
      <c r="D1" s="45"/>
      <c r="E1" s="45"/>
      <c r="F1" s="45"/>
      <c r="G1" s="45"/>
      <c r="H1" s="45" t="s">
        <v>202</v>
      </c>
      <c r="I1" s="45"/>
      <c r="J1" s="45"/>
      <c r="K1" s="45"/>
    </row>
    <row r="2" spans="1:11" x14ac:dyDescent="0.25">
      <c r="A2" s="45">
        <v>1</v>
      </c>
      <c r="B2" s="45" t="s">
        <v>297</v>
      </c>
      <c r="C2" s="45"/>
      <c r="D2" s="45"/>
      <c r="E2" s="45"/>
      <c r="F2" s="45"/>
      <c r="G2" s="45"/>
      <c r="H2" s="45"/>
      <c r="I2" s="45"/>
      <c r="J2" s="45"/>
      <c r="K2" s="45"/>
    </row>
    <row r="3" spans="1:11" x14ac:dyDescent="0.25">
      <c r="A3" s="45">
        <v>2</v>
      </c>
      <c r="B3" s="45" t="s">
        <v>203</v>
      </c>
      <c r="C3" s="45"/>
      <c r="D3" s="45"/>
      <c r="E3" s="45"/>
      <c r="F3" s="45"/>
      <c r="G3" s="45"/>
      <c r="H3" s="45"/>
      <c r="I3" s="45"/>
      <c r="J3" s="45"/>
      <c r="K3" s="45"/>
    </row>
    <row r="4" spans="1:11" x14ac:dyDescent="0.25">
      <c r="A4" s="45">
        <v>3</v>
      </c>
      <c r="B4" s="45" t="s">
        <v>204</v>
      </c>
      <c r="C4" s="45"/>
      <c r="D4" s="45"/>
      <c r="E4" s="45"/>
      <c r="F4" s="45"/>
      <c r="G4" s="45"/>
      <c r="H4" s="45"/>
      <c r="I4" s="45"/>
      <c r="J4" s="45"/>
      <c r="K4" s="45"/>
    </row>
    <row r="5" spans="1:11" x14ac:dyDescent="0.25">
      <c r="A5" s="45">
        <v>4</v>
      </c>
      <c r="B5" s="45" t="s">
        <v>205</v>
      </c>
      <c r="C5" s="45"/>
      <c r="D5" s="45"/>
      <c r="E5" s="45"/>
      <c r="F5" s="45"/>
      <c r="G5" s="45"/>
      <c r="H5" s="45"/>
      <c r="I5" s="45"/>
      <c r="J5" s="45"/>
      <c r="K5" s="45"/>
    </row>
    <row r="6" spans="1:11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</row>
    <row r="8" spans="1:11" x14ac:dyDescent="0.25">
      <c r="A8" t="s">
        <v>219</v>
      </c>
      <c r="B8" t="s">
        <v>220</v>
      </c>
      <c r="C8" t="s">
        <v>208</v>
      </c>
      <c r="D8" t="s">
        <v>209</v>
      </c>
    </row>
    <row r="9" spans="1:11" x14ac:dyDescent="0.25">
      <c r="A9" t="s">
        <v>210</v>
      </c>
      <c r="B9" t="s">
        <v>211</v>
      </c>
      <c r="C9" t="s">
        <v>212</v>
      </c>
      <c r="D9" t="s">
        <v>213</v>
      </c>
      <c r="E9">
        <v>4</v>
      </c>
      <c r="F9" s="43">
        <v>0.66361111111111104</v>
      </c>
      <c r="G9" t="s">
        <v>214</v>
      </c>
      <c r="H9">
        <v>2</v>
      </c>
      <c r="I9" t="s">
        <v>215</v>
      </c>
      <c r="J9">
        <v>12</v>
      </c>
    </row>
    <row r="10" spans="1:11" x14ac:dyDescent="0.25">
      <c r="A10" t="s">
        <v>216</v>
      </c>
    </row>
    <row r="11" spans="1:11" x14ac:dyDescent="0.25">
      <c r="B11">
        <v>1</v>
      </c>
      <c r="C11" t="s">
        <v>53</v>
      </c>
      <c r="D11" t="s">
        <v>54</v>
      </c>
      <c r="E11">
        <v>1.4514354039999999</v>
      </c>
    </row>
    <row r="12" spans="1:11" x14ac:dyDescent="0.25">
      <c r="B12">
        <v>2</v>
      </c>
      <c r="C12" t="s">
        <v>55</v>
      </c>
      <c r="D12" t="s">
        <v>54</v>
      </c>
      <c r="E12">
        <v>1.3039408370000001</v>
      </c>
    </row>
    <row r="13" spans="1:11" x14ac:dyDescent="0.25">
      <c r="B13">
        <v>20</v>
      </c>
      <c r="C13" t="s">
        <v>59</v>
      </c>
      <c r="D13" t="s">
        <v>54</v>
      </c>
      <c r="E13">
        <v>-5.7226621786739997</v>
      </c>
    </row>
    <row r="14" spans="1:11" x14ac:dyDescent="0.25">
      <c r="B14">
        <v>30</v>
      </c>
      <c r="C14" t="s">
        <v>66</v>
      </c>
      <c r="D14" t="s">
        <v>54</v>
      </c>
      <c r="E14">
        <v>-5.0429303147070002</v>
      </c>
    </row>
    <row r="15" spans="1:11" x14ac:dyDescent="0.25">
      <c r="B15">
        <v>40</v>
      </c>
      <c r="C15" t="s">
        <v>69</v>
      </c>
      <c r="D15" t="s">
        <v>54</v>
      </c>
      <c r="E15">
        <v>-4.1088863537230003</v>
      </c>
    </row>
    <row r="16" spans="1:11" x14ac:dyDescent="0.25">
      <c r="B16">
        <v>50</v>
      </c>
      <c r="C16" t="s">
        <v>74</v>
      </c>
      <c r="D16" t="s">
        <v>54</v>
      </c>
      <c r="E16">
        <v>-5.0293456868310003</v>
      </c>
    </row>
    <row r="17" spans="2:11" x14ac:dyDescent="0.25">
      <c r="B17">
        <v>54</v>
      </c>
      <c r="C17" t="s">
        <v>76</v>
      </c>
      <c r="D17" t="s">
        <v>54</v>
      </c>
      <c r="E17">
        <v>-0.13556679399999999</v>
      </c>
    </row>
    <row r="18" spans="2:11" x14ac:dyDescent="0.25">
      <c r="B18">
        <v>55</v>
      </c>
      <c r="C18" t="s">
        <v>183</v>
      </c>
      <c r="D18" t="s">
        <v>54</v>
      </c>
      <c r="E18">
        <v>-0.13243830200000001</v>
      </c>
    </row>
    <row r="19" spans="2:11" x14ac:dyDescent="0.25">
      <c r="B19">
        <v>58</v>
      </c>
      <c r="C19" t="s">
        <v>184</v>
      </c>
      <c r="D19" t="s">
        <v>54</v>
      </c>
      <c r="E19">
        <v>2.767879803</v>
      </c>
    </row>
    <row r="20" spans="2:11" x14ac:dyDescent="0.25">
      <c r="B20">
        <v>59</v>
      </c>
      <c r="C20" t="s">
        <v>185</v>
      </c>
      <c r="D20" t="s">
        <v>54</v>
      </c>
      <c r="E20">
        <v>2.0325205080000002</v>
      </c>
    </row>
    <row r="21" spans="2:11" x14ac:dyDescent="0.25">
      <c r="B21">
        <v>60</v>
      </c>
      <c r="C21" t="s">
        <v>79</v>
      </c>
      <c r="D21" t="s">
        <v>54</v>
      </c>
      <c r="E21">
        <v>-5.9221197700000001</v>
      </c>
    </row>
    <row r="22" spans="2:11" x14ac:dyDescent="0.25">
      <c r="B22">
        <v>61</v>
      </c>
      <c r="C22" t="s">
        <v>80</v>
      </c>
      <c r="D22" t="s">
        <v>54</v>
      </c>
      <c r="E22" s="35">
        <v>-7.6114630000000003E-2</v>
      </c>
    </row>
    <row r="23" spans="2:11" x14ac:dyDescent="0.25">
      <c r="B23">
        <v>69</v>
      </c>
      <c r="C23" t="s">
        <v>186</v>
      </c>
      <c r="D23" t="s">
        <v>54</v>
      </c>
      <c r="E23">
        <v>4.2535185960000002</v>
      </c>
    </row>
    <row r="24" spans="2:11" x14ac:dyDescent="0.25">
      <c r="B24">
        <v>79</v>
      </c>
      <c r="C24" t="s">
        <v>187</v>
      </c>
      <c r="D24" t="s">
        <v>63</v>
      </c>
      <c r="E24">
        <v>5</v>
      </c>
    </row>
    <row r="25" spans="2:11" x14ac:dyDescent="0.25">
      <c r="B25">
        <v>88</v>
      </c>
      <c r="C25" t="s">
        <v>188</v>
      </c>
      <c r="D25" t="s">
        <v>54</v>
      </c>
      <c r="E25">
        <v>-0.23852894099999999</v>
      </c>
    </row>
    <row r="26" spans="2:11" x14ac:dyDescent="0.25">
      <c r="B26">
        <v>89</v>
      </c>
      <c r="C26" t="s">
        <v>189</v>
      </c>
      <c r="D26" t="s">
        <v>54</v>
      </c>
      <c r="E26">
        <v>1.318784366</v>
      </c>
    </row>
    <row r="27" spans="2:11" x14ac:dyDescent="0.25">
      <c r="B27">
        <v>99</v>
      </c>
      <c r="C27" t="s">
        <v>96</v>
      </c>
      <c r="D27" t="s">
        <v>54</v>
      </c>
      <c r="E27">
        <v>0.96666822900000005</v>
      </c>
    </row>
    <row r="28" spans="2:11" x14ac:dyDescent="0.25">
      <c r="B28">
        <v>-1</v>
      </c>
    </row>
    <row r="29" spans="2:11" x14ac:dyDescent="0.25">
      <c r="B29">
        <v>595</v>
      </c>
      <c r="C29" s="35">
        <v>-704.57773311200003</v>
      </c>
      <c r="D29" s="35">
        <v>-1007.80587887</v>
      </c>
      <c r="E29" s="35">
        <v>-516.05010951300005</v>
      </c>
    </row>
    <row r="30" spans="2:11" x14ac:dyDescent="0.25">
      <c r="B30">
        <v>21</v>
      </c>
      <c r="C30" t="s">
        <v>270</v>
      </c>
      <c r="D30" t="s">
        <v>214</v>
      </c>
      <c r="E30">
        <v>2</v>
      </c>
      <c r="F30" t="s">
        <v>215</v>
      </c>
      <c r="G30">
        <v>12</v>
      </c>
    </row>
    <row r="31" spans="2:11" x14ac:dyDescent="0.25">
      <c r="B31">
        <v>64141</v>
      </c>
      <c r="C31">
        <v>-65420</v>
      </c>
      <c r="D31">
        <v>-58268</v>
      </c>
      <c r="E31">
        <v>-46915</v>
      </c>
      <c r="F31">
        <v>-76127</v>
      </c>
      <c r="G31">
        <v>50678</v>
      </c>
      <c r="H31">
        <v>-43351</v>
      </c>
      <c r="I31">
        <v>-75908</v>
      </c>
      <c r="J31">
        <v>49593</v>
      </c>
      <c r="K31">
        <v>93868</v>
      </c>
    </row>
    <row r="32" spans="2:11" x14ac:dyDescent="0.25">
      <c r="B32">
        <v>-55105</v>
      </c>
      <c r="C32">
        <v>-77008</v>
      </c>
      <c r="D32">
        <v>58890</v>
      </c>
      <c r="E32">
        <v>80084</v>
      </c>
      <c r="F32">
        <v>80972</v>
      </c>
      <c r="G32">
        <v>-9297</v>
      </c>
      <c r="H32">
        <v>-5570</v>
      </c>
      <c r="I32">
        <v>8285</v>
      </c>
      <c r="J32">
        <v>5158</v>
      </c>
      <c r="K32">
        <v>4921</v>
      </c>
    </row>
    <row r="33" spans="2:11" x14ac:dyDescent="0.25">
      <c r="B33">
        <v>2245</v>
      </c>
      <c r="C33">
        <v>-11912</v>
      </c>
      <c r="D33">
        <v>-8373</v>
      </c>
      <c r="E33">
        <v>10138</v>
      </c>
      <c r="F33">
        <v>7677</v>
      </c>
      <c r="G33">
        <v>7413</v>
      </c>
      <c r="H33">
        <v>-1488</v>
      </c>
      <c r="I33">
        <v>15175</v>
      </c>
      <c r="J33">
        <v>71815</v>
      </c>
      <c r="K33">
        <v>67916</v>
      </c>
    </row>
    <row r="34" spans="2:11" x14ac:dyDescent="0.25">
      <c r="B34">
        <v>-65563</v>
      </c>
      <c r="C34">
        <v>-70576</v>
      </c>
      <c r="D34">
        <v>-70115</v>
      </c>
      <c r="E34">
        <v>-91167</v>
      </c>
      <c r="F34">
        <v>-10668</v>
      </c>
      <c r="G34">
        <v>-8791</v>
      </c>
      <c r="H34">
        <v>57171</v>
      </c>
      <c r="I34">
        <v>58774</v>
      </c>
      <c r="J34">
        <v>-53943</v>
      </c>
      <c r="K34">
        <v>-64952</v>
      </c>
    </row>
    <row r="35" spans="2:11" x14ac:dyDescent="0.25">
      <c r="B35">
        <v>-64916</v>
      </c>
      <c r="C35">
        <v>-85081</v>
      </c>
      <c r="D35">
        <v>-6586</v>
      </c>
      <c r="E35">
        <v>-4902</v>
      </c>
      <c r="F35">
        <v>84310</v>
      </c>
      <c r="G35">
        <v>-34734</v>
      </c>
      <c r="H35">
        <v>-37929</v>
      </c>
      <c r="I35">
        <v>33858</v>
      </c>
      <c r="J35">
        <v>34532</v>
      </c>
      <c r="K35">
        <v>34267</v>
      </c>
    </row>
    <row r="36" spans="2:11" x14ac:dyDescent="0.25">
      <c r="B36">
        <v>37094</v>
      </c>
      <c r="C36">
        <v>4423</v>
      </c>
      <c r="D36">
        <v>5234</v>
      </c>
      <c r="E36">
        <v>-37000</v>
      </c>
      <c r="F36">
        <v>-30855</v>
      </c>
      <c r="G36">
        <v>-13591</v>
      </c>
      <c r="H36">
        <v>-16465</v>
      </c>
      <c r="I36">
        <v>12293</v>
      </c>
      <c r="J36">
        <v>11092</v>
      </c>
      <c r="K36">
        <v>10876</v>
      </c>
    </row>
    <row r="37" spans="2:11" x14ac:dyDescent="0.25">
      <c r="B37">
        <v>12799</v>
      </c>
      <c r="C37">
        <v>795</v>
      </c>
      <c r="D37">
        <v>2101</v>
      </c>
      <c r="E37">
        <v>-12536</v>
      </c>
      <c r="F37">
        <v>-10884</v>
      </c>
      <c r="G37">
        <v>-45427</v>
      </c>
      <c r="H37">
        <v>21924</v>
      </c>
      <c r="I37">
        <v>24510</v>
      </c>
      <c r="J37">
        <v>-22082</v>
      </c>
      <c r="K37">
        <v>-16305</v>
      </c>
    </row>
    <row r="38" spans="2:11" x14ac:dyDescent="0.25">
      <c r="B38">
        <v>-16035</v>
      </c>
      <c r="C38">
        <v>-20827</v>
      </c>
      <c r="D38">
        <v>-2255</v>
      </c>
      <c r="E38">
        <v>-3364</v>
      </c>
      <c r="F38">
        <v>20641</v>
      </c>
      <c r="G38">
        <v>16537</v>
      </c>
      <c r="H38">
        <v>-51395</v>
      </c>
      <c r="I38">
        <v>-27484</v>
      </c>
      <c r="J38">
        <v>0</v>
      </c>
      <c r="K38">
        <v>0</v>
      </c>
    </row>
    <row r="39" spans="2:11" x14ac:dyDescent="0.25"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</row>
    <row r="40" spans="2:11" x14ac:dyDescent="0.25">
      <c r="B40">
        <v>0</v>
      </c>
      <c r="C40">
        <v>-6375</v>
      </c>
      <c r="D40">
        <v>-6048</v>
      </c>
      <c r="E40">
        <v>7935</v>
      </c>
      <c r="F40">
        <v>-40156</v>
      </c>
      <c r="G40">
        <v>-42317</v>
      </c>
      <c r="H40">
        <v>-16758</v>
      </c>
      <c r="I40">
        <v>420</v>
      </c>
      <c r="J40">
        <v>732</v>
      </c>
      <c r="K40">
        <v>22913</v>
      </c>
    </row>
    <row r="41" spans="2:11" x14ac:dyDescent="0.25">
      <c r="B41">
        <v>16069</v>
      </c>
      <c r="C41">
        <v>2248</v>
      </c>
      <c r="D41">
        <v>4392</v>
      </c>
      <c r="E41">
        <v>-11550</v>
      </c>
      <c r="F41">
        <v>0</v>
      </c>
      <c r="G41">
        <v>49344</v>
      </c>
      <c r="H41">
        <v>52621</v>
      </c>
      <c r="I41">
        <v>-46813</v>
      </c>
      <c r="J41">
        <v>-73631</v>
      </c>
      <c r="K41">
        <v>-74416</v>
      </c>
    </row>
    <row r="42" spans="2:11" x14ac:dyDescent="0.25">
      <c r="B42">
        <v>-64139</v>
      </c>
      <c r="C42">
        <v>-6357</v>
      </c>
      <c r="D42">
        <v>-7580</v>
      </c>
      <c r="E42">
        <v>64610</v>
      </c>
      <c r="F42">
        <v>80890</v>
      </c>
      <c r="G42">
        <v>-27388</v>
      </c>
      <c r="H42">
        <v>-9002</v>
      </c>
      <c r="I42">
        <v>12093</v>
      </c>
      <c r="J42">
        <v>0</v>
      </c>
      <c r="K42">
        <v>35375</v>
      </c>
    </row>
    <row r="43" spans="2:11" x14ac:dyDescent="0.25">
      <c r="B43">
        <v>-82317</v>
      </c>
      <c r="C43">
        <v>-79262</v>
      </c>
      <c r="D43">
        <v>77647</v>
      </c>
      <c r="E43">
        <v>65507</v>
      </c>
      <c r="F43">
        <v>64245</v>
      </c>
      <c r="G43">
        <v>76149</v>
      </c>
      <c r="H43">
        <v>10497</v>
      </c>
      <c r="I43">
        <v>13056</v>
      </c>
      <c r="J43">
        <v>-84743</v>
      </c>
      <c r="K43">
        <v>-69496</v>
      </c>
    </row>
    <row r="44" spans="2:11" x14ac:dyDescent="0.25">
      <c r="B44">
        <v>42803</v>
      </c>
      <c r="C44">
        <v>16055</v>
      </c>
      <c r="D44">
        <v>-28570</v>
      </c>
      <c r="E44">
        <v>0</v>
      </c>
      <c r="F44">
        <v>9405</v>
      </c>
      <c r="G44">
        <v>-60253</v>
      </c>
    </row>
  </sheetData>
  <pageMargins bottom="0.75" footer="0.3" header="0.3" left="0.7" right="0.7" top="0.75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theme="9"/>
  </sheetPr>
  <dimension ref="A2:AS108"/>
  <sheetViews>
    <sheetView workbookViewId="0">
      <selection activeCell="H16" sqref="H16"/>
    </sheetView>
  </sheetViews>
  <sheetFormatPr defaultRowHeight="15" x14ac:dyDescent="0.25"/>
  <sheetData>
    <row ht="15.75" r="2" spans="1:44" thickBot="1" x14ac:dyDescent="0.3">
      <c r="A2" s="1" t="s">
        <v>332</v>
      </c>
      <c r="B2" s="1"/>
      <c r="C2" s="3"/>
      <c r="D2" s="3"/>
      <c r="E2" s="41"/>
      <c r="F2" s="41"/>
      <c r="G2" s="41"/>
      <c r="H2" s="41"/>
      <c r="I2" s="41"/>
      <c r="K2" s="1" t="s">
        <v>11</v>
      </c>
      <c r="L2" s="1"/>
      <c r="M2" s="3"/>
      <c r="N2" s="3"/>
      <c r="O2" s="3"/>
      <c r="P2" s="41"/>
      <c r="Q2" s="41"/>
      <c r="R2" s="41"/>
      <c r="S2" s="41"/>
      <c r="V2" s="140" t="s">
        <v>333</v>
      </c>
      <c r="AD2" s="141" t="s">
        <v>334</v>
      </c>
      <c r="AE2" s="142"/>
      <c r="AF2" s="142"/>
      <c r="AG2" s="142"/>
      <c r="AH2" s="142"/>
      <c r="AI2" s="142"/>
      <c r="AJ2" s="142"/>
      <c r="AL2" s="141" t="s">
        <v>334</v>
      </c>
      <c r="AM2" s="142"/>
      <c r="AN2" s="142"/>
      <c r="AO2" s="142"/>
      <c r="AP2" s="142"/>
      <c r="AQ2" s="142"/>
      <c r="AR2" s="142"/>
    </row>
    <row r="3" spans="1:44" x14ac:dyDescent="0.25">
      <c r="A3" s="2" t="s">
        <v>0</v>
      </c>
      <c r="B3" s="143" t="s">
        <v>239</v>
      </c>
      <c r="C3" s="143" t="s">
        <v>234</v>
      </c>
      <c r="D3" s="143" t="s">
        <v>237</v>
      </c>
      <c r="E3" s="143" t="s">
        <v>19</v>
      </c>
      <c r="F3" s="144" t="s">
        <v>335</v>
      </c>
      <c r="G3" s="145" t="s">
        <v>336</v>
      </c>
      <c r="H3" s="145" t="s">
        <v>337</v>
      </c>
      <c r="I3" s="145" t="s">
        <v>335</v>
      </c>
      <c r="K3" s="2" t="s">
        <v>0</v>
      </c>
      <c r="L3" s="146" t="s">
        <v>239</v>
      </c>
      <c r="M3" s="146" t="s">
        <v>234</v>
      </c>
      <c r="N3" s="147" t="s">
        <v>237</v>
      </c>
      <c r="O3" s="147" t="s">
        <v>19</v>
      </c>
      <c r="P3" s="144" t="s">
        <v>335</v>
      </c>
      <c r="Q3" s="145" t="s">
        <v>336</v>
      </c>
      <c r="R3" s="145" t="s">
        <v>337</v>
      </c>
      <c r="S3" s="145" t="s">
        <v>335</v>
      </c>
      <c r="V3" s="2" t="s">
        <v>0</v>
      </c>
      <c r="W3" s="2" t="s">
        <v>324</v>
      </c>
      <c r="X3" s="2" t="s">
        <v>325</v>
      </c>
      <c r="Y3" s="2" t="s">
        <v>181</v>
      </c>
      <c r="Z3" s="2" t="s">
        <v>182</v>
      </c>
      <c r="AA3" s="2" t="s">
        <v>338</v>
      </c>
      <c r="AB3" s="2" t="s">
        <v>19</v>
      </c>
      <c r="AD3" s="148" t="s">
        <v>0</v>
      </c>
      <c r="AE3" s="148" t="s">
        <v>324</v>
      </c>
      <c r="AF3" s="148" t="s">
        <v>325</v>
      </c>
      <c r="AG3" s="148" t="s">
        <v>181</v>
      </c>
      <c r="AH3" s="148" t="s">
        <v>182</v>
      </c>
      <c r="AI3" s="148" t="s">
        <v>338</v>
      </c>
      <c r="AJ3" s="148" t="s">
        <v>19</v>
      </c>
      <c r="AL3" s="148" t="s">
        <v>0</v>
      </c>
      <c r="AM3" s="148" t="s">
        <v>324</v>
      </c>
      <c r="AN3" s="148" t="s">
        <v>325</v>
      </c>
      <c r="AO3" s="148" t="s">
        <v>181</v>
      </c>
      <c r="AP3" s="148" t="s">
        <v>182</v>
      </c>
      <c r="AQ3" s="148" t="s">
        <v>338</v>
      </c>
      <c r="AR3" s="148" t="s">
        <v>19</v>
      </c>
    </row>
    <row r="4" spans="1:44" x14ac:dyDescent="0.25">
      <c r="A4" s="9" t="s">
        <v>1</v>
      </c>
      <c r="B4" s="125">
        <v>704.75702799999999</v>
      </c>
      <c r="C4" s="125"/>
      <c r="D4" s="125">
        <v>10703.307386</v>
      </c>
      <c r="E4" s="125">
        <v>378402.55856700003</v>
      </c>
      <c r="F4" s="120">
        <v>0.68942570138393444</v>
      </c>
      <c r="G4" s="125">
        <v>383284.10735505022</v>
      </c>
      <c r="H4" s="125">
        <v>431965.21281297703</v>
      </c>
      <c r="I4" s="120">
        <v>0.69939609539264391</v>
      </c>
      <c r="K4" s="9" t="s">
        <v>1</v>
      </c>
      <c r="L4" s="9">
        <v>0</v>
      </c>
      <c r="M4" s="9">
        <v>64088</v>
      </c>
      <c r="N4" s="9">
        <v>18115</v>
      </c>
      <c r="O4" s="9">
        <v>433283</v>
      </c>
      <c r="P4" s="120">
        <v>0.70152972834692839</v>
      </c>
      <c r="Q4" s="9">
        <v>433283</v>
      </c>
      <c r="R4" s="125">
        <v>432256.14269086061</v>
      </c>
      <c r="S4" s="120">
        <v>0.69986714077914569</v>
      </c>
      <c r="V4" s="9" t="s">
        <v>1</v>
      </c>
      <c r="W4" s="16">
        <v>0.68942570138393444</v>
      </c>
      <c r="X4" s="16">
        <v>8.8365959019845577E-2</v>
      </c>
      <c r="Y4" s="16">
        <v>2.1515621896155471E-2</v>
      </c>
      <c r="Z4" s="16">
        <v>0.39443918742857481</v>
      </c>
      <c r="AA4" s="16">
        <v>0.55187041563981487</v>
      </c>
      <c r="AB4" s="16">
        <v>0.41869919062315192</v>
      </c>
      <c r="AD4" s="149" t="s">
        <v>1</v>
      </c>
      <c r="AE4" s="150">
        <v>0.69939609539264391</v>
      </c>
      <c r="AF4" s="150">
        <v>8.9764425197832384E-2</v>
      </c>
      <c r="AG4" s="150">
        <v>2.1515621896155471E-2</v>
      </c>
      <c r="AH4" s="150">
        <v>0.39714675389739179</v>
      </c>
      <c r="AI4" s="150">
        <v>0.54866610549115269</v>
      </c>
      <c r="AJ4" s="150">
        <v>0.43495134803756513</v>
      </c>
      <c r="AL4" s="149" t="s">
        <v>1</v>
      </c>
      <c r="AM4" s="150">
        <v>9.9703940087094711E-3</v>
      </c>
      <c r="AN4" s="150">
        <v>1.3984661779868068E-3</v>
      </c>
      <c r="AO4" s="150">
        <v>0</v>
      </c>
      <c r="AP4" s="150">
        <v>2.7075664688169798E-3</v>
      </c>
      <c r="AQ4" s="150">
        <v>-3.2043101486621817E-3</v>
      </c>
      <c r="AR4" s="150">
        <v>1.6252157414413215E-2</v>
      </c>
    </row>
    <row r="5" spans="1:44" x14ac:dyDescent="0.25">
      <c r="A5" s="9" t="s">
        <v>2</v>
      </c>
      <c r="B5" s="125">
        <v>407.242976</v>
      </c>
      <c r="C5" s="125"/>
      <c r="D5" s="125">
        <v>14069.691236000001</v>
      </c>
      <c r="E5" s="125">
        <v>106748.288221</v>
      </c>
      <c r="F5" s="120">
        <v>0.19448867829276731</v>
      </c>
      <c r="G5" s="125">
        <v>108125.38508568569</v>
      </c>
      <c r="H5" s="125">
        <v>121858.44412212333</v>
      </c>
      <c r="I5" s="120">
        <v>0.197301350853305</v>
      </c>
      <c r="K5" s="9" t="s">
        <v>2</v>
      </c>
      <c r="L5" s="9">
        <v>938</v>
      </c>
      <c r="M5" s="9">
        <v>37265</v>
      </c>
      <c r="N5" s="9">
        <v>19370</v>
      </c>
      <c r="O5" s="9">
        <v>122287</v>
      </c>
      <c r="P5" s="120">
        <v>0.19799522688487856</v>
      </c>
      <c r="Q5" s="9">
        <v>122287</v>
      </c>
      <c r="R5" s="125">
        <v>121997.18641450802</v>
      </c>
      <c r="S5" s="120">
        <v>0.19752598889053896</v>
      </c>
      <c r="V5" s="9" t="s">
        <v>2</v>
      </c>
      <c r="W5" s="16">
        <v>0.19448867829276731</v>
      </c>
      <c r="X5" s="16">
        <v>0.14752474598108997</v>
      </c>
      <c r="Y5" s="16">
        <v>0.46719412418063755</v>
      </c>
      <c r="Z5" s="16">
        <v>0.32791036769172355</v>
      </c>
      <c r="AA5" s="16">
        <v>0.23581066391163974</v>
      </c>
      <c r="AB5" s="16">
        <v>0.2700077039911199</v>
      </c>
      <c r="AD5" s="149" t="s">
        <v>2</v>
      </c>
      <c r="AE5" s="150">
        <v>0.197301350853305</v>
      </c>
      <c r="AF5" s="150">
        <v>0.14985945009067042</v>
      </c>
      <c r="AG5" s="150">
        <v>0.46719412418063755</v>
      </c>
      <c r="AH5" s="150">
        <v>0.33016125742234981</v>
      </c>
      <c r="AI5" s="150">
        <v>0.23444148288268607</v>
      </c>
      <c r="AJ5" s="150">
        <v>0.27130506519165609</v>
      </c>
      <c r="AL5" s="149" t="s">
        <v>2</v>
      </c>
      <c r="AM5" s="150">
        <v>2.8126725605376879E-3</v>
      </c>
      <c r="AN5" s="150">
        <v>2.3347041095804488E-3</v>
      </c>
      <c r="AO5" s="150">
        <v>0</v>
      </c>
      <c r="AP5" s="150">
        <v>2.2508897306262599E-3</v>
      </c>
      <c r="AQ5" s="150">
        <v>-1.3691810289536699E-3</v>
      </c>
      <c r="AR5" s="150">
        <v>1.2973612005361956E-3</v>
      </c>
    </row>
    <row r="6" spans="1:44" x14ac:dyDescent="0.25">
      <c r="A6" s="9" t="s">
        <v>3</v>
      </c>
      <c r="B6" s="125">
        <v>0</v>
      </c>
      <c r="C6" s="125"/>
      <c r="D6" s="125">
        <v>2630.532537</v>
      </c>
      <c r="E6" s="125">
        <v>40097.499985000002</v>
      </c>
      <c r="F6" s="120">
        <v>7.305512720524121E-2</v>
      </c>
      <c r="G6" s="125">
        <v>40614.774242332918</v>
      </c>
      <c r="H6" s="125">
        <v>45773.276956376758</v>
      </c>
      <c r="I6" s="120">
        <v>7.4111641926306163E-2</v>
      </c>
      <c r="K6" s="9" t="s">
        <v>3</v>
      </c>
      <c r="L6" s="9">
        <v>634</v>
      </c>
      <c r="M6" s="9">
        <v>12267</v>
      </c>
      <c r="N6" s="9">
        <v>6211</v>
      </c>
      <c r="O6" s="9">
        <v>45957</v>
      </c>
      <c r="P6" s="120">
        <v>7.4409108424839623E-2</v>
      </c>
      <c r="Q6" s="9">
        <v>45957</v>
      </c>
      <c r="R6" s="125">
        <v>45848.084392057572</v>
      </c>
      <c r="S6" s="120">
        <v>7.4232762856579176E-2</v>
      </c>
      <c r="V6" s="9" t="s">
        <v>3</v>
      </c>
      <c r="W6" s="16">
        <v>7.305512720524121E-2</v>
      </c>
      <c r="X6" s="16">
        <v>0.33758088753983578</v>
      </c>
      <c r="Y6" s="16">
        <v>0.4731093239603163</v>
      </c>
      <c r="Z6" s="16">
        <v>0.1999911280118073</v>
      </c>
      <c r="AA6" s="16">
        <v>9.0154626526624509E-2</v>
      </c>
      <c r="AB6" s="16">
        <v>0.20059962307791887</v>
      </c>
      <c r="AD6" s="149" t="s">
        <v>3</v>
      </c>
      <c r="AE6" s="150">
        <v>7.4111641926306163E-2</v>
      </c>
      <c r="AF6" s="150">
        <v>0.34292339113279968</v>
      </c>
      <c r="AG6" s="150">
        <v>0.4731093239603163</v>
      </c>
      <c r="AH6" s="150">
        <v>0.2013639360124416</v>
      </c>
      <c r="AI6" s="150">
        <v>8.9631164176512512E-2</v>
      </c>
      <c r="AJ6" s="150">
        <v>0.19549134146199496</v>
      </c>
      <c r="AL6" s="149" t="s">
        <v>3</v>
      </c>
      <c r="AM6" s="150">
        <v>1.0565147210649523E-3</v>
      </c>
      <c r="AN6" s="150">
        <v>5.3425035929638987E-3</v>
      </c>
      <c r="AO6" s="150">
        <v>0</v>
      </c>
      <c r="AP6" s="150">
        <v>1.3728080006343013E-3</v>
      </c>
      <c r="AQ6" s="150">
        <v>-5.2346235011199727E-4</v>
      </c>
      <c r="AR6" s="150">
        <v>-5.1082816159239153E-3</v>
      </c>
    </row>
    <row r="7" spans="1:44" x14ac:dyDescent="0.25">
      <c r="A7" s="9" t="s">
        <v>4</v>
      </c>
      <c r="B7" s="151">
        <v>237.52536388629062</v>
      </c>
      <c r="C7" s="151"/>
      <c r="D7" s="151">
        <v>351.14139285859534</v>
      </c>
      <c r="E7" s="125">
        <v>5371.0053870000002</v>
      </c>
      <c r="F7" s="120">
        <v>9.785634563603849E-3</v>
      </c>
      <c r="G7" s="151">
        <v>2210.537309943471</v>
      </c>
      <c r="H7" s="151">
        <v>2210.537309943471</v>
      </c>
      <c r="I7" s="120">
        <v>3.5790871983100961E-3</v>
      </c>
      <c r="K7" s="9" t="s">
        <v>4</v>
      </c>
      <c r="L7" s="9">
        <v>41</v>
      </c>
      <c r="M7" s="9">
        <v>566</v>
      </c>
      <c r="N7" s="9">
        <v>408</v>
      </c>
      <c r="O7" s="9">
        <v>1875</v>
      </c>
      <c r="P7" s="120">
        <v>3.0358177926447399E-3</v>
      </c>
      <c r="Q7" s="9">
        <v>2210.537309943471</v>
      </c>
      <c r="R7" s="125">
        <v>2210.537309943471</v>
      </c>
      <c r="S7" s="120">
        <v>3.5790871983100952E-3</v>
      </c>
      <c r="V7" s="9" t="s">
        <v>4</v>
      </c>
      <c r="W7" s="16">
        <v>9.785634563603849E-3</v>
      </c>
      <c r="X7" s="16">
        <v>4.4130215698432633E-3</v>
      </c>
      <c r="Y7" s="16">
        <v>3.7878428538316209E-3</v>
      </c>
      <c r="Z7" s="16">
        <v>1.150929225014139E-3</v>
      </c>
      <c r="AA7" s="16">
        <v>0</v>
      </c>
      <c r="AB7" s="16">
        <v>4.7057111254654701E-3</v>
      </c>
      <c r="AD7" s="149" t="s">
        <v>4</v>
      </c>
      <c r="AE7" s="150">
        <v>3.5790871983100961E-3</v>
      </c>
      <c r="AF7" s="150">
        <v>0</v>
      </c>
      <c r="AG7" s="150">
        <v>3.7878428538316209E-3</v>
      </c>
      <c r="AH7" s="150">
        <v>0</v>
      </c>
      <c r="AI7" s="150">
        <v>0</v>
      </c>
      <c r="AJ7" s="150">
        <v>1.5978588633937256E-3</v>
      </c>
      <c r="AL7" s="149" t="s">
        <v>4</v>
      </c>
      <c r="AM7" s="150">
        <v>-6.2065473652937533E-3</v>
      </c>
      <c r="AN7" s="150">
        <v>-4.4130215698432633E-3</v>
      </c>
      <c r="AO7" s="150">
        <v>0</v>
      </c>
      <c r="AP7" s="150">
        <v>-1.150929225014139E-3</v>
      </c>
      <c r="AQ7" s="150">
        <v>0</v>
      </c>
      <c r="AR7" s="150">
        <v>-3.1078522620717444E-3</v>
      </c>
    </row>
    <row r="8" spans="1:44" x14ac:dyDescent="0.25">
      <c r="A8" s="9" t="s">
        <v>5</v>
      </c>
      <c r="B8" s="151">
        <v>2396.2965767782339</v>
      </c>
      <c r="C8" s="151"/>
      <c r="D8" s="151">
        <v>1467.867575135223</v>
      </c>
      <c r="E8" s="125">
        <v>9020.351082000001</v>
      </c>
      <c r="F8" s="120">
        <v>1.6434513273345296E-2</v>
      </c>
      <c r="G8" s="151">
        <v>5285.8718897393146</v>
      </c>
      <c r="H8" s="151">
        <v>5285.8718897393146</v>
      </c>
      <c r="I8" s="120">
        <v>8.5583700973393528E-3</v>
      </c>
      <c r="K8" s="9" t="s">
        <v>5</v>
      </c>
      <c r="L8" s="9">
        <v>1795</v>
      </c>
      <c r="M8" s="9">
        <v>1045</v>
      </c>
      <c r="N8" s="9">
        <v>524</v>
      </c>
      <c r="O8" s="9">
        <v>4172</v>
      </c>
      <c r="P8" s="120">
        <v>6.754896976487389E-3</v>
      </c>
      <c r="Q8" s="9">
        <v>5285.8718897393146</v>
      </c>
      <c r="R8" s="125">
        <v>5285.8718897393146</v>
      </c>
      <c r="S8" s="120">
        <v>8.5583700973393528E-3</v>
      </c>
      <c r="V8" s="9" t="s">
        <v>5</v>
      </c>
      <c r="W8" s="16">
        <v>1.6434513273345296E-2</v>
      </c>
      <c r="X8" s="16">
        <v>1.668521702181943E-2</v>
      </c>
      <c r="Y8" s="16">
        <v>3.4342787094204749E-3</v>
      </c>
      <c r="Z8" s="16">
        <v>1.259585831360728E-2</v>
      </c>
      <c r="AA8" s="16">
        <v>4.5484310579047688E-4</v>
      </c>
      <c r="AB8" s="16">
        <v>1.2895716049253299E-2</v>
      </c>
      <c r="AD8" s="149" t="s">
        <v>5</v>
      </c>
      <c r="AE8" s="150">
        <v>8.5583700973393528E-3</v>
      </c>
      <c r="AF8" s="150">
        <v>5.6062887493731079E-3</v>
      </c>
      <c r="AG8" s="150">
        <v>3.4342787094204749E-3</v>
      </c>
      <c r="AH8" s="150">
        <v>6.9768057190361847E-3</v>
      </c>
      <c r="AI8" s="150">
        <v>6.2584748996217772E-3</v>
      </c>
      <c r="AJ8" s="150">
        <v>6.9671225984558839E-3</v>
      </c>
      <c r="AL8" s="149" t="s">
        <v>5</v>
      </c>
      <c r="AM8" s="150">
        <v>-7.8761431760059428E-3</v>
      </c>
      <c r="AN8" s="150">
        <v>-1.1078928272446322E-2</v>
      </c>
      <c r="AO8" s="150">
        <v>0</v>
      </c>
      <c r="AP8" s="150">
        <v>-5.6190525945710957E-3</v>
      </c>
      <c r="AQ8" s="150">
        <v>5.8036317938313002E-3</v>
      </c>
      <c r="AR8" s="150">
        <v>-5.9285934507974153E-3</v>
      </c>
    </row>
    <row r="9" spans="1:44" x14ac:dyDescent="0.25">
      <c r="A9" s="9" t="s">
        <v>6</v>
      </c>
      <c r="B9" s="125">
        <v>392.66740199999998</v>
      </c>
      <c r="C9" s="125"/>
      <c r="D9" s="125">
        <v>206.34845300000001</v>
      </c>
      <c r="E9" s="125">
        <v>3643.6071029999998</v>
      </c>
      <c r="F9" s="120">
        <v>6.6384233554501338E-3</v>
      </c>
      <c r="G9" s="125">
        <v>3690.6111346459211</v>
      </c>
      <c r="H9" s="125">
        <v>4159.3574938146003</v>
      </c>
      <c r="I9" s="120">
        <v>6.7344274590360525E-3</v>
      </c>
      <c r="K9" s="9" t="s">
        <v>6</v>
      </c>
      <c r="L9" s="9">
        <v>544</v>
      </c>
      <c r="M9" s="9">
        <v>1296</v>
      </c>
      <c r="N9" s="9">
        <v>777</v>
      </c>
      <c r="O9" s="9">
        <v>4172</v>
      </c>
      <c r="P9" s="120">
        <v>6.754896976487389E-3</v>
      </c>
      <c r="Q9" s="9">
        <v>4172</v>
      </c>
      <c r="R9" s="125">
        <v>4162.1125853224576</v>
      </c>
      <c r="S9" s="120">
        <v>6.7388882354733406E-3</v>
      </c>
      <c r="V9" s="9" t="s">
        <v>6</v>
      </c>
      <c r="W9" s="16">
        <v>6.6384233554501338E-3</v>
      </c>
      <c r="X9" s="16">
        <v>1.834825213236237E-3</v>
      </c>
      <c r="Y9" s="16">
        <v>0</v>
      </c>
      <c r="Z9" s="16">
        <v>6.8524314406197689E-3</v>
      </c>
      <c r="AA9" s="16">
        <v>9.7721158362237088E-4</v>
      </c>
      <c r="AB9" s="16">
        <v>5.105069943244037E-3</v>
      </c>
      <c r="AD9" s="149" t="s">
        <v>6</v>
      </c>
      <c r="AE9" s="150">
        <v>6.7344274590360525E-3</v>
      </c>
      <c r="AF9" s="150">
        <v>1.8638628769665887E-3</v>
      </c>
      <c r="AG9" s="150">
        <v>0</v>
      </c>
      <c r="AH9" s="150">
        <v>6.8994688907256822E-3</v>
      </c>
      <c r="AI9" s="150">
        <v>9.715376266461465E-4</v>
      </c>
      <c r="AJ9" s="150">
        <v>5.241398096501676E-3</v>
      </c>
      <c r="AL9" s="149" t="s">
        <v>6</v>
      </c>
      <c r="AM9" s="150">
        <v>9.6004103585918717E-5</v>
      </c>
      <c r="AN9" s="150">
        <v>2.9037663730351699E-5</v>
      </c>
      <c r="AO9" s="150">
        <v>0</v>
      </c>
      <c r="AP9" s="150">
        <v>4.7037450105913252E-5</v>
      </c>
      <c r="AQ9" s="150">
        <v>-5.6739569762243773E-6</v>
      </c>
      <c r="AR9" s="150">
        <v>1.3632815325763901E-4</v>
      </c>
    </row>
    <row r="10" spans="1:44" x14ac:dyDescent="0.25">
      <c r="A10" s="9" t="s">
        <v>7</v>
      </c>
      <c r="B10" s="125">
        <v>336.4665</v>
      </c>
      <c r="C10" s="125"/>
      <c r="D10" s="125">
        <v>1830.984672</v>
      </c>
      <c r="E10" s="125">
        <v>5256.7207209999997</v>
      </c>
      <c r="F10" s="120">
        <v>9.5774150782154364E-3</v>
      </c>
      <c r="G10" s="125">
        <v>5324.5345824122833</v>
      </c>
      <c r="H10" s="125">
        <v>6000.8063728329598</v>
      </c>
      <c r="I10" s="120">
        <v>9.7159225369931983E-3</v>
      </c>
      <c r="K10" s="9" t="s">
        <v>7</v>
      </c>
      <c r="L10" s="9">
        <v>519</v>
      </c>
      <c r="M10" s="9">
        <v>4935</v>
      </c>
      <c r="N10" s="9">
        <v>2498</v>
      </c>
      <c r="O10" s="9">
        <v>5880</v>
      </c>
      <c r="P10" s="120">
        <v>9.5203245977339042E-3</v>
      </c>
      <c r="Q10" s="9">
        <v>5880</v>
      </c>
      <c r="R10" s="125">
        <v>5866.0647175685644</v>
      </c>
      <c r="S10" s="120">
        <v>9.4977619426134339E-3</v>
      </c>
      <c r="V10" s="9" t="s">
        <v>7</v>
      </c>
      <c r="W10" s="16">
        <v>9.5774150782154364E-3</v>
      </c>
      <c r="X10" s="16">
        <v>2.5089086166564536E-2</v>
      </c>
      <c r="Y10" s="16">
        <v>2.8759834933376287E-2</v>
      </c>
      <c r="Z10" s="16">
        <v>5.2765728718416165E-2</v>
      </c>
      <c r="AA10" s="16">
        <v>0.12073223923250807</v>
      </c>
      <c r="AB10" s="16">
        <v>3.5080511636567051E-2</v>
      </c>
      <c r="AD10" s="149" t="s">
        <v>7</v>
      </c>
      <c r="AE10" s="150">
        <v>9.7159225369931983E-3</v>
      </c>
      <c r="AF10" s="150">
        <v>2.5486142214274688E-2</v>
      </c>
      <c r="AG10" s="150">
        <v>2.8759834933376287E-2</v>
      </c>
      <c r="AH10" s="150">
        <v>5.3127930858401409E-2</v>
      </c>
      <c r="AI10" s="150">
        <v>0.12003123492338071</v>
      </c>
      <c r="AJ10" s="150">
        <v>3.6137959914717632E-2</v>
      </c>
      <c r="AL10" s="149" t="s">
        <v>7</v>
      </c>
      <c r="AM10" s="150">
        <v>1.3850745877776183E-4</v>
      </c>
      <c r="AN10" s="150">
        <v>3.970560477101516E-4</v>
      </c>
      <c r="AO10" s="150">
        <v>0</v>
      </c>
      <c r="AP10" s="150">
        <v>3.6220213998524459E-4</v>
      </c>
      <c r="AQ10" s="150">
        <v>-7.0100430912736766E-4</v>
      </c>
      <c r="AR10" s="150">
        <v>1.0574482781505815E-3</v>
      </c>
    </row>
    <row r="11" spans="1:44" x14ac:dyDescent="0.25">
      <c r="A11" s="14" t="s">
        <v>8</v>
      </c>
      <c r="B11" s="152">
        <v>106.84020899999999</v>
      </c>
      <c r="C11" s="152"/>
      <c r="D11" s="152">
        <v>35.585261000000003</v>
      </c>
      <c r="E11" s="152">
        <v>326.30479500000001</v>
      </c>
      <c r="F11" s="120">
        <v>5.9450684744242804E-4</v>
      </c>
      <c r="G11" s="125">
        <v>330.51426119018487</v>
      </c>
      <c r="H11" s="125">
        <v>372.49304219255907</v>
      </c>
      <c r="I11" s="120">
        <v>6.0310453606642067E-4</v>
      </c>
      <c r="K11" s="14" t="s">
        <v>8</v>
      </c>
      <c r="L11" s="14">
        <v>0</v>
      </c>
      <c r="M11" s="14">
        <v>0</v>
      </c>
      <c r="N11" s="14">
        <v>0</v>
      </c>
      <c r="O11" s="14">
        <v>0</v>
      </c>
      <c r="P11" s="120">
        <v>0</v>
      </c>
      <c r="Q11" s="9">
        <v>0</v>
      </c>
      <c r="R11" s="125">
        <v>0</v>
      </c>
      <c r="S11" s="120">
        <v>0</v>
      </c>
      <c r="V11" s="14" t="s">
        <v>8</v>
      </c>
      <c r="W11" s="17">
        <v>5.9450684744242804E-4</v>
      </c>
      <c r="X11" s="17">
        <v>0.37850625748776512</v>
      </c>
      <c r="Y11" s="17">
        <v>2.1989734662620822E-3</v>
      </c>
      <c r="Z11" s="17">
        <v>4.2943691702369046E-3</v>
      </c>
      <c r="AA11" s="17">
        <v>0</v>
      </c>
      <c r="AB11" s="17">
        <v>5.2906473553279411E-2</v>
      </c>
      <c r="AD11" s="153" t="s">
        <v>8</v>
      </c>
      <c r="AE11" s="154">
        <v>6.0310453606642067E-4</v>
      </c>
      <c r="AF11" s="154">
        <v>0.38449643973808317</v>
      </c>
      <c r="AG11" s="154">
        <v>2.1989734662620822E-3</v>
      </c>
      <c r="AH11" s="154">
        <v>4.3238471996534409E-3</v>
      </c>
      <c r="AI11" s="154">
        <v>0</v>
      </c>
      <c r="AJ11" s="154">
        <v>4.8307905835715044E-2</v>
      </c>
      <c r="AL11" s="153" t="s">
        <v>8</v>
      </c>
      <c r="AM11" s="154">
        <v>8.5976886239926258E-6</v>
      </c>
      <c r="AN11" s="154">
        <v>5.9901822503180546E-3</v>
      </c>
      <c r="AO11" s="154">
        <v>0</v>
      </c>
      <c r="AP11" s="154">
        <v>2.9478029416536364E-5</v>
      </c>
      <c r="AQ11" s="154">
        <v>0</v>
      </c>
      <c r="AR11" s="154">
        <v>-4.5985677175643669E-3</v>
      </c>
    </row>
    <row ht="15.75" r="12" spans="1:44" thickBot="1" x14ac:dyDescent="0.3">
      <c r="A12" s="13" t="s">
        <v>19</v>
      </c>
      <c r="B12" s="155">
        <v>4581.7960556645248</v>
      </c>
      <c r="C12" s="155">
        <v>0</v>
      </c>
      <c r="D12" s="155">
        <v>31295.458512993817</v>
      </c>
      <c r="E12" s="155">
        <v>548866.335861</v>
      </c>
      <c r="F12" s="156">
        <v>1</v>
      </c>
      <c r="G12" s="157">
        <v>548866.335861</v>
      </c>
      <c r="H12" s="157">
        <v>617625.99999999988</v>
      </c>
      <c r="I12" s="156">
        <v>1</v>
      </c>
      <c r="K12" s="158" t="s">
        <v>19</v>
      </c>
      <c r="L12" s="159">
        <v>4471</v>
      </c>
      <c r="M12" s="159">
        <v>121462</v>
      </c>
      <c r="N12" s="159">
        <v>47903</v>
      </c>
      <c r="O12" s="159">
        <v>617626</v>
      </c>
      <c r="P12" s="156">
        <v>1</v>
      </c>
      <c r="Q12" s="160">
        <v>619075.40919968276</v>
      </c>
      <c r="R12" s="157">
        <v>617626</v>
      </c>
      <c r="S12" s="161">
        <v>1</v>
      </c>
      <c r="V12" s="162" t="s">
        <v>19</v>
      </c>
      <c r="W12" s="18">
        <v>1</v>
      </c>
      <c r="X12" s="18">
        <v>1</v>
      </c>
      <c r="Y12" s="18">
        <v>1</v>
      </c>
      <c r="Z12" s="18">
        <v>1</v>
      </c>
      <c r="AA12" s="18">
        <v>1</v>
      </c>
      <c r="AB12" s="18">
        <v>1</v>
      </c>
      <c r="AD12" s="163" t="s">
        <v>19</v>
      </c>
      <c r="AE12" s="164">
        <v>1</v>
      </c>
      <c r="AF12" s="164">
        <v>1</v>
      </c>
      <c r="AG12" s="164">
        <v>1</v>
      </c>
      <c r="AH12" s="164">
        <v>1</v>
      </c>
      <c r="AI12" s="164">
        <v>1</v>
      </c>
      <c r="AJ12" s="164">
        <v>1</v>
      </c>
      <c r="AL12" s="163" t="s">
        <v>19</v>
      </c>
      <c r="AM12" s="164">
        <v>0</v>
      </c>
      <c r="AN12" s="164">
        <v>0</v>
      </c>
      <c r="AO12" s="164">
        <v>0</v>
      </c>
      <c r="AP12" s="164">
        <v>0</v>
      </c>
      <c r="AQ12" s="164">
        <v>0</v>
      </c>
      <c r="AR12" s="164">
        <v>0</v>
      </c>
    </row>
    <row r="13" spans="1:44" x14ac:dyDescent="0.25">
      <c r="A13" s="39"/>
      <c r="B13" s="157"/>
      <c r="C13" s="157"/>
      <c r="D13" s="157"/>
      <c r="E13" s="157"/>
      <c r="F13" s="156"/>
      <c r="G13" s="157"/>
      <c r="H13" s="157"/>
      <c r="I13" s="156"/>
      <c r="K13" s="57"/>
      <c r="L13" s="160"/>
      <c r="M13" s="160"/>
      <c r="N13" s="160"/>
      <c r="O13" s="160"/>
      <c r="P13" s="156"/>
      <c r="Q13" s="160"/>
      <c r="R13" s="157"/>
      <c r="S13" s="161"/>
      <c r="V13" s="39"/>
      <c r="W13" s="20"/>
      <c r="X13" s="20"/>
      <c r="Y13" s="20"/>
      <c r="Z13" s="20"/>
      <c r="AA13" s="20"/>
      <c r="AB13" s="20"/>
      <c r="AD13" s="165"/>
      <c r="AE13" s="166"/>
      <c r="AF13" s="166"/>
      <c r="AG13" s="166"/>
      <c r="AH13" s="166"/>
      <c r="AI13" s="166"/>
      <c r="AJ13" s="166"/>
      <c r="AL13" s="165"/>
      <c r="AM13" s="166"/>
      <c r="AN13" s="166"/>
      <c r="AO13" s="166"/>
      <c r="AP13" s="166"/>
      <c r="AQ13" s="166"/>
      <c r="AR13" s="166"/>
    </row>
    <row ht="15.75" r="14" spans="1:44" thickBot="1" x14ac:dyDescent="0.3">
      <c r="A14" s="57" t="s">
        <v>339</v>
      </c>
      <c r="B14" s="157"/>
      <c r="C14" s="157"/>
      <c r="D14" s="157"/>
      <c r="E14" s="157"/>
      <c r="F14" s="156"/>
      <c r="G14" s="157"/>
      <c r="H14" s="157"/>
      <c r="I14" s="156"/>
      <c r="K14" s="57"/>
      <c r="L14" s="160"/>
      <c r="M14" s="160"/>
      <c r="N14" s="160"/>
      <c r="O14" s="160"/>
      <c r="P14" s="156"/>
      <c r="Q14" s="160"/>
      <c r="R14" s="157"/>
      <c r="S14" s="161"/>
      <c r="V14" s="39"/>
      <c r="W14" s="20"/>
      <c r="X14" s="20"/>
      <c r="Y14" s="20"/>
      <c r="Z14" s="20"/>
      <c r="AA14" s="20"/>
      <c r="AB14" s="20"/>
      <c r="AD14" s="165"/>
      <c r="AE14" s="166"/>
      <c r="AF14" s="166"/>
      <c r="AG14" s="166"/>
      <c r="AH14" s="166"/>
      <c r="AI14" s="166"/>
      <c r="AJ14" s="166"/>
      <c r="AL14" s="165"/>
      <c r="AM14" s="166"/>
      <c r="AN14" s="166"/>
      <c r="AO14" s="166"/>
      <c r="AP14" s="166"/>
      <c r="AQ14" s="166"/>
      <c r="AR14" s="166"/>
    </row>
    <row r="15" spans="1:44" x14ac:dyDescent="0.25">
      <c r="A15" s="2" t="s">
        <v>0</v>
      </c>
      <c r="B15" s="143" t="s">
        <v>239</v>
      </c>
      <c r="C15" s="143" t="s">
        <v>234</v>
      </c>
      <c r="D15" s="143" t="s">
        <v>237</v>
      </c>
      <c r="E15" s="143" t="s">
        <v>19</v>
      </c>
      <c r="F15" s="144"/>
      <c r="G15" s="145"/>
      <c r="H15" s="145"/>
      <c r="I15" s="145"/>
      <c r="K15" s="57"/>
      <c r="L15" s="160"/>
      <c r="M15" s="160"/>
      <c r="N15" s="160"/>
      <c r="O15" s="160"/>
      <c r="P15" s="156"/>
      <c r="Q15" s="160"/>
      <c r="R15" s="157"/>
      <c r="S15" s="161"/>
      <c r="V15" s="39"/>
      <c r="W15" s="20"/>
      <c r="X15" s="20"/>
      <c r="Y15" s="20"/>
      <c r="Z15" s="20"/>
      <c r="AA15" s="20"/>
      <c r="AB15" s="20"/>
      <c r="AD15" s="165"/>
      <c r="AE15" s="166"/>
      <c r="AF15" s="166"/>
      <c r="AG15" s="166"/>
      <c r="AH15" s="166"/>
      <c r="AI15" s="166"/>
      <c r="AJ15" s="166"/>
      <c r="AL15" s="165"/>
      <c r="AM15" s="166"/>
      <c r="AN15" s="166"/>
      <c r="AO15" s="166"/>
      <c r="AP15" s="166"/>
      <c r="AQ15" s="166"/>
      <c r="AR15" s="166"/>
    </row>
    <row r="16" spans="1:44" x14ac:dyDescent="0.25">
      <c r="A16" s="9" t="s">
        <v>1</v>
      </c>
      <c r="B16" s="125">
        <v>0</v>
      </c>
      <c r="C16" s="125"/>
      <c r="D16" s="125">
        <v>12218.354099679189</v>
      </c>
      <c r="E16" s="125">
        <v>431965.21281297703</v>
      </c>
      <c r="F16" s="120"/>
      <c r="G16" s="125"/>
      <c r="H16" s="125"/>
      <c r="I16" s="120"/>
      <c r="K16" s="57"/>
      <c r="L16" s="160"/>
      <c r="M16" s="160"/>
      <c r="N16" s="160"/>
      <c r="O16" s="160"/>
      <c r="P16" s="156"/>
      <c r="Q16" s="160"/>
      <c r="R16" s="157"/>
      <c r="S16" s="161"/>
      <c r="V16" s="39"/>
      <c r="W16" s="20"/>
      <c r="X16" s="20"/>
      <c r="Y16" s="20"/>
      <c r="Z16" s="20"/>
      <c r="AA16" s="20"/>
      <c r="AB16" s="20"/>
      <c r="AD16" s="165"/>
      <c r="AE16" s="166"/>
      <c r="AF16" s="166"/>
      <c r="AG16" s="166"/>
      <c r="AH16" s="166"/>
      <c r="AI16" s="166"/>
      <c r="AJ16" s="166"/>
      <c r="AL16" s="165"/>
      <c r="AM16" s="166"/>
      <c r="AN16" s="166"/>
      <c r="AO16" s="166"/>
      <c r="AP16" s="166"/>
      <c r="AQ16" s="166"/>
      <c r="AR16" s="166"/>
    </row>
    <row r="17" spans="1:44" x14ac:dyDescent="0.25">
      <c r="A17" s="9" t="s">
        <v>2</v>
      </c>
      <c r="B17" s="167">
        <v>867.14545437478046</v>
      </c>
      <c r="C17" s="125"/>
      <c r="D17" s="125">
        <v>16061.247556008566</v>
      </c>
      <c r="E17" s="125">
        <v>121858.44412212333</v>
      </c>
      <c r="F17" s="120"/>
      <c r="G17" s="125"/>
      <c r="H17" s="125"/>
      <c r="I17" s="120"/>
      <c r="K17" s="57"/>
      <c r="L17" s="160"/>
      <c r="M17" s="160"/>
      <c r="N17" s="160"/>
      <c r="O17" s="160"/>
      <c r="P17" s="156"/>
      <c r="Q17" s="160"/>
      <c r="R17" s="157"/>
      <c r="S17" s="161"/>
      <c r="V17" s="39"/>
      <c r="W17" s="20"/>
      <c r="X17" s="20"/>
      <c r="Y17" s="20"/>
      <c r="Z17" s="20"/>
      <c r="AA17" s="20"/>
      <c r="AB17" s="20"/>
      <c r="AD17" s="165"/>
      <c r="AE17" s="166"/>
      <c r="AF17" s="166"/>
      <c r="AG17" s="166"/>
      <c r="AH17" s="166"/>
      <c r="AI17" s="166"/>
      <c r="AJ17" s="166"/>
      <c r="AL17" s="165"/>
      <c r="AM17" s="166"/>
      <c r="AN17" s="166"/>
      <c r="AO17" s="166"/>
      <c r="AP17" s="166"/>
      <c r="AQ17" s="166"/>
      <c r="AR17" s="166"/>
    </row>
    <row r="18" spans="1:44" x14ac:dyDescent="0.25">
      <c r="A18" s="9" t="s">
        <v>3</v>
      </c>
      <c r="B18" s="167">
        <v>402.25748041230366</v>
      </c>
      <c r="C18" s="125"/>
      <c r="D18" s="125">
        <v>3002.8828331917111</v>
      </c>
      <c r="E18" s="125">
        <v>45773.276956376758</v>
      </c>
      <c r="F18" s="120"/>
      <c r="G18" s="125"/>
      <c r="H18" s="125"/>
      <c r="I18" s="120"/>
      <c r="K18" s="57"/>
      <c r="L18" s="160"/>
      <c r="M18" s="160"/>
      <c r="N18" s="160"/>
      <c r="O18" s="160"/>
      <c r="P18" s="156"/>
      <c r="Q18" s="160"/>
      <c r="R18" s="157"/>
      <c r="S18" s="161"/>
      <c r="V18" s="39"/>
      <c r="W18" s="20"/>
      <c r="X18" s="20"/>
      <c r="Y18" s="20"/>
      <c r="Z18" s="20"/>
      <c r="AA18" s="20"/>
      <c r="AB18" s="20"/>
      <c r="AD18" s="165"/>
      <c r="AE18" s="166"/>
      <c r="AF18" s="166"/>
      <c r="AG18" s="166"/>
      <c r="AH18" s="166"/>
      <c r="AI18" s="166"/>
      <c r="AJ18" s="166"/>
      <c r="AL18" s="165"/>
      <c r="AM18" s="166"/>
      <c r="AN18" s="166"/>
      <c r="AO18" s="166"/>
      <c r="AP18" s="166"/>
      <c r="AQ18" s="166"/>
      <c r="AR18" s="166"/>
    </row>
    <row r="19" spans="1:44" x14ac:dyDescent="0.25">
      <c r="A19" s="9" t="s">
        <v>4</v>
      </c>
      <c r="B19" s="151">
        <v>237.52536388629062</v>
      </c>
      <c r="C19" s="151"/>
      <c r="D19" s="151">
        <v>351.14139285859534</v>
      </c>
      <c r="E19" s="151">
        <v>2210.537309943471</v>
      </c>
      <c r="F19" s="120"/>
      <c r="G19" s="125"/>
      <c r="H19" s="125"/>
      <c r="I19" s="120"/>
      <c r="K19" s="57"/>
      <c r="L19" s="160"/>
      <c r="M19" s="160"/>
      <c r="N19" s="160"/>
      <c r="O19" s="160"/>
      <c r="P19" s="156"/>
      <c r="Q19" s="160"/>
      <c r="R19" s="157"/>
      <c r="S19" s="161"/>
      <c r="V19" s="39"/>
      <c r="W19" s="20"/>
      <c r="X19" s="20"/>
      <c r="Y19" s="20"/>
      <c r="Z19" s="20"/>
      <c r="AA19" s="20"/>
      <c r="AB19" s="20"/>
      <c r="AD19" s="165"/>
      <c r="AE19" s="166"/>
      <c r="AF19" s="166"/>
      <c r="AG19" s="166"/>
      <c r="AH19" s="166"/>
      <c r="AI19" s="166"/>
      <c r="AJ19" s="166"/>
      <c r="AL19" s="165"/>
      <c r="AM19" s="166"/>
      <c r="AN19" s="166"/>
      <c r="AO19" s="166"/>
      <c r="AP19" s="166"/>
      <c r="AQ19" s="166"/>
      <c r="AR19" s="166"/>
    </row>
    <row r="20" spans="1:44" x14ac:dyDescent="0.25">
      <c r="A20" s="9" t="s">
        <v>5</v>
      </c>
      <c r="B20" s="151">
        <v>2396.2965767782339</v>
      </c>
      <c r="C20" s="151"/>
      <c r="D20" s="151">
        <v>1467.867575135223</v>
      </c>
      <c r="E20" s="151">
        <v>5285.8718897393146</v>
      </c>
      <c r="F20" s="120"/>
      <c r="G20" s="125"/>
      <c r="H20" s="125"/>
      <c r="I20" s="120"/>
      <c r="K20" s="57"/>
      <c r="L20" s="160"/>
      <c r="M20" s="160"/>
      <c r="N20" s="160"/>
      <c r="O20" s="160"/>
      <c r="P20" s="156"/>
      <c r="Q20" s="160"/>
      <c r="R20" s="157"/>
      <c r="S20" s="161"/>
      <c r="V20" s="39"/>
      <c r="W20" s="20"/>
      <c r="X20" s="20"/>
      <c r="Y20" s="20"/>
      <c r="Z20" s="20"/>
      <c r="AA20" s="20"/>
      <c r="AB20" s="20"/>
      <c r="AD20" s="165"/>
      <c r="AE20" s="166"/>
      <c r="AF20" s="166"/>
      <c r="AG20" s="166"/>
      <c r="AH20" s="166"/>
      <c r="AI20" s="166"/>
      <c r="AJ20" s="166"/>
      <c r="AL20" s="165"/>
      <c r="AM20" s="166"/>
      <c r="AN20" s="166"/>
      <c r="AO20" s="166"/>
      <c r="AP20" s="166"/>
      <c r="AQ20" s="166"/>
      <c r="AR20" s="166"/>
    </row>
    <row r="21" spans="1:44" x14ac:dyDescent="0.25">
      <c r="A21" s="9" t="s">
        <v>6</v>
      </c>
      <c r="B21" s="125">
        <v>448.24923624192695</v>
      </c>
      <c r="C21" s="125"/>
      <c r="D21" s="125">
        <v>235.55695223448461</v>
      </c>
      <c r="E21" s="125">
        <v>4159.3574938146003</v>
      </c>
      <c r="F21" s="120"/>
      <c r="G21" s="125"/>
      <c r="H21" s="125"/>
      <c r="I21" s="120"/>
      <c r="K21" s="57"/>
      <c r="L21" s="160"/>
      <c r="M21" s="160"/>
      <c r="N21" s="160"/>
      <c r="O21" s="160"/>
      <c r="P21" s="156"/>
      <c r="Q21" s="160"/>
      <c r="R21" s="157"/>
      <c r="S21" s="161"/>
      <c r="V21" s="39"/>
      <c r="W21" s="20"/>
      <c r="X21" s="20"/>
      <c r="Y21" s="20"/>
      <c r="Z21" s="20"/>
      <c r="AA21" s="20"/>
      <c r="AB21" s="20"/>
      <c r="AD21" s="165"/>
      <c r="AE21" s="166"/>
      <c r="AF21" s="166"/>
      <c r="AG21" s="166"/>
      <c r="AH21" s="166"/>
      <c r="AI21" s="166"/>
      <c r="AJ21" s="166"/>
      <c r="AL21" s="165"/>
      <c r="AM21" s="166"/>
      <c r="AN21" s="166"/>
      <c r="AO21" s="166"/>
      <c r="AP21" s="166"/>
      <c r="AQ21" s="166"/>
      <c r="AR21" s="166"/>
    </row>
    <row r="22" spans="1:44" x14ac:dyDescent="0.25">
      <c r="A22" s="9" t="s">
        <v>7</v>
      </c>
      <c r="B22" s="125">
        <v>384.09313041471756</v>
      </c>
      <c r="C22" s="125"/>
      <c r="D22" s="125">
        <v>2090.1594494841088</v>
      </c>
      <c r="E22" s="125">
        <v>6000.8063728329598</v>
      </c>
      <c r="F22" s="120"/>
      <c r="G22" s="125"/>
      <c r="H22" s="125"/>
      <c r="I22" s="120"/>
      <c r="K22" s="57"/>
      <c r="L22" s="160"/>
      <c r="M22" s="160"/>
      <c r="N22" s="160"/>
      <c r="O22" s="160"/>
      <c r="P22" s="156"/>
      <c r="Q22" s="160"/>
      <c r="R22" s="157"/>
      <c r="S22" s="161"/>
      <c r="V22" s="39"/>
      <c r="W22" s="20"/>
      <c r="X22" s="20"/>
      <c r="Y22" s="20"/>
      <c r="Z22" s="20"/>
      <c r="AA22" s="20"/>
      <c r="AB22" s="20"/>
      <c r="AD22" s="165"/>
      <c r="AE22" s="166"/>
      <c r="AF22" s="166"/>
      <c r="AG22" s="166"/>
      <c r="AH22" s="166"/>
      <c r="AI22" s="166"/>
      <c r="AJ22" s="166"/>
      <c r="AL22" s="165"/>
      <c r="AM22" s="166"/>
      <c r="AN22" s="166"/>
      <c r="AO22" s="166"/>
      <c r="AP22" s="166"/>
      <c r="AQ22" s="166"/>
      <c r="AR22" s="166"/>
    </row>
    <row r="23" spans="1:44" x14ac:dyDescent="0.25">
      <c r="A23" s="14" t="s">
        <v>8</v>
      </c>
      <c r="B23" s="152">
        <v>0</v>
      </c>
      <c r="C23" s="152"/>
      <c r="D23" s="152">
        <v>0</v>
      </c>
      <c r="E23" s="152">
        <v>0</v>
      </c>
      <c r="F23" s="120"/>
      <c r="G23" s="125"/>
      <c r="H23" s="125"/>
      <c r="I23" s="120"/>
      <c r="K23" s="57"/>
      <c r="L23" s="160"/>
      <c r="M23" s="160"/>
      <c r="N23" s="160"/>
      <c r="O23" s="160"/>
      <c r="P23" s="156"/>
      <c r="Q23" s="160"/>
      <c r="R23" s="157"/>
      <c r="S23" s="161"/>
      <c r="V23" s="39"/>
      <c r="W23" s="20"/>
      <c r="X23" s="20"/>
      <c r="Y23" s="20"/>
      <c r="Z23" s="20"/>
      <c r="AA23" s="20"/>
      <c r="AB23" s="20"/>
      <c r="AD23" s="165"/>
      <c r="AE23" s="166"/>
      <c r="AF23" s="166"/>
      <c r="AG23" s="166"/>
      <c r="AH23" s="166"/>
      <c r="AI23" s="166"/>
      <c r="AJ23" s="166"/>
      <c r="AL23" s="165"/>
      <c r="AM23" s="166"/>
      <c r="AN23" s="166"/>
      <c r="AO23" s="166"/>
      <c r="AP23" s="166"/>
      <c r="AQ23" s="166"/>
      <c r="AR23" s="166"/>
    </row>
    <row ht="15.75" r="24" spans="1:44" thickBot="1" x14ac:dyDescent="0.3">
      <c r="A24" s="13" t="s">
        <v>19</v>
      </c>
      <c r="B24" s="155">
        <v>4735.5672421082536</v>
      </c>
      <c r="C24" s="155">
        <v>0</v>
      </c>
      <c r="D24" s="155">
        <v>35427.209858591879</v>
      </c>
      <c r="E24" s="155">
        <v>617253.50695780735</v>
      </c>
      <c r="F24" s="156"/>
      <c r="G24" s="157"/>
      <c r="H24" s="157"/>
      <c r="I24" s="156"/>
      <c r="K24" s="57"/>
      <c r="L24" s="160"/>
      <c r="M24" s="160"/>
      <c r="N24" s="160"/>
      <c r="O24" s="160"/>
      <c r="P24" s="156"/>
      <c r="Q24" s="160"/>
      <c r="R24" s="157"/>
      <c r="S24" s="161"/>
      <c r="V24" s="39"/>
      <c r="W24" s="20"/>
      <c r="X24" s="20"/>
      <c r="Y24" s="20"/>
      <c r="Z24" s="20"/>
      <c r="AA24" s="20"/>
      <c r="AB24" s="20"/>
      <c r="AD24" s="165"/>
      <c r="AE24" s="166"/>
      <c r="AF24" s="166"/>
      <c r="AG24" s="166"/>
      <c r="AH24" s="166"/>
      <c r="AI24" s="166"/>
      <c r="AJ24" s="166"/>
      <c r="AL24" s="165"/>
      <c r="AM24" s="166"/>
      <c r="AN24" s="166"/>
      <c r="AO24" s="166"/>
      <c r="AP24" s="166"/>
      <c r="AQ24" s="166"/>
      <c r="AR24" s="166"/>
    </row>
    <row ht="15.75" r="26" spans="1:44" thickBot="1" x14ac:dyDescent="0.3">
      <c r="A26" s="1" t="s">
        <v>340</v>
      </c>
      <c r="B26" s="1"/>
      <c r="C26" s="3"/>
      <c r="E26" s="3"/>
      <c r="F26" s="41"/>
      <c r="G26" s="41"/>
      <c r="H26" s="41"/>
      <c r="I26" s="41"/>
      <c r="K26" s="1" t="s">
        <v>12</v>
      </c>
      <c r="L26" s="1"/>
      <c r="M26" s="3"/>
      <c r="N26" s="3"/>
      <c r="O26" s="3"/>
      <c r="P26" s="41"/>
      <c r="Q26" s="41"/>
      <c r="R26" s="41"/>
      <c r="S26" s="41"/>
    </row>
    <row r="27" spans="1:44" x14ac:dyDescent="0.25">
      <c r="A27" s="2" t="s">
        <v>0</v>
      </c>
      <c r="B27" s="168" t="s">
        <v>239</v>
      </c>
      <c r="C27" s="168" t="s">
        <v>234</v>
      </c>
      <c r="D27" s="143" t="s">
        <v>237</v>
      </c>
      <c r="E27" s="169" t="s">
        <v>19</v>
      </c>
      <c r="F27" s="144" t="s">
        <v>335</v>
      </c>
      <c r="G27" s="145" t="s">
        <v>336</v>
      </c>
      <c r="H27" s="145" t="s">
        <v>337</v>
      </c>
      <c r="I27" s="145" t="s">
        <v>335</v>
      </c>
      <c r="K27" s="2" t="s">
        <v>0</v>
      </c>
      <c r="L27" s="146" t="s">
        <v>239</v>
      </c>
      <c r="M27" s="146" t="s">
        <v>234</v>
      </c>
      <c r="N27" s="147" t="s">
        <v>237</v>
      </c>
      <c r="O27" s="147" t="s">
        <v>19</v>
      </c>
      <c r="P27" s="144" t="s">
        <v>335</v>
      </c>
      <c r="Q27" s="145"/>
      <c r="R27" s="145"/>
      <c r="S27" s="145"/>
    </row>
    <row r="28" spans="1:44" x14ac:dyDescent="0.25">
      <c r="A28" s="9" t="s">
        <v>1</v>
      </c>
      <c r="B28" s="125">
        <v>0</v>
      </c>
      <c r="C28" s="125"/>
      <c r="D28" s="125">
        <v>196.14376099999998</v>
      </c>
      <c r="E28" s="125">
        <v>19506.379518000002</v>
      </c>
      <c r="F28" s="120">
        <v>8.8365959019845577E-2</v>
      </c>
      <c r="G28" s="125">
        <v>19817.090819241876</v>
      </c>
      <c r="H28" s="125">
        <v>19459.221858811303</v>
      </c>
      <c r="I28" s="120">
        <v>8.9764425197832384E-2</v>
      </c>
      <c r="J28" s="9"/>
      <c r="K28" s="9" t="s">
        <v>1</v>
      </c>
      <c r="L28" s="9">
        <v>0</v>
      </c>
      <c r="M28" s="9">
        <v>4189</v>
      </c>
      <c r="N28" s="9">
        <v>2498</v>
      </c>
      <c r="O28" s="9">
        <v>18781</v>
      </c>
      <c r="P28" s="120">
        <v>8.6635821405012428E-2</v>
      </c>
      <c r="Q28" s="9"/>
      <c r="R28" s="125"/>
      <c r="S28" s="120"/>
    </row>
    <row r="29" spans="1:44" x14ac:dyDescent="0.25">
      <c r="A29" s="9" t="s">
        <v>2</v>
      </c>
      <c r="B29" s="125">
        <v>200.894946</v>
      </c>
      <c r="C29" s="125"/>
      <c r="D29" s="125">
        <v>1122.4340179999999</v>
      </c>
      <c r="E29" s="125">
        <v>32565.409975999999</v>
      </c>
      <c r="F29" s="120">
        <v>0.14752474598108997</v>
      </c>
      <c r="G29" s="125">
        <v>33084.134678335511</v>
      </c>
      <c r="H29" s="125">
        <v>32486.681450105621</v>
      </c>
      <c r="I29" s="120">
        <v>0.14985945009067042</v>
      </c>
      <c r="J29" s="9"/>
      <c r="K29" s="9" t="s">
        <v>2</v>
      </c>
      <c r="L29" s="9">
        <v>228</v>
      </c>
      <c r="M29" s="9">
        <v>8765</v>
      </c>
      <c r="N29" s="9">
        <v>3933</v>
      </c>
      <c r="O29" s="9">
        <v>31161</v>
      </c>
      <c r="P29" s="120">
        <v>0.14374414731918389</v>
      </c>
      <c r="Q29" s="9"/>
      <c r="R29" s="125"/>
      <c r="S29" s="120"/>
    </row>
    <row r="30" spans="1:44" x14ac:dyDescent="0.25">
      <c r="A30" s="9" t="s">
        <v>3</v>
      </c>
      <c r="B30" s="125">
        <v>309.57059100000004</v>
      </c>
      <c r="C30" s="125"/>
      <c r="D30" s="125">
        <v>712.06638999999996</v>
      </c>
      <c r="E30" s="125">
        <v>74519.430144999991</v>
      </c>
      <c r="F30" s="120">
        <v>0.33758088753983578</v>
      </c>
      <c r="G30" s="125">
        <v>75706.427921127019</v>
      </c>
      <c r="H30" s="125">
        <v>74339.27565315945</v>
      </c>
      <c r="I30" s="120">
        <v>0.34292339113279968</v>
      </c>
      <c r="J30" s="9"/>
      <c r="K30" s="9" t="s">
        <v>3</v>
      </c>
      <c r="L30" s="9">
        <v>360</v>
      </c>
      <c r="M30" s="9">
        <v>18688</v>
      </c>
      <c r="N30" s="9">
        <v>7247</v>
      </c>
      <c r="O30" s="9">
        <v>71341</v>
      </c>
      <c r="P30" s="120">
        <v>0.32909249426840914</v>
      </c>
      <c r="Q30" s="9"/>
      <c r="R30" s="125"/>
      <c r="S30" s="120"/>
    </row>
    <row r="31" spans="1:44" x14ac:dyDescent="0.25">
      <c r="A31" s="9" t="s">
        <v>4</v>
      </c>
      <c r="B31" s="151">
        <v>0</v>
      </c>
      <c r="C31" s="151"/>
      <c r="D31" s="151">
        <v>0</v>
      </c>
      <c r="E31" s="125">
        <v>974.15423899999996</v>
      </c>
      <c r="F31" s="120">
        <v>4.4130215698432633E-3</v>
      </c>
      <c r="G31" s="151">
        <v>0</v>
      </c>
      <c r="H31" s="151">
        <v>0</v>
      </c>
      <c r="I31" s="120">
        <v>0</v>
      </c>
      <c r="J31" s="9"/>
      <c r="K31" s="9" t="s">
        <v>4</v>
      </c>
      <c r="L31" s="9">
        <v>0</v>
      </c>
      <c r="M31" s="9">
        <v>0</v>
      </c>
      <c r="N31" s="9">
        <v>0</v>
      </c>
      <c r="O31" s="9">
        <v>0</v>
      </c>
      <c r="P31" s="120">
        <v>0</v>
      </c>
      <c r="Q31" s="9"/>
      <c r="R31" s="9"/>
      <c r="S31" s="120"/>
    </row>
    <row r="32" spans="1:44" x14ac:dyDescent="0.25">
      <c r="A32" s="9" t="s">
        <v>5</v>
      </c>
      <c r="B32" s="151">
        <v>281.2872288502989</v>
      </c>
      <c r="C32" s="151"/>
      <c r="D32" s="151">
        <v>353.14358121924437</v>
      </c>
      <c r="E32" s="125">
        <v>3683.1850089999998</v>
      </c>
      <c r="F32" s="120">
        <v>1.668521702181943E-2</v>
      </c>
      <c r="G32" s="151">
        <v>1215.3368813778518</v>
      </c>
      <c r="H32" s="151">
        <v>1215.3368813778518</v>
      </c>
      <c r="I32" s="120">
        <v>5.6062887493731079E-3</v>
      </c>
      <c r="J32" s="9"/>
      <c r="K32" s="9" t="s">
        <v>5</v>
      </c>
      <c r="L32" s="9">
        <v>938</v>
      </c>
      <c r="M32" s="9">
        <v>198</v>
      </c>
      <c r="N32" s="9">
        <v>1230</v>
      </c>
      <c r="O32" s="9">
        <v>1495</v>
      </c>
      <c r="P32" s="120">
        <v>6.8963608434318502E-3</v>
      </c>
      <c r="Q32" s="9"/>
      <c r="R32" s="9"/>
      <c r="S32" s="120"/>
    </row>
    <row r="33" spans="1:26" x14ac:dyDescent="0.25">
      <c r="A33" s="9" t="s">
        <v>6</v>
      </c>
      <c r="B33" s="125">
        <v>37.361885999999998</v>
      </c>
      <c r="C33" s="125"/>
      <c r="D33" s="125">
        <v>157.02818000000002</v>
      </c>
      <c r="E33" s="125">
        <v>405.02923699999997</v>
      </c>
      <c r="F33" s="120">
        <v>1.834825213236237E-3</v>
      </c>
      <c r="G33" s="125">
        <v>411.48082690950338</v>
      </c>
      <c r="H33" s="125">
        <v>404.05005833169406</v>
      </c>
      <c r="I33" s="120">
        <v>1.8638628769665887E-3</v>
      </c>
      <c r="J33" s="9"/>
      <c r="K33" s="9" t="s">
        <v>6</v>
      </c>
      <c r="L33" s="9">
        <v>48</v>
      </c>
      <c r="M33" s="9">
        <v>202</v>
      </c>
      <c r="N33" s="9">
        <v>459</v>
      </c>
      <c r="O33" s="9">
        <v>402</v>
      </c>
      <c r="P33" s="120">
        <v>1.8544060595716415E-3</v>
      </c>
      <c r="Q33" s="9"/>
      <c r="R33" s="125"/>
      <c r="S33" s="120"/>
    </row>
    <row r="34" spans="1:26" x14ac:dyDescent="0.25">
      <c r="A34" s="9" t="s">
        <v>7</v>
      </c>
      <c r="B34" s="125">
        <v>115.197661</v>
      </c>
      <c r="C34" s="125"/>
      <c r="D34" s="125">
        <v>115.65940999999999</v>
      </c>
      <c r="E34" s="125">
        <v>5538.3005170000006</v>
      </c>
      <c r="F34" s="120">
        <v>2.5089086166564536E-2</v>
      </c>
      <c r="G34" s="125">
        <v>5626.5184540455548</v>
      </c>
      <c r="H34" s="125">
        <v>5524.9113953526812</v>
      </c>
      <c r="I34" s="120">
        <v>2.5486142214274688E-2</v>
      </c>
      <c r="J34" s="9"/>
      <c r="K34" s="9" t="s">
        <v>7</v>
      </c>
      <c r="L34" s="9">
        <v>214</v>
      </c>
      <c r="M34" s="9">
        <v>3922</v>
      </c>
      <c r="N34" s="9">
        <v>2299</v>
      </c>
      <c r="O34" s="9">
        <v>5278</v>
      </c>
      <c r="P34" s="120">
        <v>2.4347152195072445E-2</v>
      </c>
      <c r="Q34" s="9"/>
      <c r="R34" s="125"/>
      <c r="S34" s="120"/>
      <c r="Y34" s="9"/>
      <c r="Z34" s="9"/>
    </row>
    <row r="35" spans="1:26" x14ac:dyDescent="0.25">
      <c r="A35" s="14" t="s">
        <v>8</v>
      </c>
      <c r="B35" s="152">
        <v>2900.4666039999997</v>
      </c>
      <c r="C35" s="152"/>
      <c r="D35" s="152">
        <v>5618.9325829999998</v>
      </c>
      <c r="E35" s="152">
        <v>83553.517558000007</v>
      </c>
      <c r="F35" s="120">
        <v>0.37850625748776512</v>
      </c>
      <c r="G35" s="125">
        <v>84884.416617962706</v>
      </c>
      <c r="H35" s="125">
        <v>83351.522702861403</v>
      </c>
      <c r="I35" s="120">
        <v>0.38449643973808317</v>
      </c>
      <c r="J35" s="9"/>
      <c r="K35" s="14" t="s">
        <v>8</v>
      </c>
      <c r="L35" s="14">
        <v>3605</v>
      </c>
      <c r="M35" s="14">
        <v>27574</v>
      </c>
      <c r="N35" s="14">
        <v>2594</v>
      </c>
      <c r="O35" s="14">
        <v>82878</v>
      </c>
      <c r="P35" s="120">
        <v>0.38231210299795648</v>
      </c>
      <c r="Q35" s="9"/>
      <c r="R35" s="125"/>
      <c r="S35" s="120"/>
      <c r="Y35" s="9"/>
      <c r="Z35" s="9"/>
    </row>
    <row ht="15.75" r="36" spans="1:26" thickBot="1" x14ac:dyDescent="0.3">
      <c r="A36" s="13" t="s">
        <v>19</v>
      </c>
      <c r="B36" s="155">
        <v>24608.891332296305</v>
      </c>
      <c r="C36" s="155">
        <v>317034.58257916808</v>
      </c>
      <c r="D36" s="155">
        <v>54835.520289762178</v>
      </c>
      <c r="E36" s="155">
        <v>220745.40619900002</v>
      </c>
      <c r="F36" s="156">
        <v>1</v>
      </c>
      <c r="G36" s="157">
        <v>220745.40619900002</v>
      </c>
      <c r="H36" s="157">
        <v>216781</v>
      </c>
      <c r="I36" s="156">
        <v>1</v>
      </c>
      <c r="J36" s="9"/>
      <c r="K36" s="158" t="s">
        <v>19</v>
      </c>
      <c r="L36" s="159">
        <v>15185</v>
      </c>
      <c r="M36" s="159">
        <v>99753</v>
      </c>
      <c r="N36" s="159">
        <v>20260</v>
      </c>
      <c r="O36" s="159">
        <v>216781</v>
      </c>
      <c r="P36" s="156">
        <v>1</v>
      </c>
      <c r="Q36" s="160"/>
      <c r="R36" s="157"/>
      <c r="S36" s="156"/>
    </row>
    <row r="37" spans="1:26" x14ac:dyDescent="0.25">
      <c r="A37" s="39"/>
      <c r="B37" s="157"/>
      <c r="C37" s="157"/>
      <c r="D37" s="157"/>
      <c r="E37" s="157"/>
      <c r="F37" s="156"/>
      <c r="G37" s="157"/>
      <c r="H37" s="157"/>
      <c r="I37" s="156"/>
      <c r="J37" s="9"/>
      <c r="K37" s="57"/>
      <c r="L37" s="160"/>
      <c r="M37" s="160"/>
      <c r="N37" s="160"/>
      <c r="O37" s="160"/>
      <c r="P37" s="156"/>
      <c r="Q37" s="160"/>
      <c r="R37" s="157"/>
      <c r="S37" s="156"/>
    </row>
    <row ht="15.75" r="38" spans="1:26" thickBot="1" x14ac:dyDescent="0.3">
      <c r="A38" s="57" t="s">
        <v>341</v>
      </c>
      <c r="B38" s="157"/>
      <c r="C38" s="157"/>
      <c r="D38" s="157"/>
      <c r="E38" s="157"/>
      <c r="F38" s="156"/>
      <c r="G38" s="157"/>
      <c r="H38" s="157"/>
      <c r="I38" s="156"/>
      <c r="J38" s="9"/>
      <c r="K38" s="57"/>
      <c r="L38" s="160"/>
      <c r="M38" s="160"/>
      <c r="N38" s="160"/>
      <c r="O38" s="160"/>
      <c r="P38" s="156"/>
      <c r="Q38" s="160"/>
      <c r="R38" s="157"/>
      <c r="S38" s="156"/>
    </row>
    <row r="39" spans="1:26" x14ac:dyDescent="0.25">
      <c r="A39" s="2" t="s">
        <v>0</v>
      </c>
      <c r="B39" s="143" t="s">
        <v>239</v>
      </c>
      <c r="C39" s="143" t="s">
        <v>234</v>
      </c>
      <c r="D39" s="143" t="s">
        <v>237</v>
      </c>
      <c r="E39" s="143" t="s">
        <v>19</v>
      </c>
      <c r="F39" s="156"/>
      <c r="G39" s="157"/>
      <c r="H39" s="157"/>
      <c r="I39" s="156"/>
      <c r="J39" s="9"/>
      <c r="K39" s="57"/>
      <c r="L39" s="160"/>
      <c r="M39" s="160"/>
      <c r="N39" s="160"/>
      <c r="O39" s="160"/>
      <c r="P39" s="156"/>
      <c r="Q39" s="160"/>
      <c r="R39" s="157"/>
      <c r="S39" s="156"/>
    </row>
    <row r="40" spans="1:26" x14ac:dyDescent="0.25">
      <c r="A40" s="9" t="s">
        <v>1</v>
      </c>
      <c r="B40" s="125">
        <v>0</v>
      </c>
      <c r="C40" s="125">
        <v>0</v>
      </c>
      <c r="D40" s="125">
        <v>195.66957353611454</v>
      </c>
      <c r="E40" s="125">
        <v>19459.221858811303</v>
      </c>
      <c r="F40" s="156"/>
      <c r="G40" s="157"/>
      <c r="H40" s="157"/>
      <c r="I40" s="156"/>
      <c r="J40" s="9"/>
      <c r="K40" s="57"/>
      <c r="L40" s="160"/>
      <c r="M40" s="160"/>
      <c r="N40" s="160"/>
      <c r="O40" s="160"/>
      <c r="P40" s="156"/>
      <c r="Q40" s="160"/>
      <c r="R40" s="157"/>
      <c r="S40" s="156"/>
    </row>
    <row r="41" spans="1:26" x14ac:dyDescent="0.25">
      <c r="A41" s="9" t="s">
        <v>2</v>
      </c>
      <c r="B41" s="125">
        <v>200.40927230604476</v>
      </c>
      <c r="C41" s="125">
        <v>0</v>
      </c>
      <c r="D41" s="125">
        <v>1119.7204769846721</v>
      </c>
      <c r="E41" s="125">
        <v>32486.681450105621</v>
      </c>
      <c r="F41" s="156"/>
      <c r="G41" s="157"/>
      <c r="H41" s="157"/>
      <c r="I41" s="156"/>
      <c r="J41" s="9"/>
      <c r="K41" s="57"/>
      <c r="L41" s="160"/>
      <c r="M41" s="160"/>
      <c r="N41" s="160"/>
      <c r="O41" s="160"/>
      <c r="P41" s="156"/>
      <c r="Q41" s="160"/>
      <c r="R41" s="157"/>
      <c r="S41" s="156"/>
    </row>
    <row r="42" spans="1:26" x14ac:dyDescent="0.25">
      <c r="A42" s="9" t="s">
        <v>3</v>
      </c>
      <c r="B42" s="125">
        <v>308.82218843704612</v>
      </c>
      <c r="C42" s="125">
        <v>0</v>
      </c>
      <c r="D42" s="125">
        <v>710.34493348325566</v>
      </c>
      <c r="E42" s="125">
        <v>74339.27565315945</v>
      </c>
      <c r="F42" s="156"/>
      <c r="G42" s="157"/>
      <c r="H42" s="157"/>
      <c r="I42" s="156"/>
      <c r="J42" s="9"/>
      <c r="K42" s="57"/>
      <c r="L42" s="160"/>
      <c r="M42" s="160"/>
      <c r="N42" s="160"/>
      <c r="O42" s="160"/>
      <c r="P42" s="156"/>
      <c r="Q42" s="160"/>
      <c r="R42" s="157"/>
      <c r="S42" s="156"/>
    </row>
    <row r="43" spans="1:26" x14ac:dyDescent="0.25">
      <c r="A43" s="9" t="s">
        <v>4</v>
      </c>
      <c r="B43" s="151">
        <v>0</v>
      </c>
      <c r="C43" s="151">
        <v>0</v>
      </c>
      <c r="D43" s="151">
        <v>0</v>
      </c>
      <c r="E43" s="151">
        <v>0</v>
      </c>
      <c r="F43" s="156"/>
      <c r="G43" s="157"/>
      <c r="H43" s="157"/>
      <c r="I43" s="156"/>
      <c r="J43" s="9"/>
      <c r="K43" s="57"/>
      <c r="L43" s="160"/>
      <c r="M43" s="160"/>
      <c r="N43" s="160"/>
      <c r="O43" s="160"/>
      <c r="P43" s="156"/>
      <c r="Q43" s="160"/>
      <c r="R43" s="157"/>
      <c r="S43" s="156"/>
    </row>
    <row r="44" spans="1:26" x14ac:dyDescent="0.25">
      <c r="A44" s="9" t="s">
        <v>5</v>
      </c>
      <c r="B44" s="151">
        <v>281.2872288502989</v>
      </c>
      <c r="C44" s="151">
        <v>0</v>
      </c>
      <c r="D44" s="151">
        <v>353.14358121924437</v>
      </c>
      <c r="E44" s="151">
        <v>1215.3368813778518</v>
      </c>
      <c r="F44" s="156"/>
      <c r="G44" s="157"/>
      <c r="H44" s="157"/>
      <c r="I44" s="156"/>
      <c r="J44" s="9"/>
      <c r="K44" s="57"/>
      <c r="L44" s="160"/>
      <c r="M44" s="160"/>
      <c r="N44" s="160"/>
      <c r="O44" s="160"/>
      <c r="P44" s="156"/>
      <c r="Q44" s="160"/>
      <c r="R44" s="157"/>
      <c r="S44" s="156"/>
    </row>
    <row r="45" spans="1:26" x14ac:dyDescent="0.25">
      <c r="A45" s="9" t="s">
        <v>6</v>
      </c>
      <c r="B45" s="125">
        <v>37.271561750694318</v>
      </c>
      <c r="C45" s="125">
        <v>0</v>
      </c>
      <c r="D45" s="125">
        <v>156.64855643179104</v>
      </c>
      <c r="E45" s="125">
        <v>404.05005833169406</v>
      </c>
      <c r="F45" s="156"/>
      <c r="G45" s="157"/>
      <c r="H45" s="157"/>
      <c r="I45" s="156"/>
      <c r="J45" s="9"/>
      <c r="K45" s="57"/>
      <c r="L45" s="160"/>
      <c r="M45" s="160"/>
      <c r="N45" s="160"/>
      <c r="O45" s="160"/>
      <c r="P45" s="156"/>
      <c r="Q45" s="160"/>
      <c r="R45" s="157"/>
      <c r="S45" s="156"/>
    </row>
    <row r="46" spans="1:26" x14ac:dyDescent="0.25">
      <c r="A46" s="9" t="s">
        <v>7</v>
      </c>
      <c r="B46" s="125">
        <v>114.91916482741398</v>
      </c>
      <c r="C46" s="125">
        <v>0</v>
      </c>
      <c r="D46" s="125">
        <v>115.37979752584953</v>
      </c>
      <c r="E46" s="125">
        <v>5524.9113953526812</v>
      </c>
      <c r="F46" s="156"/>
      <c r="G46" s="157"/>
      <c r="H46" s="157"/>
      <c r="I46" s="156"/>
      <c r="J46" s="9"/>
      <c r="K46" s="57"/>
      <c r="L46" s="160"/>
      <c r="M46" s="160"/>
      <c r="N46" s="160"/>
      <c r="O46" s="160"/>
      <c r="P46" s="156"/>
      <c r="Q46" s="160"/>
      <c r="R46" s="157"/>
      <c r="S46" s="156"/>
    </row>
    <row r="47" spans="1:26" x14ac:dyDescent="0.25">
      <c r="A47" s="14" t="s">
        <v>8</v>
      </c>
      <c r="B47" s="152">
        <v>2893.4545792686331</v>
      </c>
      <c r="C47" s="152">
        <v>0</v>
      </c>
      <c r="D47" s="152">
        <v>5605.348529254461</v>
      </c>
      <c r="E47" s="152">
        <v>83351.522702861403</v>
      </c>
      <c r="F47" s="156"/>
      <c r="G47" s="157"/>
      <c r="H47" s="157"/>
      <c r="I47" s="156"/>
      <c r="J47" s="9"/>
      <c r="K47" s="57"/>
      <c r="L47" s="160"/>
      <c r="M47" s="160"/>
      <c r="N47" s="160"/>
      <c r="O47" s="160"/>
      <c r="P47" s="156"/>
      <c r="Q47" s="160"/>
      <c r="R47" s="157"/>
      <c r="S47" s="156"/>
    </row>
    <row ht="15.75" r="48" spans="1:26" thickBot="1" x14ac:dyDescent="0.3">
      <c r="A48" s="13" t="s">
        <v>19</v>
      </c>
      <c r="B48" s="155">
        <v>3836.1639954401312</v>
      </c>
      <c r="C48" s="155">
        <v>0</v>
      </c>
      <c r="D48" s="155">
        <v>8256.2554484353877</v>
      </c>
      <c r="E48" s="155">
        <v>216781</v>
      </c>
      <c r="F48" s="156"/>
      <c r="G48" s="157"/>
      <c r="H48" s="157"/>
      <c r="I48" s="156"/>
      <c r="J48" s="9"/>
      <c r="K48" s="57"/>
      <c r="L48" s="160"/>
      <c r="M48" s="160"/>
      <c r="N48" s="160"/>
      <c r="O48" s="160"/>
      <c r="P48" s="156"/>
      <c r="Q48" s="160"/>
      <c r="R48" s="157"/>
      <c r="S48" s="156"/>
    </row>
    <row r="49" spans="1:27" x14ac:dyDescent="0.25">
      <c r="A49" s="39"/>
      <c r="B49" s="157"/>
      <c r="C49" s="157"/>
      <c r="D49" s="157"/>
      <c r="E49" s="157"/>
      <c r="F49" s="156"/>
      <c r="G49" s="157"/>
      <c r="H49" s="157"/>
      <c r="I49" s="156"/>
      <c r="J49" s="9"/>
      <c r="K49" s="57"/>
      <c r="L49" s="160"/>
      <c r="M49" s="160"/>
      <c r="N49" s="160"/>
      <c r="O49" s="160"/>
      <c r="P49" s="156"/>
      <c r="Q49" s="160"/>
      <c r="R49" s="157"/>
      <c r="S49" s="156"/>
    </row>
    <row ht="15.75" r="50" spans="1:27" thickBot="1" x14ac:dyDescent="0.3">
      <c r="A50" s="1" t="s">
        <v>342</v>
      </c>
      <c r="B50" s="1"/>
      <c r="C50" s="3"/>
      <c r="E50" s="3"/>
      <c r="F50" s="41"/>
      <c r="G50" s="41"/>
      <c r="H50" s="41"/>
      <c r="I50" s="41"/>
      <c r="K50" s="1" t="s">
        <v>13</v>
      </c>
      <c r="L50" s="1"/>
      <c r="M50" s="3"/>
      <c r="N50" s="3"/>
      <c r="O50" s="3"/>
      <c r="P50" s="41"/>
      <c r="Q50" s="41"/>
      <c r="R50" s="41"/>
      <c r="S50" s="41"/>
    </row>
    <row r="51" spans="1:27" x14ac:dyDescent="0.25">
      <c r="A51" s="2" t="s">
        <v>0</v>
      </c>
      <c r="B51" s="60" t="s">
        <v>239</v>
      </c>
      <c r="C51" s="60" t="s">
        <v>234</v>
      </c>
      <c r="D51" s="60" t="s">
        <v>237</v>
      </c>
      <c r="E51" s="60" t="s">
        <v>19</v>
      </c>
      <c r="F51" s="144" t="s">
        <v>335</v>
      </c>
      <c r="G51" s="145"/>
      <c r="H51" s="145"/>
      <c r="I51" s="145"/>
      <c r="K51" s="2" t="s">
        <v>0</v>
      </c>
      <c r="L51" s="60" t="s">
        <v>239</v>
      </c>
      <c r="M51" s="60" t="s">
        <v>234</v>
      </c>
      <c r="N51" s="60" t="s">
        <v>237</v>
      </c>
      <c r="O51" s="60" t="s">
        <v>19</v>
      </c>
      <c r="P51" s="144" t="s">
        <v>335</v>
      </c>
      <c r="Q51" s="170"/>
      <c r="R51" s="170"/>
      <c r="S51" s="170"/>
    </row>
    <row r="52" spans="1:27" x14ac:dyDescent="0.25">
      <c r="A52" s="9" t="s">
        <v>1</v>
      </c>
      <c r="B52" s="9">
        <v>0</v>
      </c>
      <c r="C52" s="9">
        <v>222.17332500000001</v>
      </c>
      <c r="D52" s="9">
        <v>0</v>
      </c>
      <c r="E52" s="9">
        <v>3811.6281719999997</v>
      </c>
      <c r="F52" s="120">
        <v>2.1515621896155471E-2</v>
      </c>
      <c r="G52" s="125"/>
      <c r="H52" s="125"/>
      <c r="I52" s="120"/>
      <c r="K52" s="9" t="s">
        <v>1</v>
      </c>
      <c r="L52" s="9">
        <v>0</v>
      </c>
      <c r="M52" s="9">
        <v>709</v>
      </c>
      <c r="N52" s="9">
        <v>89</v>
      </c>
      <c r="O52" s="9">
        <v>3515</v>
      </c>
      <c r="P52" s="120">
        <v>1.8457353798329124E-2</v>
      </c>
      <c r="Q52" s="9"/>
      <c r="R52" s="9"/>
      <c r="S52" s="9"/>
      <c r="Y52" s="9"/>
      <c r="Z52" s="9"/>
      <c r="AA52" s="9"/>
    </row>
    <row r="53" spans="1:27" x14ac:dyDescent="0.25">
      <c r="A53" s="9" t="s">
        <v>2</v>
      </c>
      <c r="B53" s="9">
        <v>21.137343999999999</v>
      </c>
      <c r="C53" s="9">
        <v>17963.266242000002</v>
      </c>
      <c r="D53" s="9">
        <v>4150.7170029999997</v>
      </c>
      <c r="E53" s="9">
        <v>82766.386866000001</v>
      </c>
      <c r="F53" s="120">
        <v>0.46719412418063755</v>
      </c>
      <c r="G53" s="125"/>
      <c r="H53" s="125"/>
      <c r="I53" s="120"/>
      <c r="K53" s="9" t="s">
        <v>2</v>
      </c>
      <c r="L53" s="9">
        <v>1286</v>
      </c>
      <c r="M53" s="9">
        <v>33289</v>
      </c>
      <c r="N53" s="9">
        <v>7435</v>
      </c>
      <c r="O53" s="9">
        <v>90592</v>
      </c>
      <c r="P53" s="120">
        <v>0.47570088059693655</v>
      </c>
      <c r="Q53" s="9"/>
      <c r="R53" s="9"/>
      <c r="S53" s="9"/>
    </row>
    <row r="54" spans="1:27" x14ac:dyDescent="0.25">
      <c r="A54" s="9" t="s">
        <v>3</v>
      </c>
      <c r="B54" s="9">
        <v>1025.772172</v>
      </c>
      <c r="C54" s="9">
        <v>14623.665731999999</v>
      </c>
      <c r="D54" s="9">
        <v>1798.325182</v>
      </c>
      <c r="E54" s="9">
        <v>83814.301829000004</v>
      </c>
      <c r="F54" s="120">
        <v>0.4731093239603163</v>
      </c>
      <c r="G54" s="125"/>
      <c r="H54" s="125"/>
      <c r="I54" s="120"/>
      <c r="K54" s="9" t="s">
        <v>3</v>
      </c>
      <c r="L54" s="9">
        <v>4728</v>
      </c>
      <c r="M54" s="9">
        <v>29321</v>
      </c>
      <c r="N54" s="9">
        <v>6507</v>
      </c>
      <c r="O54" s="9">
        <v>90215</v>
      </c>
      <c r="P54" s="120">
        <v>0.47372124407290522</v>
      </c>
      <c r="Q54" s="9"/>
      <c r="R54" s="9"/>
      <c r="S54" s="9"/>
    </row>
    <row r="55" spans="1:27" x14ac:dyDescent="0.25">
      <c r="A55" s="9" t="s">
        <v>4</v>
      </c>
      <c r="B55" s="9">
        <v>0</v>
      </c>
      <c r="C55" s="9">
        <v>0</v>
      </c>
      <c r="D55" s="9">
        <v>0</v>
      </c>
      <c r="E55" s="9">
        <v>671.04026099999999</v>
      </c>
      <c r="F55" s="120">
        <v>3.7878428538316209E-3</v>
      </c>
      <c r="G55" s="125"/>
      <c r="H55" s="125"/>
      <c r="I55" s="120"/>
      <c r="K55" s="9" t="s">
        <v>4</v>
      </c>
      <c r="L55" s="9">
        <v>0</v>
      </c>
      <c r="M55" s="9">
        <v>0</v>
      </c>
      <c r="N55" s="9">
        <v>0</v>
      </c>
      <c r="O55" s="9">
        <v>0</v>
      </c>
      <c r="P55" s="120">
        <v>0</v>
      </c>
      <c r="Q55" s="9"/>
      <c r="R55" s="9"/>
      <c r="S55" s="9"/>
      <c r="W55" s="9"/>
      <c r="X55" s="9"/>
      <c r="Y55" s="116"/>
    </row>
    <row r="56" spans="1:27" x14ac:dyDescent="0.25">
      <c r="A56" s="9" t="s">
        <v>5</v>
      </c>
      <c r="B56" s="9">
        <v>221.27604499999998</v>
      </c>
      <c r="C56" s="9">
        <v>0</v>
      </c>
      <c r="D56" s="9">
        <v>0</v>
      </c>
      <c r="E56" s="9">
        <v>608.40414199999998</v>
      </c>
      <c r="F56" s="120">
        <v>3.4342787094204749E-3</v>
      </c>
      <c r="G56" s="125"/>
      <c r="H56" s="125"/>
      <c r="I56" s="120"/>
      <c r="K56" s="9" t="s">
        <v>5</v>
      </c>
      <c r="L56" s="9">
        <v>0</v>
      </c>
      <c r="M56" s="9">
        <v>0</v>
      </c>
      <c r="N56" s="9">
        <v>0</v>
      </c>
      <c r="O56" s="9">
        <v>0</v>
      </c>
      <c r="P56" s="120">
        <v>0</v>
      </c>
      <c r="Q56" s="9"/>
      <c r="R56" s="9"/>
      <c r="S56" s="9"/>
      <c r="W56" s="9"/>
      <c r="X56" s="9"/>
      <c r="Y56" s="116"/>
    </row>
    <row r="57" spans="1:27" x14ac:dyDescent="0.25">
      <c r="A57" s="9" t="s">
        <v>6</v>
      </c>
      <c r="B57" s="9">
        <v>0</v>
      </c>
      <c r="C57" s="9">
        <v>0</v>
      </c>
      <c r="D57" s="9">
        <v>0</v>
      </c>
      <c r="E57" s="9">
        <v>0</v>
      </c>
      <c r="F57" s="120">
        <v>0</v>
      </c>
      <c r="G57" s="125"/>
      <c r="H57" s="125"/>
      <c r="I57" s="120"/>
      <c r="K57" s="9" t="s">
        <v>6</v>
      </c>
      <c r="L57" s="9">
        <v>91</v>
      </c>
      <c r="M57" s="9">
        <v>3</v>
      </c>
      <c r="N57" s="9">
        <v>0</v>
      </c>
      <c r="O57" s="9">
        <v>97</v>
      </c>
      <c r="P57" s="120">
        <v>5.0934945048020628E-4</v>
      </c>
      <c r="Q57" s="9"/>
      <c r="R57" s="9"/>
      <c r="S57" s="9"/>
      <c r="V57" s="171"/>
      <c r="W57" s="9"/>
      <c r="X57" s="9"/>
      <c r="Y57" s="116"/>
    </row>
    <row r="58" spans="1:27" x14ac:dyDescent="0.25">
      <c r="A58" s="9" t="s">
        <v>7</v>
      </c>
      <c r="B58" s="9">
        <v>283.25980699999997</v>
      </c>
      <c r="C58" s="9">
        <v>1777.3523149999999</v>
      </c>
      <c r="D58" s="9">
        <v>104.019808</v>
      </c>
      <c r="E58" s="9">
        <v>5094.9862190000003</v>
      </c>
      <c r="F58" s="120">
        <v>2.8759834933376287E-2</v>
      </c>
      <c r="G58" s="125"/>
      <c r="H58" s="125"/>
      <c r="I58" s="120"/>
      <c r="K58" s="9" t="s">
        <v>7</v>
      </c>
      <c r="L58" s="9">
        <v>1026</v>
      </c>
      <c r="M58" s="9">
        <v>2429</v>
      </c>
      <c r="N58" s="9">
        <v>650</v>
      </c>
      <c r="O58" s="9">
        <v>6020</v>
      </c>
      <c r="P58" s="120">
        <v>3.1611172081348886E-2</v>
      </c>
      <c r="Q58" s="9"/>
      <c r="R58" s="9"/>
      <c r="S58" s="9"/>
      <c r="V58" s="171"/>
      <c r="W58" s="9"/>
      <c r="X58" s="9"/>
      <c r="Y58" s="116"/>
    </row>
    <row r="59" spans="1:27" x14ac:dyDescent="0.25">
      <c r="A59" s="14" t="s">
        <v>8</v>
      </c>
      <c r="B59" s="9">
        <v>0</v>
      </c>
      <c r="C59" s="9">
        <v>0</v>
      </c>
      <c r="D59" s="9">
        <v>0</v>
      </c>
      <c r="E59" s="9">
        <v>389.56202400000001</v>
      </c>
      <c r="F59" s="120">
        <v>2.1989734662620822E-3</v>
      </c>
      <c r="G59" s="125"/>
      <c r="H59" s="125"/>
      <c r="I59" s="120"/>
      <c r="K59" s="14" t="s">
        <v>8</v>
      </c>
      <c r="L59" s="9">
        <v>0</v>
      </c>
      <c r="M59" s="9">
        <v>0</v>
      </c>
      <c r="N59" s="9">
        <v>0</v>
      </c>
      <c r="O59" s="9">
        <v>0</v>
      </c>
      <c r="P59" s="120">
        <v>0</v>
      </c>
      <c r="Q59" s="9"/>
      <c r="R59" s="9"/>
      <c r="S59" s="9"/>
      <c r="W59" s="9"/>
      <c r="X59" s="9"/>
      <c r="Y59" s="116"/>
    </row>
    <row ht="15.75" r="60" spans="1:27" thickBot="1" x14ac:dyDescent="0.3">
      <c r="A60" s="13" t="s">
        <v>19</v>
      </c>
      <c r="B60" s="67">
        <v>1551.4453679999999</v>
      </c>
      <c r="C60" s="67">
        <v>34586.457613999999</v>
      </c>
      <c r="D60" s="67">
        <v>6053.0619930000003</v>
      </c>
      <c r="E60" s="67">
        <v>177156.30951300004</v>
      </c>
      <c r="F60" s="156">
        <v>1</v>
      </c>
      <c r="G60" s="157"/>
      <c r="H60" s="157"/>
      <c r="I60" s="156"/>
      <c r="K60" s="13" t="s">
        <v>19</v>
      </c>
      <c r="L60" s="67">
        <v>7131</v>
      </c>
      <c r="M60" s="67">
        <v>65751</v>
      </c>
      <c r="N60" s="67">
        <v>14681</v>
      </c>
      <c r="O60" s="67">
        <v>190439</v>
      </c>
      <c r="P60" s="156">
        <v>1</v>
      </c>
      <c r="Q60" s="160"/>
      <c r="R60" s="160"/>
      <c r="S60" s="160"/>
    </row>
    <row ht="15.75" r="62" spans="1:27" thickBot="1" x14ac:dyDescent="0.3">
      <c r="A62" s="1" t="s">
        <v>343</v>
      </c>
      <c r="B62" s="1"/>
      <c r="C62" s="3"/>
      <c r="E62" s="3"/>
      <c r="F62" s="41"/>
      <c r="G62" s="41"/>
      <c r="H62" s="41"/>
      <c r="I62" s="41"/>
      <c r="K62" s="1" t="s">
        <v>344</v>
      </c>
      <c r="L62" s="1"/>
      <c r="M62" s="3"/>
      <c r="N62" s="3"/>
      <c r="O62" s="3"/>
      <c r="P62" s="41"/>
      <c r="Q62" s="41"/>
      <c r="R62" s="41"/>
      <c r="S62" s="41"/>
    </row>
    <row r="63" spans="1:27" x14ac:dyDescent="0.25">
      <c r="A63" s="2" t="s">
        <v>0</v>
      </c>
      <c r="B63" s="60" t="s">
        <v>239</v>
      </c>
      <c r="C63" s="60" t="s">
        <v>234</v>
      </c>
      <c r="D63" s="60" t="s">
        <v>237</v>
      </c>
      <c r="E63" s="60" t="s">
        <v>19</v>
      </c>
      <c r="F63" s="144" t="s">
        <v>335</v>
      </c>
      <c r="G63" s="145" t="s">
        <v>336</v>
      </c>
      <c r="H63" s="145" t="s">
        <v>337</v>
      </c>
      <c r="I63" s="145" t="s">
        <v>335</v>
      </c>
      <c r="K63" s="2" t="s">
        <v>0</v>
      </c>
      <c r="L63" s="60" t="s">
        <v>239</v>
      </c>
      <c r="M63" s="60" t="s">
        <v>234</v>
      </c>
      <c r="N63" s="60" t="s">
        <v>237</v>
      </c>
      <c r="O63" s="60" t="s">
        <v>19</v>
      </c>
      <c r="P63" s="144" t="s">
        <v>335</v>
      </c>
      <c r="Q63" s="145" t="s">
        <v>336</v>
      </c>
      <c r="R63" s="145" t="s">
        <v>337</v>
      </c>
      <c r="S63" s="145" t="s">
        <v>335</v>
      </c>
    </row>
    <row r="64" spans="1:27" x14ac:dyDescent="0.25">
      <c r="A64" s="9" t="s">
        <v>1</v>
      </c>
      <c r="B64" s="9">
        <v>0</v>
      </c>
      <c r="C64" s="9"/>
      <c r="D64" s="9">
        <v>5164.2346690000004</v>
      </c>
      <c r="E64" s="9">
        <v>245727.24463699997</v>
      </c>
      <c r="F64" s="120">
        <v>0.39443918742857481</v>
      </c>
      <c r="G64" s="125">
        <v>247213.17545194225</v>
      </c>
      <c r="H64" s="125">
        <v>275997.9309145002</v>
      </c>
      <c r="I64" s="120">
        <v>0.39714675389739179</v>
      </c>
      <c r="J64" s="9"/>
      <c r="K64" s="9" t="s">
        <v>1</v>
      </c>
      <c r="L64" s="9">
        <v>0</v>
      </c>
      <c r="M64" s="9">
        <v>49049</v>
      </c>
      <c r="N64" s="9">
        <v>11176</v>
      </c>
      <c r="O64" s="9">
        <v>278508</v>
      </c>
      <c r="P64" s="120">
        <v>0.40075861354453257</v>
      </c>
      <c r="Q64" s="9">
        <v>278508</v>
      </c>
      <c r="R64" s="125">
        <v>278697.18477254751</v>
      </c>
      <c r="S64" s="120">
        <v>0.40103084065165295</v>
      </c>
    </row>
    <row r="65" spans="1:19" x14ac:dyDescent="0.25">
      <c r="A65" s="9" t="s">
        <v>2</v>
      </c>
      <c r="B65" s="9">
        <v>8865.5612240000009</v>
      </c>
      <c r="C65" s="9"/>
      <c r="D65" s="9">
        <v>10010.309319</v>
      </c>
      <c r="E65" s="9">
        <v>204281.20153600001</v>
      </c>
      <c r="F65" s="120">
        <v>0.32791036769172355</v>
      </c>
      <c r="G65" s="125">
        <v>205516.50506420337</v>
      </c>
      <c r="H65" s="125">
        <v>229446.22616817686</v>
      </c>
      <c r="I65" s="120">
        <v>0.33016125742234981</v>
      </c>
      <c r="J65" s="9"/>
      <c r="K65" s="9" t="s">
        <v>2</v>
      </c>
      <c r="L65" s="9">
        <v>11359</v>
      </c>
      <c r="M65" s="9">
        <v>68338</v>
      </c>
      <c r="N65" s="9">
        <v>15431</v>
      </c>
      <c r="O65" s="9">
        <v>230754</v>
      </c>
      <c r="P65" s="120">
        <v>0.33204307635635266</v>
      </c>
      <c r="Q65" s="9">
        <v>230754</v>
      </c>
      <c r="R65" s="125">
        <v>230910.74645972261</v>
      </c>
      <c r="S65" s="120">
        <v>0.33226862640833121</v>
      </c>
    </row>
    <row r="66" spans="1:19" x14ac:dyDescent="0.25">
      <c r="A66" s="9" t="s">
        <v>3</v>
      </c>
      <c r="B66" s="9">
        <v>2878.0378359999995</v>
      </c>
      <c r="C66" s="9"/>
      <c r="D66" s="9">
        <v>1327.770753</v>
      </c>
      <c r="E66" s="9">
        <v>124590.22938</v>
      </c>
      <c r="F66" s="120">
        <v>0.1999911280118073</v>
      </c>
      <c r="G66" s="125">
        <v>125343.63570802016</v>
      </c>
      <c r="H66" s="125">
        <v>139938.27005971831</v>
      </c>
      <c r="I66" s="120">
        <v>0.2013639360124416</v>
      </c>
      <c r="J66" s="9"/>
      <c r="K66" s="9" t="s">
        <v>3</v>
      </c>
      <c r="L66" s="9">
        <v>3966</v>
      </c>
      <c r="M66" s="9">
        <v>47753</v>
      </c>
      <c r="N66" s="9">
        <v>3459</v>
      </c>
      <c r="O66" s="9">
        <v>140523</v>
      </c>
      <c r="P66" s="120">
        <v>0.2022053321668259</v>
      </c>
      <c r="Q66" s="9">
        <v>140523</v>
      </c>
      <c r="R66" s="125">
        <v>140618.45439194815</v>
      </c>
      <c r="S66" s="120">
        <v>0.20234268610198711</v>
      </c>
    </row>
    <row r="67" spans="1:19" x14ac:dyDescent="0.25">
      <c r="A67" s="9" t="s">
        <v>4</v>
      </c>
      <c r="B67" s="172">
        <v>0</v>
      </c>
      <c r="C67" s="172"/>
      <c r="D67" s="172">
        <v>0</v>
      </c>
      <c r="E67" s="173">
        <v>717.00448700000004</v>
      </c>
      <c r="F67" s="120">
        <v>1.150929225014139E-3</v>
      </c>
      <c r="G67" s="151">
        <v>0</v>
      </c>
      <c r="H67" s="151">
        <v>0</v>
      </c>
      <c r="I67" s="120">
        <v>0</v>
      </c>
      <c r="J67" s="9"/>
      <c r="K67" s="9" t="s">
        <v>4</v>
      </c>
      <c r="L67" s="9">
        <v>0</v>
      </c>
      <c r="M67" s="9">
        <v>0</v>
      </c>
      <c r="N67" s="9">
        <v>0</v>
      </c>
      <c r="O67" s="9">
        <v>0</v>
      </c>
      <c r="P67" s="120">
        <v>0</v>
      </c>
      <c r="Q67" s="9">
        <v>0</v>
      </c>
      <c r="R67" s="9">
        <v>0</v>
      </c>
      <c r="S67" s="120">
        <v>0</v>
      </c>
    </row>
    <row r="68" spans="1:19" x14ac:dyDescent="0.25">
      <c r="A68" s="9" t="s">
        <v>5</v>
      </c>
      <c r="B68" s="172">
        <v>3055.0921422831348</v>
      </c>
      <c r="C68" s="172"/>
      <c r="D68" s="172">
        <v>735.07865532555206</v>
      </c>
      <c r="E68" s="173">
        <v>7846.9524730000012</v>
      </c>
      <c r="F68" s="120">
        <v>1.259585831360728E-2</v>
      </c>
      <c r="G68" s="151">
        <v>4848.5450880556346</v>
      </c>
      <c r="H68" s="151">
        <v>4848.5450880556346</v>
      </c>
      <c r="I68" s="120">
        <v>6.9768057190361847E-3</v>
      </c>
      <c r="J68" s="9"/>
      <c r="K68" s="9" t="s">
        <v>5</v>
      </c>
      <c r="L68" s="9">
        <v>4511</v>
      </c>
      <c r="M68" s="9">
        <v>297</v>
      </c>
      <c r="N68" s="9">
        <v>74</v>
      </c>
      <c r="O68" s="9">
        <v>5317</v>
      </c>
      <c r="P68" s="120">
        <v>7.6508881188916645E-3</v>
      </c>
      <c r="Q68" s="9">
        <v>4848.5450880556346</v>
      </c>
      <c r="R68" s="9">
        <v>4848.5450880556346</v>
      </c>
      <c r="S68" s="120">
        <v>6.9768057190361847E-3</v>
      </c>
    </row>
    <row r="69" spans="1:19" x14ac:dyDescent="0.25">
      <c r="A69" s="9" t="s">
        <v>6</v>
      </c>
      <c r="B69" s="9">
        <v>377.34831799999995</v>
      </c>
      <c r="C69" s="9"/>
      <c r="D69" s="9">
        <v>0</v>
      </c>
      <c r="E69" s="9">
        <v>4268.9193940000005</v>
      </c>
      <c r="F69" s="120">
        <v>6.8524314406197689E-3</v>
      </c>
      <c r="G69" s="125">
        <v>4294.7338651768532</v>
      </c>
      <c r="H69" s="125">
        <v>4794.799704547594</v>
      </c>
      <c r="I69" s="120">
        <v>6.8994688907256822E-3</v>
      </c>
      <c r="J69" s="9"/>
      <c r="K69" s="9" t="s">
        <v>6</v>
      </c>
      <c r="L69" s="9">
        <v>660</v>
      </c>
      <c r="M69" s="9">
        <v>1434</v>
      </c>
      <c r="N69" s="9">
        <v>415</v>
      </c>
      <c r="O69" s="9">
        <v>4777</v>
      </c>
      <c r="P69" s="120">
        <v>6.8738560361003348E-3</v>
      </c>
      <c r="Q69" s="9">
        <v>4777</v>
      </c>
      <c r="R69" s="125">
        <v>4780.2449181296743</v>
      </c>
      <c r="S69" s="120">
        <v>6.8785253055314239E-3</v>
      </c>
    </row>
    <row r="70" spans="1:19" x14ac:dyDescent="0.25">
      <c r="A70" s="9" t="s">
        <v>7</v>
      </c>
      <c r="B70" s="9">
        <v>4744.606753</v>
      </c>
      <c r="C70" s="9"/>
      <c r="D70" s="9">
        <v>1803.5316759999998</v>
      </c>
      <c r="E70" s="9">
        <v>32871.929419</v>
      </c>
      <c r="F70" s="120">
        <v>5.2765728718416165E-2</v>
      </c>
      <c r="G70" s="125">
        <v>33070.708406419391</v>
      </c>
      <c r="H70" s="125">
        <v>36921.361805907778</v>
      </c>
      <c r="I70" s="120">
        <v>5.3127930858401409E-2</v>
      </c>
      <c r="J70" s="9"/>
      <c r="K70" s="9" t="s">
        <v>7</v>
      </c>
      <c r="L70" s="9">
        <v>4112</v>
      </c>
      <c r="M70" s="9">
        <v>10782</v>
      </c>
      <c r="N70" s="9">
        <v>2594</v>
      </c>
      <c r="O70" s="9">
        <v>35073</v>
      </c>
      <c r="P70" s="120">
        <v>5.0468233777296846E-2</v>
      </c>
      <c r="Q70" s="9">
        <v>35073</v>
      </c>
      <c r="R70" s="125">
        <v>35096.824369596419</v>
      </c>
      <c r="S70" s="120">
        <v>5.0502515813461102E-2</v>
      </c>
    </row>
    <row r="71" spans="1:19" x14ac:dyDescent="0.25">
      <c r="A71" s="14" t="s">
        <v>8</v>
      </c>
      <c r="B71" s="9">
        <v>0</v>
      </c>
      <c r="C71" s="9"/>
      <c r="D71" s="9">
        <v>0</v>
      </c>
      <c r="E71" s="9">
        <v>2675.3008760000002</v>
      </c>
      <c r="F71" s="120">
        <v>4.2943691702369046E-3</v>
      </c>
      <c r="G71" s="125">
        <v>2691.4786181822437</v>
      </c>
      <c r="H71" s="125">
        <v>3004.8662590935583</v>
      </c>
      <c r="I71" s="120">
        <v>4.3238471996534409E-3</v>
      </c>
      <c r="J71" s="9"/>
      <c r="K71" s="14" t="s">
        <v>8</v>
      </c>
      <c r="L71" s="9">
        <v>0</v>
      </c>
      <c r="M71" s="9">
        <v>0</v>
      </c>
      <c r="N71" s="9">
        <v>0</v>
      </c>
      <c r="O71" s="9">
        <v>0</v>
      </c>
      <c r="P71" s="120">
        <v>0</v>
      </c>
      <c r="Q71" s="9">
        <v>0</v>
      </c>
      <c r="R71" s="125">
        <v>0</v>
      </c>
      <c r="S71" s="120">
        <v>0</v>
      </c>
    </row>
    <row ht="15.75" r="72" spans="1:19" thickBot="1" x14ac:dyDescent="0.3">
      <c r="A72" s="13" t="s">
        <v>19</v>
      </c>
      <c r="B72" s="67">
        <v>19920.646273283135</v>
      </c>
      <c r="C72" s="67">
        <v>0</v>
      </c>
      <c r="D72" s="67">
        <v>19040.925072325554</v>
      </c>
      <c r="E72" s="67">
        <v>622978.78220200003</v>
      </c>
      <c r="F72" s="156">
        <v>1</v>
      </c>
      <c r="G72" s="157">
        <v>622978.78220200003</v>
      </c>
      <c r="H72" s="157">
        <v>694952</v>
      </c>
      <c r="I72" s="156">
        <v>1</v>
      </c>
      <c r="K72" s="13" t="s">
        <v>19</v>
      </c>
      <c r="L72" s="67">
        <v>24608</v>
      </c>
      <c r="M72" s="67">
        <v>177653</v>
      </c>
      <c r="N72" s="67">
        <v>33149</v>
      </c>
      <c r="O72" s="67">
        <v>694952</v>
      </c>
      <c r="P72" s="156">
        <v>1</v>
      </c>
      <c r="Q72" s="160">
        <v>694483.54508805566</v>
      </c>
      <c r="R72" s="157">
        <v>694952</v>
      </c>
      <c r="S72" s="156">
        <v>1</v>
      </c>
    </row>
    <row ht="15.75" r="74" spans="1:19" thickBot="1" x14ac:dyDescent="0.3">
      <c r="A74" s="57" t="s">
        <v>345</v>
      </c>
      <c r="B74" s="157"/>
      <c r="C74" s="157"/>
      <c r="D74" s="157"/>
      <c r="E74" s="157"/>
    </row>
    <row r="75" spans="1:19" x14ac:dyDescent="0.25">
      <c r="A75" s="2" t="s">
        <v>0</v>
      </c>
      <c r="B75" s="143" t="s">
        <v>239</v>
      </c>
      <c r="C75" s="143" t="s">
        <v>234</v>
      </c>
      <c r="D75" s="143" t="s">
        <v>237</v>
      </c>
      <c r="E75" s="143" t="s">
        <v>19</v>
      </c>
    </row>
    <row r="76" spans="1:19" x14ac:dyDescent="0.25">
      <c r="A76" s="9" t="s">
        <v>1</v>
      </c>
      <c r="B76" s="125">
        <v>0</v>
      </c>
      <c r="C76" s="125">
        <v>0</v>
      </c>
      <c r="D76" s="125">
        <v>5800.4072177933585</v>
      </c>
      <c r="E76" s="125">
        <v>275997.9309145002</v>
      </c>
    </row>
    <row r="77" spans="1:19" x14ac:dyDescent="0.25">
      <c r="A77" s="9" t="s">
        <v>2</v>
      </c>
      <c r="B77" s="125">
        <v>9957.6933678415135</v>
      </c>
      <c r="C77" s="125">
        <v>0</v>
      </c>
      <c r="D77" s="125">
        <v>11243.460870362649</v>
      </c>
      <c r="E77" s="125">
        <v>229446.22616817686</v>
      </c>
    </row>
    <row r="78" spans="1:19" x14ac:dyDescent="0.25">
      <c r="A78" s="9" t="s">
        <v>3</v>
      </c>
      <c r="B78" s="125">
        <v>3232.5780114576687</v>
      </c>
      <c r="C78" s="125">
        <v>0</v>
      </c>
      <c r="D78" s="125">
        <v>1491.3363843644729</v>
      </c>
      <c r="E78" s="125">
        <v>139938.27005971831</v>
      </c>
    </row>
    <row r="79" spans="1:19" x14ac:dyDescent="0.25">
      <c r="A79" s="9" t="s">
        <v>4</v>
      </c>
      <c r="B79" s="151">
        <v>0</v>
      </c>
      <c r="C79" s="151">
        <v>0</v>
      </c>
      <c r="D79" s="151">
        <v>0</v>
      </c>
      <c r="E79" s="151">
        <v>0</v>
      </c>
    </row>
    <row r="80" spans="1:19" x14ac:dyDescent="0.25">
      <c r="A80" s="9" t="s">
        <v>5</v>
      </c>
      <c r="B80" s="151">
        <v>3055.0921422831348</v>
      </c>
      <c r="C80" s="151">
        <v>0</v>
      </c>
      <c r="D80" s="151">
        <v>735.07865532555206</v>
      </c>
      <c r="E80" s="151">
        <v>4848.5450880556346</v>
      </c>
    </row>
    <row r="81" spans="1:27" x14ac:dyDescent="0.25">
      <c r="A81" s="9" t="s">
        <v>6</v>
      </c>
      <c r="B81" s="125">
        <v>423.83316166637627</v>
      </c>
      <c r="C81" s="125">
        <v>0</v>
      </c>
      <c r="D81" s="125">
        <v>0</v>
      </c>
      <c r="E81" s="125">
        <v>4794.799704547594</v>
      </c>
    </row>
    <row r="82" spans="1:27" x14ac:dyDescent="0.25">
      <c r="A82" s="9" t="s">
        <v>7</v>
      </c>
      <c r="B82" s="125">
        <v>5329.0861123902787</v>
      </c>
      <c r="C82" s="125">
        <v>0</v>
      </c>
      <c r="D82" s="125">
        <v>2025.7054184207036</v>
      </c>
      <c r="E82" s="125">
        <v>36921.361805907778</v>
      </c>
    </row>
    <row r="83" spans="1:27" x14ac:dyDescent="0.25">
      <c r="A83" s="14" t="s">
        <v>8</v>
      </c>
      <c r="B83" s="152">
        <v>0</v>
      </c>
      <c r="C83" s="152">
        <v>0</v>
      </c>
      <c r="D83" s="152">
        <v>0</v>
      </c>
      <c r="E83" s="152">
        <v>3004.8662590935583</v>
      </c>
    </row>
    <row ht="15.75" r="84" spans="1:27" thickBot="1" x14ac:dyDescent="0.3">
      <c r="A84" s="13" t="s">
        <v>19</v>
      </c>
      <c r="B84" s="155">
        <v>21998.28279563897</v>
      </c>
      <c r="C84" s="155">
        <v>0</v>
      </c>
      <c r="D84" s="155">
        <v>21295.988546266737</v>
      </c>
      <c r="E84" s="155">
        <v>694952</v>
      </c>
    </row>
    <row ht="15.75" r="86" spans="1:27" thickBot="1" x14ac:dyDescent="0.3">
      <c r="A86" s="1" t="s">
        <v>46</v>
      </c>
      <c r="B86" s="1"/>
      <c r="C86" s="41"/>
      <c r="D86" s="41"/>
      <c r="E86" s="41"/>
      <c r="F86" s="41"/>
      <c r="G86" s="41"/>
      <c r="H86" s="41"/>
      <c r="I86" s="41"/>
      <c r="J86" s="41"/>
      <c r="K86" s="1" t="s">
        <v>47</v>
      </c>
      <c r="L86" s="1"/>
      <c r="M86" s="41"/>
      <c r="N86" s="41"/>
      <c r="O86" s="41"/>
      <c r="P86" s="41"/>
      <c r="Q86" s="41"/>
      <c r="R86" s="41"/>
      <c r="S86" s="41"/>
      <c r="U86" s="41"/>
      <c r="V86" s="41"/>
      <c r="W86" s="41"/>
      <c r="X86" s="41"/>
    </row>
    <row r="87" spans="1:27" x14ac:dyDescent="0.25">
      <c r="A87" s="5"/>
      <c r="B87" s="174"/>
      <c r="C87" s="175"/>
      <c r="D87" s="175"/>
      <c r="E87" s="175"/>
      <c r="F87" s="175"/>
      <c r="G87" s="175"/>
      <c r="H87" s="175"/>
      <c r="I87" s="175"/>
      <c r="J87" s="175"/>
      <c r="K87" s="5"/>
      <c r="L87" s="176"/>
      <c r="M87" s="130"/>
      <c r="N87" s="41"/>
      <c r="O87" s="41"/>
      <c r="P87" s="41"/>
      <c r="Q87" s="41"/>
      <c r="R87" s="41"/>
      <c r="S87" s="41"/>
      <c r="U87" s="176"/>
      <c r="V87" s="176"/>
      <c r="W87" s="176"/>
      <c r="X87" s="176"/>
    </row>
    <row r="88" spans="1:27" x14ac:dyDescent="0.25">
      <c r="A88" s="6" t="s">
        <v>0</v>
      </c>
      <c r="B88" s="7" t="s">
        <v>19</v>
      </c>
      <c r="C88" s="130" t="s">
        <v>335</v>
      </c>
      <c r="D88" s="145" t="s">
        <v>336</v>
      </c>
      <c r="E88" s="145" t="s">
        <v>337</v>
      </c>
      <c r="F88" s="145" t="s">
        <v>335</v>
      </c>
      <c r="G88" s="130"/>
      <c r="H88" s="130"/>
      <c r="I88" s="130"/>
      <c r="J88" s="130"/>
      <c r="K88" s="6" t="s">
        <v>0</v>
      </c>
      <c r="L88" s="7" t="s">
        <v>19</v>
      </c>
      <c r="M88" s="130" t="s">
        <v>335</v>
      </c>
      <c r="N88" s="145" t="s">
        <v>336</v>
      </c>
      <c r="O88" s="145" t="s">
        <v>337</v>
      </c>
      <c r="P88" s="145" t="s">
        <v>335</v>
      </c>
      <c r="U88" s="130"/>
      <c r="V88" s="130"/>
      <c r="W88" s="130"/>
      <c r="X88" s="130"/>
    </row>
    <row r="89" spans="1:27" x14ac:dyDescent="0.25">
      <c r="A89" t="s">
        <v>1</v>
      </c>
      <c r="B89" s="9">
        <v>40628.087941999998</v>
      </c>
      <c r="C89" s="177">
        <v>0.55187041563981487</v>
      </c>
      <c r="D89" s="125">
        <v>40311.799021475454</v>
      </c>
      <c r="E89" s="125">
        <v>53156.966964404848</v>
      </c>
      <c r="F89" s="177">
        <v>0.54866610549115269</v>
      </c>
      <c r="G89" s="12"/>
      <c r="I89" s="12"/>
      <c r="J89" s="12"/>
      <c r="K89" s="9" t="s">
        <v>1</v>
      </c>
      <c r="L89" s="9">
        <v>49356</v>
      </c>
      <c r="M89" s="177">
        <v>0.50943396226415094</v>
      </c>
      <c r="N89" s="9">
        <v>49356</v>
      </c>
      <c r="O89" s="125">
        <v>49115.037589335116</v>
      </c>
      <c r="P89" s="120">
        <v>0.50694683940934637</v>
      </c>
      <c r="T89" s="9"/>
      <c r="U89" s="12"/>
      <c r="V89" s="12"/>
      <c r="W89" s="12"/>
      <c r="X89" s="12"/>
      <c r="Z89" s="9"/>
      <c r="AA89" s="125"/>
    </row>
    <row r="90" spans="1:27" x14ac:dyDescent="0.25">
      <c r="A90" t="s">
        <v>2</v>
      </c>
      <c r="B90" s="9">
        <v>17360.119548999999</v>
      </c>
      <c r="C90" s="177">
        <v>0.23581066391163974</v>
      </c>
      <c r="D90" s="125">
        <v>17224.971336261835</v>
      </c>
      <c r="E90" s="125">
        <v>22713.628627606162</v>
      </c>
      <c r="F90" s="177">
        <v>0.23444148288268607</v>
      </c>
      <c r="G90" s="12"/>
      <c r="H90" s="12"/>
      <c r="I90" s="12"/>
      <c r="J90" s="12"/>
      <c r="K90" s="9" t="s">
        <v>2</v>
      </c>
      <c r="L90" s="9">
        <v>20905</v>
      </c>
      <c r="M90" s="177">
        <v>0.21577350233268652</v>
      </c>
      <c r="N90" s="9">
        <v>20905</v>
      </c>
      <c r="O90" s="125">
        <v>20802.939071339872</v>
      </c>
      <c r="P90" s="120">
        <v>0.21472006803331686</v>
      </c>
      <c r="T90" s="9"/>
      <c r="U90" s="12"/>
      <c r="V90" s="12"/>
      <c r="W90" s="12"/>
      <c r="X90" s="12"/>
      <c r="Z90" s="9"/>
      <c r="AA90" s="125"/>
    </row>
    <row r="91" spans="1:27" x14ac:dyDescent="0.25">
      <c r="A91" t="s">
        <v>3</v>
      </c>
      <c r="B91" s="9">
        <v>6637.0836180000006</v>
      </c>
      <c r="C91" s="177">
        <v>9.0154626526624509E-2</v>
      </c>
      <c r="D91" s="125">
        <v>6585.4140435921381</v>
      </c>
      <c r="E91" s="125">
        <v>8683.8257100772389</v>
      </c>
      <c r="F91" s="177">
        <v>8.9631164176512512E-2</v>
      </c>
      <c r="G91" s="12"/>
      <c r="H91" s="12"/>
      <c r="I91" s="12"/>
      <c r="J91" s="12"/>
      <c r="K91" s="9" t="s">
        <v>3</v>
      </c>
      <c r="L91" s="9">
        <v>9211</v>
      </c>
      <c r="M91" s="177">
        <v>9.5072457784567105E-2</v>
      </c>
      <c r="N91" s="9">
        <v>9211</v>
      </c>
      <c r="O91" s="125">
        <v>9166.0307001249239</v>
      </c>
      <c r="P91" s="120">
        <v>9.4608301681649437E-2</v>
      </c>
      <c r="T91" s="9"/>
      <c r="U91" s="12"/>
      <c r="V91" s="12"/>
      <c r="W91" s="12"/>
      <c r="X91" s="12"/>
      <c r="Z91" s="9"/>
      <c r="AA91" s="125"/>
    </row>
    <row r="92" spans="1:27" x14ac:dyDescent="0.25">
      <c r="A92" t="s">
        <v>4</v>
      </c>
      <c r="B92" s="9">
        <v>0</v>
      </c>
      <c r="C92" s="177">
        <v>0</v>
      </c>
      <c r="D92" s="178">
        <v>0</v>
      </c>
      <c r="E92" s="151">
        <v>0</v>
      </c>
      <c r="F92" s="177">
        <v>0</v>
      </c>
      <c r="G92" s="12"/>
      <c r="H92" s="12"/>
      <c r="I92" s="12"/>
      <c r="J92" s="12"/>
      <c r="K92" t="s">
        <v>4</v>
      </c>
      <c r="L92" s="9">
        <v>0</v>
      </c>
      <c r="M92" s="177">
        <v>0</v>
      </c>
      <c r="N92" s="131">
        <v>0</v>
      </c>
      <c r="O92" s="131">
        <v>0</v>
      </c>
      <c r="P92" s="120">
        <v>0</v>
      </c>
      <c r="T92" s="9"/>
      <c r="U92" s="12"/>
      <c r="V92" s="12"/>
      <c r="W92" s="12"/>
      <c r="X92" s="12"/>
      <c r="Z92" s="9"/>
      <c r="AA92" s="125"/>
    </row>
    <row r="93" spans="1:27" x14ac:dyDescent="0.25">
      <c r="A93" t="s">
        <v>5</v>
      </c>
      <c r="B93" s="9">
        <v>33.485045</v>
      </c>
      <c r="C93" s="177">
        <v>4.5484310579047688E-4</v>
      </c>
      <c r="D93" s="178">
        <v>606.34608217495622</v>
      </c>
      <c r="E93" s="151">
        <v>606.34608217495634</v>
      </c>
      <c r="F93" s="177">
        <v>6.2584748996217772E-3</v>
      </c>
      <c r="G93" s="12"/>
      <c r="H93" s="12"/>
      <c r="I93" s="12"/>
      <c r="J93" s="12"/>
      <c r="K93" s="9" t="s">
        <v>5</v>
      </c>
      <c r="L93" s="9">
        <v>134</v>
      </c>
      <c r="M93" s="177">
        <v>1.3830973122497007E-3</v>
      </c>
      <c r="N93" s="131">
        <v>606.34608217495622</v>
      </c>
      <c r="O93" s="131">
        <v>606.34608217495622</v>
      </c>
      <c r="P93" s="120">
        <v>6.2584748996217764E-3</v>
      </c>
      <c r="T93" s="9"/>
      <c r="U93" s="12"/>
      <c r="V93" s="12"/>
      <c r="W93" s="12"/>
      <c r="X93" s="12"/>
      <c r="Z93" s="9"/>
      <c r="AA93" s="125"/>
    </row>
    <row r="94" spans="1:27" x14ac:dyDescent="0.25">
      <c r="A94" t="s">
        <v>6</v>
      </c>
      <c r="B94" s="9">
        <v>71.941233000000011</v>
      </c>
      <c r="C94" s="177">
        <v>9.7721158362237088E-4</v>
      </c>
      <c r="D94" s="125">
        <v>71.381171818699571</v>
      </c>
      <c r="E94" s="125">
        <v>94.126451419985273</v>
      </c>
      <c r="F94" s="177">
        <v>9.715376266461465E-4</v>
      </c>
      <c r="G94" s="12"/>
      <c r="H94" s="12"/>
      <c r="I94" s="12"/>
      <c r="J94" s="12"/>
      <c r="K94" s="9" t="s">
        <v>6</v>
      </c>
      <c r="L94" s="9">
        <v>469</v>
      </c>
      <c r="M94" s="177">
        <v>4.8408405928739521E-3</v>
      </c>
      <c r="N94" s="9">
        <v>469</v>
      </c>
      <c r="O94" s="125">
        <v>466.71028100733793</v>
      </c>
      <c r="P94" s="120">
        <v>4.8172069795563554E-3</v>
      </c>
      <c r="T94" s="9"/>
      <c r="U94" s="12"/>
      <c r="V94" s="12"/>
      <c r="W94" s="12"/>
      <c r="X94" s="12"/>
      <c r="Z94" s="9"/>
      <c r="AA94" s="125"/>
    </row>
    <row r="95" spans="1:27" x14ac:dyDescent="0.25">
      <c r="A95" s="6" t="s">
        <v>7</v>
      </c>
      <c r="B95" s="14">
        <v>8888.1735530000005</v>
      </c>
      <c r="C95" s="177">
        <v>0.12073223923250807</v>
      </c>
      <c r="D95" s="125">
        <v>8818.9792846769033</v>
      </c>
      <c r="E95" s="125">
        <v>11629.106164316818</v>
      </c>
      <c r="F95" s="177">
        <v>0.12003123492338071</v>
      </c>
      <c r="G95" s="12"/>
      <c r="H95" s="12"/>
      <c r="I95" s="12"/>
      <c r="J95" s="12"/>
      <c r="K95" s="6" t="s">
        <v>7</v>
      </c>
      <c r="L95" s="12">
        <v>16809</v>
      </c>
      <c r="M95" s="177">
        <v>0.17349613971347178</v>
      </c>
      <c r="N95" s="9">
        <v>16809</v>
      </c>
      <c r="O95" s="125">
        <v>16726.936276017786</v>
      </c>
      <c r="P95" s="120">
        <v>0.17264910899650909</v>
      </c>
      <c r="T95" s="9"/>
      <c r="U95" s="12"/>
      <c r="V95" s="12"/>
      <c r="W95" s="12"/>
      <c r="X95" s="12"/>
      <c r="Z95" s="9"/>
      <c r="AA95" s="125"/>
    </row>
    <row ht="15.75" r="96" spans="1:27" thickBot="1" x14ac:dyDescent="0.3">
      <c r="A96" s="15" t="s">
        <v>19</v>
      </c>
      <c r="B96" s="155">
        <v>73618.890939999997</v>
      </c>
      <c r="C96" s="179">
        <v>1</v>
      </c>
      <c r="D96" s="160">
        <v>73618.890939999983</v>
      </c>
      <c r="E96" s="180">
        <v>96884.000000000015</v>
      </c>
      <c r="F96" s="179">
        <v>1</v>
      </c>
      <c r="G96" s="12"/>
      <c r="H96" s="12"/>
      <c r="I96" s="12"/>
      <c r="J96" s="12"/>
      <c r="K96" s="13" t="s">
        <v>19</v>
      </c>
      <c r="L96" s="19">
        <v>96884</v>
      </c>
      <c r="M96" s="179">
        <v>1</v>
      </c>
      <c r="N96" s="181">
        <v>97356.346082174961</v>
      </c>
      <c r="O96" s="181">
        <v>96884</v>
      </c>
      <c r="P96" s="156">
        <v>1</v>
      </c>
      <c r="U96" s="12"/>
      <c r="V96" s="12"/>
      <c r="W96" s="12"/>
      <c r="X96" s="12"/>
      <c r="Z96" s="9"/>
      <c r="AA96" s="9"/>
    </row>
    <row ht="15.75" r="98" spans="1:2" thickBot="1" x14ac:dyDescent="0.3">
      <c r="A98" s="57" t="s">
        <v>346</v>
      </c>
      <c r="B98" s="157"/>
    </row>
    <row r="99" spans="1:2" x14ac:dyDescent="0.25">
      <c r="A99" s="2" t="s">
        <v>0</v>
      </c>
      <c r="B99" s="143" t="s">
        <v>330</v>
      </c>
    </row>
    <row r="100" spans="1:2" x14ac:dyDescent="0.25">
      <c r="A100" s="9" t="s">
        <v>1</v>
      </c>
      <c r="B100" s="125">
        <v>53156.966964404848</v>
      </c>
    </row>
    <row r="101" spans="1:2" x14ac:dyDescent="0.25">
      <c r="A101" s="9" t="s">
        <v>2</v>
      </c>
      <c r="B101" s="125">
        <v>22713.628627606162</v>
      </c>
    </row>
    <row r="102" spans="1:2" x14ac:dyDescent="0.25">
      <c r="A102" s="9" t="s">
        <v>3</v>
      </c>
      <c r="B102" s="125">
        <v>8683.8257100772389</v>
      </c>
    </row>
    <row r="103" spans="1:2" x14ac:dyDescent="0.25">
      <c r="A103" s="9" t="s">
        <v>4</v>
      </c>
      <c r="B103" s="151">
        <v>0</v>
      </c>
    </row>
    <row r="104" spans="1:2" x14ac:dyDescent="0.25">
      <c r="A104" s="9" t="s">
        <v>5</v>
      </c>
      <c r="B104" s="151">
        <v>606.34608217495634</v>
      </c>
    </row>
    <row r="105" spans="1:2" x14ac:dyDescent="0.25">
      <c r="A105" s="9" t="s">
        <v>6</v>
      </c>
      <c r="B105" s="125">
        <v>94.126451419985273</v>
      </c>
    </row>
    <row r="106" spans="1:2" x14ac:dyDescent="0.25">
      <c r="A106" s="9" t="s">
        <v>7</v>
      </c>
      <c r="B106" s="125">
        <v>11629.106164316818</v>
      </c>
    </row>
    <row r="107" spans="1:2" x14ac:dyDescent="0.25">
      <c r="A107" s="14" t="s">
        <v>8</v>
      </c>
      <c r="B107" s="152">
        <v>0</v>
      </c>
    </row>
    <row ht="15.75" r="108" spans="1:2" thickBot="1" x14ac:dyDescent="0.3">
      <c r="A108" s="13" t="s">
        <v>19</v>
      </c>
      <c r="B108" s="155">
        <v>96884.000000000015</v>
      </c>
    </row>
  </sheetData>
  <pageMargins bottom="0.75" footer="0.3" header="0.3" left="0.7" right="0.7" top="0.75"/>
</worksheet>
</file>

<file path=xl/worksheets/sheet1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F87"/>
  <sheetViews>
    <sheetView topLeftCell="U16" workbookViewId="0">
      <selection activeCell="AD3" sqref="AD3:AD49"/>
    </sheetView>
  </sheetViews>
  <sheetFormatPr defaultRowHeight="15" x14ac:dyDescent="0.25"/>
  <cols>
    <col min="2" max="2" bestFit="true" customWidth="true" width="14.140625" collapsed="true"/>
    <col min="4" max="4" bestFit="true" customWidth="true" width="13.85546875" collapsed="true"/>
    <col min="5" max="5" bestFit="true" customWidth="true" width="13.5703125" collapsed="true"/>
    <col min="6" max="6" bestFit="true" customWidth="true" width="14.85546875" collapsed="true"/>
    <col min="8" max="8" bestFit="true" customWidth="true" width="14.140625" collapsed="true"/>
    <col min="10" max="10" bestFit="true" customWidth="true" width="11.7109375" collapsed="true"/>
    <col min="11" max="11" bestFit="true" customWidth="true" width="13.5703125" collapsed="true"/>
    <col min="12" max="12" bestFit="true" customWidth="true" width="7.5703125" collapsed="true"/>
    <col min="13" max="13" style="41" width="9.140625" collapsed="true"/>
    <col min="14" max="14" bestFit="true" customWidth="true" width="14.140625" collapsed="true"/>
    <col min="15" max="15" bestFit="true" customWidth="true" width="10.28515625" collapsed="true"/>
    <col min="16" max="16" bestFit="true" customWidth="true" width="12.0" collapsed="true"/>
    <col min="17" max="17" bestFit="true" customWidth="true" width="13.85546875" collapsed="true"/>
    <col min="18" max="18" bestFit="true" customWidth="true" width="9.28515625" collapsed="true"/>
    <col min="20" max="20" customWidth="true" width="5.5703125" collapsed="true"/>
    <col min="21" max="21" customWidth="true" width="12.85546875" collapsed="true"/>
    <col min="22" max="22" bestFit="true" customWidth="true" width="11.7109375" collapsed="true"/>
    <col min="23" max="23" bestFit="true" customWidth="true" width="13.5703125" collapsed="true"/>
    <col min="28" max="28" bestFit="true" customWidth="true" width="11.0" collapsed="true"/>
    <col min="29" max="30" bestFit="true" customWidth="true" width="15.42578125" collapsed="true"/>
  </cols>
  <sheetData>
    <row r="1" spans="2:31" x14ac:dyDescent="0.25">
      <c r="T1" s="36" t="s">
        <v>290</v>
      </c>
      <c r="U1" s="49"/>
      <c r="V1" s="49"/>
      <c r="W1" s="49"/>
      <c r="X1" s="49"/>
      <c r="AA1" s="36" t="s">
        <v>152</v>
      </c>
    </row>
    <row r="2" spans="2:31" x14ac:dyDescent="0.25">
      <c r="T2" s="49"/>
      <c r="U2" s="36" t="s">
        <v>224</v>
      </c>
      <c r="W2" s="49"/>
      <c r="X2" s="49"/>
      <c r="AC2" s="44" t="s">
        <v>221</v>
      </c>
      <c r="AD2" s="44" t="s">
        <v>222</v>
      </c>
      <c r="AE2" s="121" t="s">
        <v>319</v>
      </c>
    </row>
    <row ht="15.75" r="3" spans="2:31" thickBot="1" x14ac:dyDescent="0.3">
      <c r="B3" s="36" t="s">
        <v>243</v>
      </c>
      <c r="T3">
        <v>1</v>
      </c>
      <c r="U3" s="50" t="s">
        <v>300</v>
      </c>
      <c r="W3" s="49"/>
      <c r="X3" s="49"/>
      <c r="AA3" s="47">
        <f>WorkCoefficients!B11</f>
        <v>1</v>
      </c>
      <c r="AB3" t="str">
        <f>WorkCoefficients!C11</f>
        <v>costutil</v>
      </c>
      <c r="AC3" s="81">
        <f>WorkCoefficients!E11</f>
        <v>0.52879225600000002</v>
      </c>
      <c r="AD3" s="82">
        <f ref="AD3:AD49" si="0" t="shared">_xlfn.IFNA(VLOOKUP(AA3,$T$31:$V$50,3,FALSE),AC3)</f>
        <v>0.52879225600000002</v>
      </c>
      <c r="AE3">
        <f>IF(AC3=AD3,0,1)</f>
        <v>0</v>
      </c>
    </row>
    <row r="4" spans="2:31" x14ac:dyDescent="0.25">
      <c r="B4" s="59" t="s">
        <v>0</v>
      </c>
      <c r="C4" s="60" t="s">
        <v>239</v>
      </c>
      <c r="D4" s="60" t="s">
        <v>234</v>
      </c>
      <c r="E4" s="60" t="s">
        <v>237</v>
      </c>
      <c r="F4" s="60" t="s">
        <v>240</v>
      </c>
      <c r="T4">
        <v>2</v>
      </c>
      <c r="U4" s="50" t="s">
        <v>298</v>
      </c>
      <c r="W4" s="49"/>
      <c r="X4" s="49"/>
      <c r="AA4" s="47">
        <f>WorkCoefficients!B12</f>
        <v>2</v>
      </c>
      <c r="AB4" t="str">
        <f>WorkCoefficients!C12</f>
        <v>timeutil</v>
      </c>
      <c r="AC4" s="81">
        <f>WorkCoefficients!E12</f>
        <v>0.558792764</v>
      </c>
      <c r="AD4" s="82">
        <f si="0" t="shared"/>
        <v>0.558792764</v>
      </c>
      <c r="AE4">
        <f ref="AE4:AE38" si="1" t="shared">IF(AC4=AD4,0,1)</f>
        <v>0</v>
      </c>
    </row>
    <row r="5" spans="2:31" x14ac:dyDescent="0.25">
      <c r="B5" s="9" t="s">
        <v>1</v>
      </c>
      <c r="C5" s="58"/>
      <c r="D5" s="58"/>
      <c r="E5" s="58">
        <v>53</v>
      </c>
      <c r="F5" s="52">
        <v>50</v>
      </c>
      <c r="T5">
        <v>3</v>
      </c>
      <c r="U5" s="49" t="s">
        <v>232</v>
      </c>
      <c r="V5" s="49"/>
      <c r="W5" s="49"/>
      <c r="X5" s="49"/>
      <c r="AA5" s="45">
        <f>WorkCoefficients!B13</f>
        <v>10</v>
      </c>
      <c r="AB5" s="45" t="str">
        <f>WorkCoefficients!C13</f>
        <v>dt-const</v>
      </c>
      <c r="AC5" s="83">
        <f>WorkCoefficients!E13</f>
        <v>-2.753234979003</v>
      </c>
      <c r="AD5" s="82">
        <f si="0" t="shared"/>
        <v>-2.753234979003</v>
      </c>
      <c r="AE5">
        <f si="1" t="shared"/>
        <v>0</v>
      </c>
    </row>
    <row r="6" spans="2:31" x14ac:dyDescent="0.25">
      <c r="B6" s="9" t="s">
        <v>2</v>
      </c>
      <c r="C6" s="58">
        <v>41</v>
      </c>
      <c r="D6" s="58">
        <v>42</v>
      </c>
      <c r="E6" s="58"/>
      <c r="F6" s="52">
        <v>40</v>
      </c>
      <c r="T6">
        <v>4</v>
      </c>
      <c r="U6" s="49" t="s">
        <v>225</v>
      </c>
      <c r="V6" s="49"/>
      <c r="W6" s="49"/>
      <c r="X6" s="49"/>
      <c r="AA6" s="45">
        <f>WorkCoefficients!B14</f>
        <v>11</v>
      </c>
      <c r="AB6" s="45" t="str">
        <f>WorkCoefficients!C14</f>
        <v>dt-nocars</v>
      </c>
      <c r="AC6" s="83">
        <f>WorkCoefficients!E14</f>
        <v>-3.3287983082310002</v>
      </c>
      <c r="AD6" s="82">
        <f si="0" t="shared"/>
        <v>-1.6295853817628914</v>
      </c>
      <c r="AE6">
        <f si="1" t="shared"/>
        <v>1</v>
      </c>
    </row>
    <row r="7" spans="2:31" x14ac:dyDescent="0.25">
      <c r="B7" s="9" t="s">
        <v>3</v>
      </c>
      <c r="C7" s="58" t="s">
        <v>241</v>
      </c>
      <c r="D7" s="58" t="s">
        <v>242</v>
      </c>
      <c r="E7" s="58"/>
      <c r="F7" s="52">
        <v>30</v>
      </c>
      <c r="T7" s="49">
        <v>5</v>
      </c>
      <c r="U7" s="49" t="s">
        <v>226</v>
      </c>
      <c r="V7" s="49"/>
      <c r="W7" s="49"/>
      <c r="X7" s="49"/>
      <c r="AA7" s="45">
        <f>WorkCoefficients!B15</f>
        <v>13</v>
      </c>
      <c r="AB7" s="45" t="str">
        <f>WorkCoefficients!C15</f>
        <v>dt-carsltw</v>
      </c>
      <c r="AC7" s="83">
        <f>WorkCoefficients!E15</f>
        <v>0.55621422140200005</v>
      </c>
      <c r="AD7" s="82">
        <f si="0" t="shared"/>
        <v>0.70783398598236957</v>
      </c>
      <c r="AE7">
        <f si="1" t="shared"/>
        <v>1</v>
      </c>
    </row>
    <row r="8" spans="2:31" x14ac:dyDescent="0.25">
      <c r="B8" s="9" t="s">
        <v>4</v>
      </c>
      <c r="C8" s="58">
        <v>11</v>
      </c>
      <c r="D8" s="58"/>
      <c r="E8" s="58">
        <v>13</v>
      </c>
      <c r="F8" s="52">
        <v>10</v>
      </c>
      <c r="T8" s="49"/>
      <c r="U8" s="49"/>
      <c r="V8" s="49"/>
      <c r="W8" s="49"/>
      <c r="X8" s="49"/>
      <c r="AA8" s="45">
        <f>WorkCoefficients!B16</f>
        <v>20</v>
      </c>
      <c r="AB8" s="45" t="str">
        <f>WorkCoefficients!C16</f>
        <v>wt-const</v>
      </c>
      <c r="AC8" s="83">
        <f>WorkCoefficients!E16</f>
        <v>-2.3402411299599999</v>
      </c>
      <c r="AD8" s="82">
        <f si="0" t="shared"/>
        <v>-2.3402411299599999</v>
      </c>
      <c r="AE8">
        <f si="1" t="shared"/>
        <v>0</v>
      </c>
    </row>
    <row r="9" spans="2:31" x14ac:dyDescent="0.25">
      <c r="B9" s="9" t="s">
        <v>5</v>
      </c>
      <c r="C9" s="58">
        <v>21</v>
      </c>
      <c r="D9" s="58">
        <v>22</v>
      </c>
      <c r="E9" s="58"/>
      <c r="F9" s="52">
        <v>20</v>
      </c>
      <c r="T9" s="49"/>
      <c r="U9" s="51" t="s">
        <v>227</v>
      </c>
      <c r="V9" s="49"/>
      <c r="W9" s="49"/>
      <c r="X9" s="49"/>
      <c r="AA9" s="45">
        <f>WorkCoefficients!B17</f>
        <v>21</v>
      </c>
      <c r="AB9" s="45" t="str">
        <f>WorkCoefficients!C17</f>
        <v>wt-nocars</v>
      </c>
      <c r="AC9" s="83">
        <f>WorkCoefficients!E17</f>
        <v>1.2003618989639999</v>
      </c>
      <c r="AD9" s="82">
        <f si="0" t="shared"/>
        <v>1.4317919096636171</v>
      </c>
      <c r="AE9">
        <f si="1" t="shared"/>
        <v>1</v>
      </c>
    </row>
    <row r="10" spans="2:31" x14ac:dyDescent="0.25">
      <c r="B10" s="9" t="s">
        <v>6</v>
      </c>
      <c r="C10" s="58">
        <v>67</v>
      </c>
      <c r="D10" s="58">
        <v>68</v>
      </c>
      <c r="E10" s="58"/>
      <c r="F10" s="52">
        <v>60</v>
      </c>
      <c r="T10" s="49">
        <v>1</v>
      </c>
      <c r="U10" s="50" t="s">
        <v>300</v>
      </c>
      <c r="V10" s="49"/>
      <c r="W10" s="49"/>
      <c r="X10" s="49"/>
      <c r="AA10" s="45">
        <f>WorkCoefficients!B18</f>
        <v>22</v>
      </c>
      <c r="AB10" s="45" t="str">
        <f>WorkCoefficients!C18</f>
        <v>wt-carsltd</v>
      </c>
      <c r="AC10" s="83">
        <f>WorkCoefficients!E18</f>
        <v>1.016680004923</v>
      </c>
      <c r="AD10" s="82">
        <f si="0" t="shared"/>
        <v>1.016680004923</v>
      </c>
      <c r="AE10">
        <f si="1" t="shared"/>
        <v>0</v>
      </c>
    </row>
    <row r="11" spans="2:31" x14ac:dyDescent="0.25">
      <c r="B11" s="9" t="s">
        <v>7</v>
      </c>
      <c r="C11" s="58">
        <v>77</v>
      </c>
      <c r="D11" s="58">
        <v>78</v>
      </c>
      <c r="E11" s="58"/>
      <c r="F11" s="58">
        <v>70</v>
      </c>
      <c r="T11" s="49">
        <v>2</v>
      </c>
      <c r="U11" s="49" t="s">
        <v>228</v>
      </c>
      <c r="V11" s="49"/>
      <c r="W11" s="49"/>
      <c r="X11" s="49"/>
      <c r="AA11" s="45">
        <f>WorkCoefficients!B19</f>
        <v>30</v>
      </c>
      <c r="AB11" s="45" t="str">
        <f>WorkCoefficients!C19</f>
        <v>s3-const</v>
      </c>
      <c r="AC11" s="83">
        <f>WorkCoefficients!E19</f>
        <v>-1.3259112000819999</v>
      </c>
      <c r="AD11" s="82">
        <f si="0" t="shared"/>
        <v>-1.3259112000819999</v>
      </c>
      <c r="AE11">
        <f si="1" t="shared"/>
        <v>0</v>
      </c>
    </row>
    <row r="12" spans="2:31" x14ac:dyDescent="0.25">
      <c r="B12" s="14" t="s">
        <v>8</v>
      </c>
      <c r="C12" s="58"/>
      <c r="D12" s="58"/>
      <c r="E12" s="7"/>
      <c r="F12" s="7"/>
      <c r="T12" s="49">
        <v>3</v>
      </c>
      <c r="U12" s="49" t="s">
        <v>229</v>
      </c>
      <c r="V12" s="49"/>
      <c r="W12" s="49"/>
      <c r="X12" s="49"/>
      <c r="AA12" s="47">
        <f>WorkCoefficients!B20</f>
        <v>31</v>
      </c>
      <c r="AB12" t="str">
        <f>WorkCoefficients!C20</f>
        <v>sr-hhcu5</v>
      </c>
      <c r="AC12" s="81">
        <f>WorkCoefficients!E20</f>
        <v>0.32331883700000003</v>
      </c>
      <c r="AD12" s="82">
        <f si="0" t="shared"/>
        <v>0.32331883700000003</v>
      </c>
      <c r="AE12">
        <f si="1" t="shared"/>
        <v>0</v>
      </c>
    </row>
    <row r="13" spans="2:31" x14ac:dyDescent="0.25">
      <c r="C13" s="38"/>
      <c r="D13" s="38"/>
      <c r="E13" s="41"/>
      <c r="F13" s="41"/>
      <c r="T13" s="49">
        <v>4</v>
      </c>
      <c r="U13" s="49" t="s">
        <v>230</v>
      </c>
      <c r="V13" s="49"/>
      <c r="W13" s="49"/>
      <c r="X13" s="49"/>
      <c r="AA13" s="47">
        <f>WorkCoefficients!B21</f>
        <v>32</v>
      </c>
      <c r="AB13" t="str">
        <f>WorkCoefficients!C21</f>
        <v>sr-hh515</v>
      </c>
      <c r="AC13" s="81">
        <f>WorkCoefficients!E21</f>
        <v>0.27882626900000002</v>
      </c>
      <c r="AD13" s="82">
        <f si="0" t="shared"/>
        <v>0.27882626900000002</v>
      </c>
      <c r="AE13">
        <f si="1" t="shared"/>
        <v>0</v>
      </c>
    </row>
    <row r="14" spans="2:31" x14ac:dyDescent="0.25">
      <c r="B14" s="57"/>
      <c r="T14" s="49">
        <v>5</v>
      </c>
      <c r="U14" s="50" t="s">
        <v>299</v>
      </c>
      <c r="V14" s="49"/>
      <c r="W14" s="49"/>
      <c r="X14" s="49"/>
      <c r="AA14" s="47">
        <f>WorkCoefficients!B22</f>
        <v>35</v>
      </c>
      <c r="AB14" t="str">
        <f>WorkCoefficients!C22</f>
        <v>sr-lndist</v>
      </c>
      <c r="AC14" s="81">
        <f>WorkCoefficients!E22</f>
        <v>-0.13581644000000001</v>
      </c>
      <c r="AD14" s="82">
        <f si="0" t="shared"/>
        <v>-0.13581644000000001</v>
      </c>
      <c r="AE14">
        <f si="1" t="shared"/>
        <v>0</v>
      </c>
    </row>
    <row r="15" spans="2:31" x14ac:dyDescent="0.25">
      <c r="B15" s="138" t="s">
        <v>269</v>
      </c>
      <c r="C15" s="138"/>
      <c r="D15" s="138"/>
      <c r="E15" s="138"/>
      <c r="F15" s="138"/>
      <c r="H15" s="137" t="s">
        <v>33</v>
      </c>
      <c r="I15" s="137"/>
      <c r="J15" s="137"/>
      <c r="K15" s="137"/>
      <c r="L15" s="137"/>
      <c r="T15" s="49">
        <v>6</v>
      </c>
      <c r="U15" s="49" t="s">
        <v>233</v>
      </c>
      <c r="V15" s="49"/>
      <c r="W15" s="49"/>
      <c r="X15" s="49"/>
      <c r="AA15" s="45">
        <f>WorkCoefficients!B23</f>
        <v>36</v>
      </c>
      <c r="AB15" s="45" t="str">
        <f>WorkCoefficients!C23</f>
        <v>s3-nocars</v>
      </c>
      <c r="AC15" s="83">
        <f>WorkCoefficients!E23</f>
        <v>0.64233497572800002</v>
      </c>
      <c r="AD15" s="82">
        <f si="0" t="shared"/>
        <v>0.40118043758744298</v>
      </c>
      <c r="AE15">
        <f si="1" t="shared"/>
        <v>1</v>
      </c>
    </row>
    <row ht="15.75" r="16" spans="2:31" thickBot="1" x14ac:dyDescent="0.3">
      <c r="B16" s="61" t="s">
        <v>245</v>
      </c>
      <c r="H16" s="61" t="str">
        <f>B16</f>
        <v>Frequency</v>
      </c>
      <c r="N16" s="61" t="s">
        <v>259</v>
      </c>
      <c r="T16" s="49">
        <v>7</v>
      </c>
      <c r="U16" s="49" t="s">
        <v>225</v>
      </c>
      <c r="V16" s="49"/>
      <c r="W16" s="49"/>
      <c r="X16" s="49"/>
      <c r="AA16" s="45">
        <f>WorkCoefficients!B24</f>
        <v>37</v>
      </c>
      <c r="AB16" s="45" t="str">
        <f>WorkCoefficients!C24</f>
        <v>s3-carsltd</v>
      </c>
      <c r="AC16" s="83">
        <f>WorkCoefficients!E24</f>
        <v>-0.38934722737299998</v>
      </c>
      <c r="AD16" s="82">
        <f si="0" t="shared"/>
        <v>-0.38934722737299998</v>
      </c>
      <c r="AE16">
        <f si="1" t="shared"/>
        <v>0</v>
      </c>
    </row>
    <row r="17" spans="1:31" x14ac:dyDescent="0.25">
      <c r="B17" s="59" t="s">
        <v>0</v>
      </c>
      <c r="C17" s="60" t="s">
        <v>239</v>
      </c>
      <c r="D17" s="60" t="s">
        <v>234</v>
      </c>
      <c r="E17" s="60" t="s">
        <v>237</v>
      </c>
      <c r="F17" s="60" t="s">
        <v>19</v>
      </c>
      <c r="H17" s="59" t="s">
        <v>0</v>
      </c>
      <c r="I17" s="60" t="s">
        <v>239</v>
      </c>
      <c r="J17" s="60" t="s">
        <v>234</v>
      </c>
      <c r="K17" s="60" t="s">
        <v>237</v>
      </c>
      <c r="L17" s="60" t="s">
        <v>19</v>
      </c>
      <c r="M17" s="56"/>
      <c r="N17" s="59" t="s">
        <v>0</v>
      </c>
      <c r="O17" s="60" t="s">
        <v>239</v>
      </c>
      <c r="P17" s="60" t="s">
        <v>234</v>
      </c>
      <c r="Q17" s="60" t="s">
        <v>237</v>
      </c>
      <c r="R17" s="60" t="s">
        <v>240</v>
      </c>
      <c r="T17" s="49">
        <v>8</v>
      </c>
      <c r="U17" s="49" t="s">
        <v>231</v>
      </c>
      <c r="V17" s="49"/>
      <c r="W17" s="49"/>
      <c r="X17" s="49"/>
      <c r="AA17" s="47">
        <f>WorkCoefficients!B25</f>
        <v>38</v>
      </c>
      <c r="AB17" t="str">
        <f>WorkCoefficients!C25</f>
        <v>s3-onephh</v>
      </c>
      <c r="AC17" s="81">
        <f>WorkCoefficients!E25</f>
        <v>-0.61753363800000005</v>
      </c>
      <c r="AD17" s="82">
        <f si="0" t="shared"/>
        <v>-0.61753363800000005</v>
      </c>
      <c r="AE17">
        <f si="1" t="shared"/>
        <v>0</v>
      </c>
    </row>
    <row r="18" spans="1:31" x14ac:dyDescent="0.25">
      <c r="B18" s="9" t="s">
        <v>1</v>
      </c>
      <c r="C18" s="9">
        <f>transit_targets!B16</f>
        <v>0</v>
      </c>
      <c r="D18" s="9">
        <f>transit_targets!C16</f>
        <v>0</v>
      </c>
      <c r="E18" s="9">
        <f>transit_targets!D16</f>
        <v>12218.354099679189</v>
      </c>
      <c r="F18" s="9">
        <f>transit_targets!E16*($L$26-SUM(transit_targets!$E$19:$E$20))/(transit_targets!$E$24-SUM(transit_targets!$E$19:$E$20))</f>
        <v>432229.09499956196</v>
      </c>
      <c r="H18" s="9" t="s">
        <v>1</v>
      </c>
      <c r="I18" s="9">
        <f>Work!L4</f>
        <v>0</v>
      </c>
      <c r="J18" s="9">
        <f>Work!O4</f>
        <v>64088</v>
      </c>
      <c r="K18" s="9">
        <f>Work!Q4</f>
        <v>18115</v>
      </c>
      <c r="L18" s="9">
        <f>Work!R4</f>
        <v>433283</v>
      </c>
      <c r="M18" s="12"/>
      <c r="N18" s="9" t="s">
        <v>1</v>
      </c>
      <c r="O18" s="75" t="str">
        <f>IF(ISBLANK(C5),"",C5)</f>
        <v/>
      </c>
      <c r="P18" s="75" t="str">
        <f ref="P18:R18" si="2" t="shared">IF(ISBLANK(D5),"",D5)</f>
        <v/>
      </c>
      <c r="Q18" s="75">
        <f si="2" t="shared"/>
        <v>53</v>
      </c>
      <c r="R18" s="75">
        <f si="2" t="shared"/>
        <v>50</v>
      </c>
      <c r="T18" s="41"/>
      <c r="U18" s="41"/>
      <c r="V18" s="41"/>
      <c r="W18" s="41"/>
      <c r="X18" s="41"/>
      <c r="Y18" s="41"/>
      <c r="AA18" s="47">
        <f>WorkCoefficients!B26</f>
        <v>39</v>
      </c>
      <c r="AB18" t="str">
        <f>WorkCoefficients!C26</f>
        <v>s3-twophh</v>
      </c>
      <c r="AC18" s="81">
        <f>WorkCoefficients!E26</f>
        <v>-1.2453283429999999</v>
      </c>
      <c r="AD18" s="82">
        <f si="0" t="shared"/>
        <v>-1.2453283429999999</v>
      </c>
      <c r="AE18">
        <f si="1" t="shared"/>
        <v>0</v>
      </c>
    </row>
    <row r="19" spans="1:31" x14ac:dyDescent="0.25">
      <c r="B19" s="9" t="s">
        <v>2</v>
      </c>
      <c r="C19" s="9">
        <f>transit_targets!B17</f>
        <v>867.14545437478046</v>
      </c>
      <c r="D19" s="9">
        <f>transit_targets!C17</f>
        <v>0</v>
      </c>
      <c r="E19" s="9">
        <f>transit_targets!D17</f>
        <v>16061.247556008566</v>
      </c>
      <c r="F19" s="9">
        <f>transit_targets!E17*($L$26-SUM(transit_targets!$E$19:$E$20))/(transit_targets!$E$24-SUM(transit_targets!$E$19:$E$20))</f>
        <v>121932.88593302607</v>
      </c>
      <c r="H19" s="9" t="s">
        <v>2</v>
      </c>
      <c r="I19" s="9">
        <f>Work!L5</f>
        <v>938</v>
      </c>
      <c r="J19" s="9">
        <f>Work!O5</f>
        <v>37265</v>
      </c>
      <c r="K19" s="9">
        <f>Work!Q5</f>
        <v>19370</v>
      </c>
      <c r="L19" s="9">
        <f>Work!R5</f>
        <v>122287</v>
      </c>
      <c r="M19" s="12"/>
      <c r="N19" s="9" t="s">
        <v>2</v>
      </c>
      <c r="O19" s="53">
        <f ref="O19:O25" si="3" t="shared">IF(ISBLANK(C6),"",C6)</f>
        <v>41</v>
      </c>
      <c r="P19" s="53">
        <f ref="P19:P25" si="4" t="shared">IF(ISBLANK(D6),"",D6)</f>
        <v>42</v>
      </c>
      <c r="Q19" s="53" t="str">
        <f ref="Q19:Q25" si="5" t="shared">IF(ISBLANK(E6),"",E6)</f>
        <v/>
      </c>
      <c r="R19" s="53">
        <f ref="R19:R25" si="6" t="shared">IF(ISBLANK(F6),"",F6)</f>
        <v>40</v>
      </c>
      <c r="T19" s="12"/>
      <c r="U19" s="65"/>
      <c r="V19" s="65"/>
      <c r="W19" s="65"/>
      <c r="X19" s="65"/>
      <c r="Y19" s="41"/>
      <c r="AA19" s="45">
        <f>WorkCoefficients!B27</f>
        <v>40</v>
      </c>
      <c r="AB19" s="45" t="str">
        <f>WorkCoefficients!C27</f>
        <v>s2-const</v>
      </c>
      <c r="AC19" s="83">
        <f>WorkCoefficients!E27</f>
        <v>-0.65415680916200003</v>
      </c>
      <c r="AD19" s="82">
        <f si="0" t="shared"/>
        <v>-0.65415680916200003</v>
      </c>
      <c r="AE19">
        <f si="1" t="shared"/>
        <v>0</v>
      </c>
    </row>
    <row r="20" spans="1:31" x14ac:dyDescent="0.25">
      <c r="B20" s="9" t="s">
        <v>3</v>
      </c>
      <c r="C20" s="9">
        <f>transit_targets!B18</f>
        <v>402.25748041230366</v>
      </c>
      <c r="D20" s="9">
        <f>transit_targets!C18</f>
        <v>0</v>
      </c>
      <c r="E20" s="9">
        <f>transit_targets!D18</f>
        <v>3002.8828331917111</v>
      </c>
      <c r="F20" s="9">
        <f>transit_targets!E18*($L$26-SUM(transit_targets!$E$19:$E$20))/(transit_targets!$E$24-SUM(transit_targets!$E$19:$E$20))</f>
        <v>45801.239283092254</v>
      </c>
      <c r="H20" s="9" t="s">
        <v>3</v>
      </c>
      <c r="I20" s="9">
        <f>Work!L6</f>
        <v>634</v>
      </c>
      <c r="J20" s="9">
        <f>Work!O6</f>
        <v>12267</v>
      </c>
      <c r="K20" s="9">
        <f>Work!Q6</f>
        <v>6211</v>
      </c>
      <c r="L20" s="9">
        <f>Work!R6</f>
        <v>45957</v>
      </c>
      <c r="M20" s="12"/>
      <c r="N20" s="9" t="s">
        <v>3</v>
      </c>
      <c r="O20" s="53">
        <v>36</v>
      </c>
      <c r="P20" s="53">
        <v>37</v>
      </c>
      <c r="Q20" s="53" t="str">
        <f si="5" t="shared"/>
        <v/>
      </c>
      <c r="R20" s="53">
        <f si="6" t="shared"/>
        <v>30</v>
      </c>
      <c r="T20" s="12"/>
      <c r="U20" s="65"/>
      <c r="V20" s="65"/>
      <c r="W20" s="65"/>
      <c r="X20" s="65"/>
      <c r="Y20" s="41"/>
      <c r="AA20" s="45">
        <f>WorkCoefficients!B28</f>
        <v>41</v>
      </c>
      <c r="AB20" s="45" t="str">
        <f>WorkCoefficients!C28</f>
        <v>sr-nocars</v>
      </c>
      <c r="AC20" s="83">
        <f>WorkCoefficients!E28</f>
        <v>-4.1667026712270001</v>
      </c>
      <c r="AD20" s="82">
        <f si="0" t="shared"/>
        <v>-4.4379941253089878</v>
      </c>
      <c r="AE20">
        <f si="1" t="shared"/>
        <v>1</v>
      </c>
    </row>
    <row r="21" spans="1:31" x14ac:dyDescent="0.25">
      <c r="B21" s="9" t="s">
        <v>4</v>
      </c>
      <c r="C21" s="9">
        <f>transit_targets!B19</f>
        <v>237.52536388629062</v>
      </c>
      <c r="D21" s="9">
        <f>transit_targets!C19</f>
        <v>0</v>
      </c>
      <c r="E21" s="9">
        <f>transit_targets!D19</f>
        <v>351.14139285859534</v>
      </c>
      <c r="F21" s="9">
        <f>transit_targets!E19</f>
        <v>2210.537309943471</v>
      </c>
      <c r="H21" s="9" t="s">
        <v>4</v>
      </c>
      <c r="I21" s="9">
        <f>Work!L7</f>
        <v>41</v>
      </c>
      <c r="J21" s="9">
        <f>Work!O7</f>
        <v>566</v>
      </c>
      <c r="K21" s="9">
        <f>Work!Q7</f>
        <v>408</v>
      </c>
      <c r="L21" s="9">
        <f>Work!R7</f>
        <v>1875</v>
      </c>
      <c r="M21" s="12"/>
      <c r="N21" s="9" t="s">
        <v>4</v>
      </c>
      <c r="O21" s="53">
        <f si="3" t="shared"/>
        <v>11</v>
      </c>
      <c r="P21" s="53" t="str">
        <f si="4" t="shared"/>
        <v/>
      </c>
      <c r="Q21" s="53">
        <f si="5" t="shared"/>
        <v>13</v>
      </c>
      <c r="R21" s="53">
        <f si="6" t="shared"/>
        <v>10</v>
      </c>
      <c r="T21" s="12"/>
      <c r="U21" s="65"/>
      <c r="V21" s="65"/>
      <c r="W21" s="65"/>
      <c r="X21" s="65"/>
      <c r="Y21" s="41"/>
      <c r="AA21" s="45">
        <f>WorkCoefficients!B29</f>
        <v>42</v>
      </c>
      <c r="AB21" s="45" t="str">
        <f>WorkCoefficients!C29</f>
        <v>sr-carsltd</v>
      </c>
      <c r="AC21" s="83">
        <f>WorkCoefficients!E29</f>
        <v>0.46242029547000002</v>
      </c>
      <c r="AD21" s="82">
        <f si="0" t="shared"/>
        <v>0.46242029547000002</v>
      </c>
      <c r="AE21">
        <f si="1" t="shared"/>
        <v>0</v>
      </c>
    </row>
    <row r="22" spans="1:31" x14ac:dyDescent="0.25">
      <c r="B22" s="9" t="s">
        <v>5</v>
      </c>
      <c r="C22" s="9">
        <f>transit_targets!B20</f>
        <v>2396.2965767782339</v>
      </c>
      <c r="D22" s="9">
        <f>transit_targets!C20</f>
        <v>0</v>
      </c>
      <c r="E22" s="9">
        <f>transit_targets!D20</f>
        <v>1467.867575135223</v>
      </c>
      <c r="F22" s="9">
        <f>transit_targets!E20</f>
        <v>5285.8718897393146</v>
      </c>
      <c r="H22" s="9" t="s">
        <v>5</v>
      </c>
      <c r="I22" s="9">
        <f>Work!L8</f>
        <v>1795</v>
      </c>
      <c r="J22" s="9">
        <f>Work!O8</f>
        <v>1045</v>
      </c>
      <c r="K22" s="9">
        <f>Work!Q8</f>
        <v>524</v>
      </c>
      <c r="L22" s="9">
        <f>Work!R8</f>
        <v>4172</v>
      </c>
      <c r="M22" s="12"/>
      <c r="N22" s="9" t="s">
        <v>5</v>
      </c>
      <c r="O22" s="53">
        <f si="3" t="shared"/>
        <v>21</v>
      </c>
      <c r="P22" s="53">
        <f si="4" t="shared"/>
        <v>22</v>
      </c>
      <c r="Q22" s="53" t="str">
        <f si="5" t="shared"/>
        <v/>
      </c>
      <c r="R22" s="53">
        <f si="6" t="shared"/>
        <v>20</v>
      </c>
      <c r="T22" s="12"/>
      <c r="U22" s="65"/>
      <c r="V22" s="65"/>
      <c r="W22" s="65"/>
      <c r="X22" s="65"/>
      <c r="Y22" s="41"/>
      <c r="AA22" s="47">
        <f>WorkCoefficients!B30</f>
        <v>48</v>
      </c>
      <c r="AB22" s="47" t="str">
        <f>WorkCoefficients!C30</f>
        <v>s2-onephh</v>
      </c>
      <c r="AC22" s="84">
        <f>WorkCoefficients!E30</f>
        <v>-0.39332327500000003</v>
      </c>
      <c r="AD22" s="82">
        <f si="0" t="shared"/>
        <v>-0.39332327500000003</v>
      </c>
      <c r="AE22">
        <f si="1" t="shared"/>
        <v>0</v>
      </c>
    </row>
    <row r="23" spans="1:31" x14ac:dyDescent="0.25">
      <c r="B23" s="9" t="s">
        <v>6</v>
      </c>
      <c r="C23" s="9">
        <f>transit_targets!B21</f>
        <v>448.24923624192695</v>
      </c>
      <c r="D23" s="9">
        <f>transit_targets!C21</f>
        <v>0</v>
      </c>
      <c r="E23" s="9">
        <f>transit_targets!D21</f>
        <v>235.55695223448461</v>
      </c>
      <c r="F23" s="9">
        <f>transit_targets!E21*($L$26-SUM(transit_targets!$E$19:$E$20))/(transit_targets!$E$24-SUM(transit_targets!$E$19:$E$20))</f>
        <v>4161.8983936780605</v>
      </c>
      <c r="H23" s="9" t="s">
        <v>6</v>
      </c>
      <c r="I23" s="9">
        <f>Work!L9</f>
        <v>544</v>
      </c>
      <c r="J23" s="9">
        <f>Work!O9</f>
        <v>1296</v>
      </c>
      <c r="K23" s="9">
        <f>Work!Q9</f>
        <v>777</v>
      </c>
      <c r="L23" s="9">
        <f>Work!R9</f>
        <v>4172</v>
      </c>
      <c r="M23" s="12"/>
      <c r="N23" s="9" t="s">
        <v>6</v>
      </c>
      <c r="O23" s="53">
        <f si="3" t="shared"/>
        <v>67</v>
      </c>
      <c r="P23" s="53">
        <f si="4" t="shared"/>
        <v>68</v>
      </c>
      <c r="Q23" s="53" t="str">
        <f si="5" t="shared"/>
        <v/>
      </c>
      <c r="R23" s="53">
        <f si="6" t="shared"/>
        <v>60</v>
      </c>
      <c r="T23" s="12"/>
      <c r="U23" s="65"/>
      <c r="V23" s="65"/>
      <c r="W23" s="65"/>
      <c r="X23" s="65"/>
      <c r="Y23" s="41"/>
      <c r="AA23" s="45">
        <f>WorkCoefficients!B31</f>
        <v>50</v>
      </c>
      <c r="AB23" s="45" t="str">
        <f>WorkCoefficients!C31</f>
        <v>da-const</v>
      </c>
      <c r="AC23" s="83">
        <f>WorkCoefficients!E31</f>
        <v>2.258603321502</v>
      </c>
      <c r="AD23" s="82">
        <f si="0" t="shared"/>
        <v>2.258603321502</v>
      </c>
      <c r="AE23">
        <f si="1" t="shared"/>
        <v>0</v>
      </c>
    </row>
    <row r="24" spans="1:31" x14ac:dyDescent="0.25">
      <c r="B24" s="9" t="s">
        <v>7</v>
      </c>
      <c r="C24" s="9">
        <f>transit_targets!B22</f>
        <v>384.09313041471756</v>
      </c>
      <c r="D24" s="9">
        <f>transit_targets!C22</f>
        <v>0</v>
      </c>
      <c r="E24" s="9">
        <f>transit_targets!D22</f>
        <v>2090.1594494841088</v>
      </c>
      <c r="F24" s="9">
        <f>transit_targets!E22*($L$26-SUM(transit_targets!$E$19:$E$20))/(transit_targets!$E$24-SUM(transit_targets!$E$19:$E$20))</f>
        <v>6004.4721909589716</v>
      </c>
      <c r="H24" s="9" t="s">
        <v>7</v>
      </c>
      <c r="I24" s="9">
        <f>Work!L10</f>
        <v>519</v>
      </c>
      <c r="J24" s="9">
        <f>Work!O10</f>
        <v>4935</v>
      </c>
      <c r="K24" s="9">
        <f>Work!Q10</f>
        <v>2498</v>
      </c>
      <c r="L24" s="9">
        <f>Work!R10</f>
        <v>5880</v>
      </c>
      <c r="M24" s="12"/>
      <c r="N24" s="9" t="s">
        <v>7</v>
      </c>
      <c r="O24" s="53">
        <f si="3" t="shared"/>
        <v>77</v>
      </c>
      <c r="P24" s="53">
        <f si="4" t="shared"/>
        <v>78</v>
      </c>
      <c r="Q24" s="53" t="str">
        <f si="5" t="shared"/>
        <v/>
      </c>
      <c r="R24" s="53">
        <f si="6" t="shared"/>
        <v>70</v>
      </c>
      <c r="T24" s="12"/>
      <c r="U24" s="65"/>
      <c r="V24" s="65"/>
      <c r="W24" s="65"/>
      <c r="X24" s="65"/>
      <c r="Y24" s="41"/>
      <c r="AA24" s="45">
        <f>WorkCoefficients!B32</f>
        <v>53</v>
      </c>
      <c r="AB24" s="45" t="str">
        <f>WorkCoefficients!C32</f>
        <v>da-carsltw</v>
      </c>
      <c r="AC24" s="83">
        <f>WorkCoefficients!E32</f>
        <v>-1.8645362641850001</v>
      </c>
      <c r="AD24" s="82">
        <f si="0" t="shared"/>
        <v>-1.9566393649452205</v>
      </c>
      <c r="AE24">
        <f si="1" t="shared"/>
        <v>1</v>
      </c>
    </row>
    <row r="25" spans="1:31" x14ac:dyDescent="0.25">
      <c r="B25" s="14" t="s">
        <v>8</v>
      </c>
      <c r="C25" s="9">
        <f>transit_targets!B23</f>
        <v>0</v>
      </c>
      <c r="D25" s="9">
        <f>transit_targets!C23</f>
        <v>0</v>
      </c>
      <c r="E25" s="9">
        <f>transit_targets!D23</f>
        <v>0</v>
      </c>
      <c r="F25" s="9">
        <f>transit_targets!E23*$L$26/transit_targets!$E$24</f>
        <v>0</v>
      </c>
      <c r="H25" s="14" t="s">
        <v>8</v>
      </c>
      <c r="I25" s="9">
        <f>Work!L11</f>
        <v>0</v>
      </c>
      <c r="J25" s="9">
        <f>Work!O11</f>
        <v>0</v>
      </c>
      <c r="K25" s="9">
        <f>Work!Q11</f>
        <v>0</v>
      </c>
      <c r="L25" s="9">
        <f>Work!R11</f>
        <v>0</v>
      </c>
      <c r="M25" s="12"/>
      <c r="N25" s="14" t="s">
        <v>8</v>
      </c>
      <c r="O25" s="7" t="str">
        <f si="3" t="shared"/>
        <v/>
      </c>
      <c r="P25" s="7" t="str">
        <f si="4" t="shared"/>
        <v/>
      </c>
      <c r="Q25" s="7" t="str">
        <f si="5" t="shared"/>
        <v/>
      </c>
      <c r="R25" s="7" t="str">
        <f si="6" t="shared"/>
        <v/>
      </c>
      <c r="T25" s="12"/>
      <c r="U25" s="65"/>
      <c r="V25" s="65"/>
      <c r="W25" s="65"/>
      <c r="X25" s="65"/>
      <c r="Y25" s="41"/>
      <c r="AA25" s="47">
        <f>WorkCoefficients!B33</f>
        <v>54</v>
      </c>
      <c r="AB25" t="str">
        <f>WorkCoefficients!C33</f>
        <v>da-incu25</v>
      </c>
      <c r="AC25" s="81">
        <f>WorkCoefficients!E33</f>
        <v>-0.17415467700000001</v>
      </c>
      <c r="AD25" s="82">
        <f si="0" t="shared"/>
        <v>-0.17415467700000001</v>
      </c>
      <c r="AE25">
        <f si="1" t="shared"/>
        <v>0</v>
      </c>
    </row>
    <row ht="15.75" r="26" spans="1:31" thickBot="1" x14ac:dyDescent="0.3">
      <c r="B26" s="66" t="s">
        <v>19</v>
      </c>
      <c r="C26" s="67">
        <f>SUM(C18:C25)</f>
        <v>4735.5672421082536</v>
      </c>
      <c r="D26" s="67">
        <f ref="D26:F26" si="7" t="shared">SUM(D18:D25)</f>
        <v>0</v>
      </c>
      <c r="E26" s="67">
        <f si="7" t="shared"/>
        <v>35427.209858591879</v>
      </c>
      <c r="F26" s="67">
        <f si="7" t="shared"/>
        <v>617626</v>
      </c>
      <c r="H26" s="66" t="s">
        <v>19</v>
      </c>
      <c r="I26" s="67">
        <f>SUM(I18:I25)</f>
        <v>4471</v>
      </c>
      <c r="J26" s="67">
        <f ref="J26:L26" si="8" t="shared">SUM(J18:J25)</f>
        <v>121462</v>
      </c>
      <c r="K26" s="67">
        <f si="8" t="shared"/>
        <v>47903</v>
      </c>
      <c r="L26" s="67">
        <f si="8" t="shared"/>
        <v>617626</v>
      </c>
      <c r="M26" s="12"/>
      <c r="T26" s="12"/>
      <c r="U26" s="65"/>
      <c r="V26" s="65"/>
      <c r="W26" s="65"/>
      <c r="X26" s="65"/>
      <c r="Y26" s="41"/>
      <c r="AA26" s="45">
        <f>WorkCoefficients!B34</f>
        <v>60</v>
      </c>
      <c r="AB26" s="45" t="str">
        <f>WorkCoefficients!C34</f>
        <v>bi-const</v>
      </c>
      <c r="AC26" s="83">
        <f>WorkCoefficients!E34</f>
        <v>-8.3782826345419998</v>
      </c>
      <c r="AD26" s="82">
        <f si="0" t="shared"/>
        <v>-8.3782826345419998</v>
      </c>
      <c r="AE26">
        <f si="1" t="shared"/>
        <v>0</v>
      </c>
    </row>
    <row r="27" spans="1:31" x14ac:dyDescent="0.25">
      <c r="A27" s="139"/>
      <c r="B27" s="9"/>
      <c r="C27" s="54"/>
      <c r="D27" s="54"/>
      <c r="E27" s="54"/>
      <c r="F27" s="54"/>
      <c r="I27" s="120"/>
      <c r="J27" s="120"/>
      <c r="K27" s="120"/>
      <c r="L27" s="120"/>
      <c r="P27" s="47"/>
      <c r="Q27" s="47"/>
      <c r="R27" s="47"/>
      <c r="T27" s="41"/>
      <c r="U27" s="41"/>
      <c r="V27" s="41"/>
      <c r="W27" s="41"/>
      <c r="X27" s="41"/>
      <c r="Y27" s="41"/>
      <c r="AA27" s="47">
        <f>WorkCoefficients!B35</f>
        <v>61</v>
      </c>
      <c r="AB27" t="str">
        <f>WorkCoefficients!C35</f>
        <v>bi-male</v>
      </c>
      <c r="AC27" s="81">
        <f>WorkCoefficients!E35</f>
        <v>0.76617238600000004</v>
      </c>
      <c r="AD27" s="82">
        <f si="0" t="shared"/>
        <v>0.76617238600000004</v>
      </c>
      <c r="AE27">
        <f si="1" t="shared"/>
        <v>0</v>
      </c>
    </row>
    <row r="28" spans="1:31" x14ac:dyDescent="0.25">
      <c r="A28" s="139"/>
      <c r="B28" s="9"/>
      <c r="C28" s="54"/>
      <c r="D28" s="54"/>
      <c r="E28" s="54"/>
      <c r="F28" s="54"/>
      <c r="AA28">
        <f>WorkCoefficients!B36</f>
        <v>63</v>
      </c>
      <c r="AB28" t="str">
        <f>WorkCoefficients!C36</f>
        <v>bi-ageo50</v>
      </c>
      <c r="AC28" s="81">
        <f>WorkCoefficients!E36</f>
        <v>-0.66187614500000003</v>
      </c>
      <c r="AD28" s="82">
        <f si="0" t="shared"/>
        <v>-0.66187614500000003</v>
      </c>
      <c r="AE28">
        <f si="1" t="shared"/>
        <v>0</v>
      </c>
    </row>
    <row ht="15.75" r="29" spans="1:31" thickBot="1" x14ac:dyDescent="0.3">
      <c r="B29" s="57" t="s">
        <v>255</v>
      </c>
      <c r="H29" s="57" t="s">
        <v>256</v>
      </c>
      <c r="N29" s="36" t="s">
        <v>244</v>
      </c>
      <c r="T29" t="s">
        <v>200</v>
      </c>
      <c r="AA29" s="45">
        <f>WorkCoefficients!B37</f>
        <v>67</v>
      </c>
      <c r="AB29" s="45" t="str">
        <f>WorkCoefficients!C37</f>
        <v>bi-nocars</v>
      </c>
      <c r="AC29" s="83">
        <f>WorkCoefficients!E37</f>
        <v>-1.6809639251070001</v>
      </c>
      <c r="AD29" s="82">
        <f si="0" t="shared"/>
        <v>-1.9320531832562247</v>
      </c>
      <c r="AE29">
        <f si="1" t="shared"/>
        <v>1</v>
      </c>
    </row>
    <row r="30" spans="1:31" x14ac:dyDescent="0.25">
      <c r="B30" s="59" t="s">
        <v>0</v>
      </c>
      <c r="C30" s="60" t="s">
        <v>239</v>
      </c>
      <c r="D30" s="60" t="s">
        <v>234</v>
      </c>
      <c r="E30" s="60" t="str">
        <f>E17</f>
        <v>cars &lt; workers</v>
      </c>
      <c r="F30" s="60" t="s">
        <v>19</v>
      </c>
      <c r="H30" s="59" t="s">
        <v>0</v>
      </c>
      <c r="I30" s="60" t="s">
        <v>239</v>
      </c>
      <c r="J30" s="60" t="s">
        <v>234</v>
      </c>
      <c r="K30" s="60" t="s">
        <v>237</v>
      </c>
      <c r="L30" s="60" t="s">
        <v>19</v>
      </c>
      <c r="M30" s="56"/>
      <c r="N30" s="59" t="s">
        <v>0</v>
      </c>
      <c r="O30" s="60" t="s">
        <v>239</v>
      </c>
      <c r="P30" s="60" t="s">
        <v>234</v>
      </c>
      <c r="Q30" s="60" t="s">
        <v>237</v>
      </c>
      <c r="R30" s="60" t="s">
        <v>240</v>
      </c>
      <c r="T30" s="60" t="s">
        <v>50</v>
      </c>
      <c r="U30" s="60" t="s">
        <v>51</v>
      </c>
      <c r="V30" s="60" t="s">
        <v>200</v>
      </c>
      <c r="AA30" s="45">
        <f>WorkCoefficients!B38</f>
        <v>68</v>
      </c>
      <c r="AB30" s="45" t="str">
        <f>WorkCoefficients!C38</f>
        <v>bi-carsltd</v>
      </c>
      <c r="AC30" s="83">
        <f>WorkCoefficients!E38</f>
        <v>0.75586563750299995</v>
      </c>
      <c r="AD30" s="82">
        <f si="0" t="shared"/>
        <v>0.75586563750299995</v>
      </c>
      <c r="AE30">
        <f si="1" t="shared"/>
        <v>0</v>
      </c>
    </row>
    <row r="31" spans="1:31" x14ac:dyDescent="0.25">
      <c r="B31" s="9" t="s">
        <v>1</v>
      </c>
      <c r="C31" s="54">
        <f>$C18/C$26</f>
        <v>0</v>
      </c>
      <c r="D31" s="54"/>
      <c r="E31" s="54">
        <f>$E18/E$26</f>
        <v>0.34488615243618936</v>
      </c>
      <c r="F31" s="54">
        <f>$F18/F$26</f>
        <v>0.69982334778581534</v>
      </c>
      <c r="H31" s="9" t="s">
        <v>1</v>
      </c>
      <c r="I31" s="40">
        <f>$I18/I$26</f>
        <v>0</v>
      </c>
      <c r="J31" s="40">
        <f>$J18/J$26</f>
        <v>0.52763827369877003</v>
      </c>
      <c r="K31" s="40">
        <f>$K18/K$26</f>
        <v>0.37816003173078933</v>
      </c>
      <c r="L31" s="40">
        <f>$L18/L$26</f>
        <v>0.70152972834692839</v>
      </c>
      <c r="M31" s="42"/>
      <c r="N31" s="9" t="s">
        <v>1</v>
      </c>
      <c r="O31" s="62" t="str">
        <f ref="O31:R38" si="9" t="shared">IF(O18="","-",C31/I31)</f>
        <v>-</v>
      </c>
      <c r="P31" s="62" t="str">
        <f si="9" t="shared"/>
        <v>-</v>
      </c>
      <c r="Q31" s="62">
        <f si="9" t="shared"/>
        <v>0.91201111565833715</v>
      </c>
      <c r="R31" s="62">
        <f si="9" t="shared"/>
        <v>0.99756762900820473</v>
      </c>
      <c r="T31">
        <v>10</v>
      </c>
      <c r="U31" t="str">
        <f>VLOOKUP(T31,$AA$3:$AB$48,2,FALSE)</f>
        <v>dt-const</v>
      </c>
      <c r="V31" s="46">
        <f>R82</f>
        <v>-2.753234979003</v>
      </c>
      <c r="AA31" s="45">
        <f>WorkCoefficients!B39</f>
        <v>70</v>
      </c>
      <c r="AB31" s="45" t="str">
        <f>WorkCoefficients!C39</f>
        <v>wk-const</v>
      </c>
      <c r="AC31" s="83">
        <f>WorkCoefficients!E39</f>
        <v>0.98472092543800005</v>
      </c>
      <c r="AD31" s="82">
        <f si="0" t="shared"/>
        <v>0.98472092543800005</v>
      </c>
      <c r="AE31">
        <f si="1" t="shared"/>
        <v>0</v>
      </c>
    </row>
    <row r="32" spans="1:31" x14ac:dyDescent="0.25">
      <c r="B32" s="9" t="s">
        <v>2</v>
      </c>
      <c r="C32" s="54">
        <f ref="C32:C38" si="10" t="shared">$C19/C$26</f>
        <v>0.18311332308074907</v>
      </c>
      <c r="D32" s="54"/>
      <c r="E32" s="54">
        <f ref="E32:E39" si="11" t="shared">$E19/E$26</f>
        <v>0.45335908811665449</v>
      </c>
      <c r="F32" s="54">
        <f ref="F32:F39" si="12" t="shared">$F19/F$26</f>
        <v>0.19742187979946776</v>
      </c>
      <c r="H32" s="9" t="s">
        <v>2</v>
      </c>
      <c r="I32" s="40">
        <f ref="I32:I38" si="13" t="shared">$I19/I$26</f>
        <v>0.20979646611496311</v>
      </c>
      <c r="J32" s="40">
        <f ref="J32:J38" si="14" t="shared">$J19/J$26</f>
        <v>0.30680377401985809</v>
      </c>
      <c r="K32" s="40">
        <f ref="K32:K38" si="15" t="shared">$K19/K$26</f>
        <v>0.40435880842535959</v>
      </c>
      <c r="L32" s="40">
        <f ref="L32:L39" si="16" t="shared">$L19/L$26</f>
        <v>0.19799522688487856</v>
      </c>
      <c r="M32" s="42"/>
      <c r="N32" s="9" t="s">
        <v>2</v>
      </c>
      <c r="O32" s="85">
        <f>IF(O19="","-",(C32+C33)/(I32+I33))</f>
        <v>0.76239426110146358</v>
      </c>
      <c r="P32" s="86">
        <f>IF(P19="","-",(D32+D33)/(J32+J33))</f>
        <v>0</v>
      </c>
      <c r="Q32" s="63" t="str">
        <f si="9" t="shared"/>
        <v>-</v>
      </c>
      <c r="R32" s="63">
        <f>IF(R19="","-",F32/L32)</f>
        <v>0.9971042378423387</v>
      </c>
      <c r="T32">
        <v>11</v>
      </c>
      <c r="U32" t="str">
        <f ref="U32:U36" si="17" t="shared">VLOOKUP(T32,$AA$3:$AB$48,2,FALSE)</f>
        <v>dt-nocars</v>
      </c>
      <c r="V32" s="46">
        <f>O82</f>
        <v>-1.6295853817628914</v>
      </c>
      <c r="AA32">
        <f>WorkCoefficients!B40</f>
        <v>71</v>
      </c>
      <c r="AB32" t="str">
        <f>WorkCoefficients!C40</f>
        <v>wk-male</v>
      </c>
      <c r="AC32" s="81">
        <f>WorkCoefficients!E40</f>
        <v>-0.65970901100000001</v>
      </c>
      <c r="AD32" s="82">
        <f si="0" t="shared"/>
        <v>-0.65970901100000001</v>
      </c>
      <c r="AE32">
        <f si="1" t="shared"/>
        <v>0</v>
      </c>
    </row>
    <row r="33" spans="2:31" x14ac:dyDescent="0.25">
      <c r="B33" s="9" t="s">
        <v>3</v>
      </c>
      <c r="C33" s="54">
        <f si="10" t="shared"/>
        <v>8.4943885251056089E-2</v>
      </c>
      <c r="D33" s="54"/>
      <c r="E33" s="54">
        <f si="11" t="shared"/>
        <v>8.4762047171587973E-2</v>
      </c>
      <c r="F33" s="54">
        <f si="12" t="shared"/>
        <v>7.4156915808421695E-2</v>
      </c>
      <c r="H33" s="9" t="s">
        <v>3</v>
      </c>
      <c r="I33" s="40">
        <f si="13" t="shared"/>
        <v>0.14180272869604116</v>
      </c>
      <c r="J33" s="40">
        <f si="14" t="shared"/>
        <v>0.10099454973571981</v>
      </c>
      <c r="K33" s="40">
        <f si="15" t="shared"/>
        <v>0.12965785023902471</v>
      </c>
      <c r="L33" s="40">
        <f si="16" t="shared"/>
        <v>7.4409108424839623E-2</v>
      </c>
      <c r="M33" s="42"/>
      <c r="N33" s="9" t="s">
        <v>3</v>
      </c>
      <c r="O33" s="63">
        <f si="9" t="shared"/>
        <v>0.5990285661789776</v>
      </c>
      <c r="P33" s="63">
        <f si="9" t="shared"/>
        <v>0</v>
      </c>
      <c r="Q33" s="63" t="str">
        <f si="9" t="shared"/>
        <v>-</v>
      </c>
      <c r="R33" s="63">
        <f si="9" t="shared"/>
        <v>0.99661072922715277</v>
      </c>
      <c r="T33">
        <v>13</v>
      </c>
      <c r="U33" t="str">
        <f si="17" t="shared"/>
        <v>dt-carsltw</v>
      </c>
      <c r="V33" s="46">
        <f>Q82</f>
        <v>0.70783398598236957</v>
      </c>
      <c r="AA33" s="45">
        <f>WorkCoefficients!B41</f>
        <v>77</v>
      </c>
      <c r="AB33" s="45" t="str">
        <f>WorkCoefficients!C41</f>
        <v>wk-nocars</v>
      </c>
      <c r="AC33" s="83">
        <f>WorkCoefficients!E41</f>
        <v>1.2553922705010001</v>
      </c>
      <c r="AD33" s="82">
        <f si="0" t="shared"/>
        <v>0.89688401772878712</v>
      </c>
      <c r="AE33">
        <f si="1" t="shared"/>
        <v>1</v>
      </c>
    </row>
    <row r="34" spans="2:31" x14ac:dyDescent="0.25">
      <c r="B34" s="9" t="s">
        <v>4</v>
      </c>
      <c r="C34" s="54">
        <f si="10" t="shared"/>
        <v>5.0157742830517889E-2</v>
      </c>
      <c r="D34" s="54"/>
      <c r="E34" s="54">
        <f si="11" t="shared"/>
        <v>9.9116299098963839E-3</v>
      </c>
      <c r="F34" s="54">
        <f si="12" t="shared"/>
        <v>3.5790871983100952E-3</v>
      </c>
      <c r="H34" s="9" t="s">
        <v>4</v>
      </c>
      <c r="I34" s="40">
        <f si="13" t="shared"/>
        <v>9.1702080071572357E-3</v>
      </c>
      <c r="J34" s="40">
        <f si="14" t="shared"/>
        <v>4.6598936292832323E-3</v>
      </c>
      <c r="K34" s="40">
        <f si="15" t="shared"/>
        <v>8.5172118656451582E-3</v>
      </c>
      <c r="L34" s="40">
        <f si="16" t="shared"/>
        <v>3.0358177926447399E-3</v>
      </c>
      <c r="M34" s="42"/>
      <c r="N34" s="9" t="s">
        <v>4</v>
      </c>
      <c r="O34" s="63">
        <f>IFERROR(IF(O21="","-",C34/I34),1)</f>
        <v>5.4696406876889139</v>
      </c>
      <c r="P34" s="63" t="str">
        <f si="9" t="shared"/>
        <v>-</v>
      </c>
      <c r="Q34" s="63">
        <f si="9" t="shared"/>
        <v>1.1637176656219765</v>
      </c>
      <c r="R34" s="63">
        <f si="9" t="shared"/>
        <v>1.178953231969851</v>
      </c>
      <c r="T34">
        <v>20</v>
      </c>
      <c r="U34" t="str">
        <f si="17" t="shared"/>
        <v>wt-const</v>
      </c>
      <c r="V34" s="46">
        <f>R83</f>
        <v>-2.3402411299599999</v>
      </c>
      <c r="AA34" s="45">
        <f>WorkCoefficients!B42</f>
        <v>78</v>
      </c>
      <c r="AB34" s="45" t="str">
        <f>WorkCoefficients!C42</f>
        <v>wk-carsltd</v>
      </c>
      <c r="AC34" s="83">
        <f>WorkCoefficients!E42</f>
        <v>5.3948600250779997</v>
      </c>
      <c r="AD34" s="82">
        <f si="0" t="shared"/>
        <v>5.3948600250779997</v>
      </c>
      <c r="AE34">
        <f si="1" t="shared"/>
        <v>0</v>
      </c>
    </row>
    <row r="35" spans="2:31" x14ac:dyDescent="0.25">
      <c r="B35" s="9" t="s">
        <v>5</v>
      </c>
      <c r="C35" s="54">
        <f si="10" t="shared"/>
        <v>0.5060210222485223</v>
      </c>
      <c r="D35" s="54"/>
      <c r="E35" s="54">
        <f si="11" t="shared"/>
        <v>4.1433338414010965E-2</v>
      </c>
      <c r="F35" s="54">
        <f si="12" t="shared"/>
        <v>8.5583700973393528E-3</v>
      </c>
      <c r="H35" s="9" t="s">
        <v>5</v>
      </c>
      <c r="I35" s="40">
        <f si="13" t="shared"/>
        <v>0.4014761798255424</v>
      </c>
      <c r="J35" s="40">
        <f si="14" t="shared"/>
        <v>8.6035138561854733E-3</v>
      </c>
      <c r="K35" s="40">
        <f si="15" t="shared"/>
        <v>1.0938772101956037E-2</v>
      </c>
      <c r="L35" s="40">
        <f si="16" t="shared"/>
        <v>6.754896976487389E-3</v>
      </c>
      <c r="M35" s="42"/>
      <c r="N35" s="9" t="s">
        <v>5</v>
      </c>
      <c r="O35" s="63">
        <f si="9" t="shared"/>
        <v>1.2604011088986871</v>
      </c>
      <c r="P35" s="63">
        <f si="9" t="shared"/>
        <v>0</v>
      </c>
      <c r="Q35" s="63" t="str">
        <f si="9" t="shared"/>
        <v>-</v>
      </c>
      <c r="R35" s="63">
        <f si="9" t="shared"/>
        <v>1.2669875095252432</v>
      </c>
      <c r="T35">
        <v>21</v>
      </c>
      <c r="U35" t="str">
        <f si="17" t="shared"/>
        <v>wt-nocars</v>
      </c>
      <c r="V35" s="46">
        <f>O83</f>
        <v>1.4317919096636171</v>
      </c>
      <c r="AA35">
        <f>WorkCoefficients!B43</f>
        <v>100</v>
      </c>
      <c r="AB35" t="str">
        <f>WorkCoefficients!C43</f>
        <v>wt-inc75p</v>
      </c>
      <c r="AC35" s="81">
        <f>WorkCoefficients!E43</f>
        <v>-5.0023107309999997</v>
      </c>
      <c r="AD35" s="82">
        <f si="0" t="shared"/>
        <v>-5.0023107309999997</v>
      </c>
      <c r="AE35">
        <f si="1" t="shared"/>
        <v>0</v>
      </c>
    </row>
    <row r="36" spans="2:31" x14ac:dyDescent="0.25">
      <c r="B36" s="9" t="s">
        <v>6</v>
      </c>
      <c r="C36" s="54">
        <f si="10" t="shared"/>
        <v>9.4655869788128774E-2</v>
      </c>
      <c r="D36" s="54"/>
      <c r="E36" s="54">
        <f si="11" t="shared"/>
        <v>6.6490404741076968E-3</v>
      </c>
      <c r="F36" s="54">
        <f si="12" t="shared"/>
        <v>6.738541437177289E-3</v>
      </c>
      <c r="H36" s="9" t="s">
        <v>6</v>
      </c>
      <c r="I36" s="40">
        <f si="13" t="shared"/>
        <v>0.12167300380228137</v>
      </c>
      <c r="J36" s="40">
        <f si="14" t="shared"/>
        <v>1.0670003787192702E-2</v>
      </c>
      <c r="K36" s="40">
        <f si="15" t="shared"/>
        <v>1.6220278479427176E-2</v>
      </c>
      <c r="L36" s="40">
        <f si="16" t="shared"/>
        <v>6.754896976487389E-3</v>
      </c>
      <c r="M36" s="42"/>
      <c r="N36" s="9" t="s">
        <v>6</v>
      </c>
      <c r="O36" s="63">
        <f si="9" t="shared"/>
        <v>0.77795292982118336</v>
      </c>
      <c r="P36" s="63">
        <f si="9" t="shared"/>
        <v>0</v>
      </c>
      <c r="Q36" s="63" t="str">
        <f si="9" t="shared"/>
        <v>-</v>
      </c>
      <c r="R36" s="63">
        <f>IF(R23="","-",F36/L36)</f>
        <v>0.99757871372916107</v>
      </c>
      <c r="T36">
        <v>22</v>
      </c>
      <c r="U36" t="str">
        <f si="17" t="shared"/>
        <v>wt-carsltd</v>
      </c>
      <c r="V36" s="46">
        <f>P83</f>
        <v>1.016680004923</v>
      </c>
      <c r="AA36">
        <f>WorkCoefficients!B44</f>
        <v>124</v>
      </c>
      <c r="AB36" t="str">
        <f>WorkCoefficients!C44</f>
        <v>tr-omixed</v>
      </c>
      <c r="AC36" s="81">
        <f>WorkCoefficients!E44</f>
        <v>2.0023107310000001</v>
      </c>
      <c r="AD36" s="82">
        <f si="0" t="shared"/>
        <v>2.0023107310000001</v>
      </c>
      <c r="AE36">
        <f si="1" t="shared"/>
        <v>0</v>
      </c>
    </row>
    <row r="37" spans="2:31" x14ac:dyDescent="0.25">
      <c r="B37" s="9" t="s">
        <v>7</v>
      </c>
      <c r="C37" s="54">
        <f si="10" t="shared"/>
        <v>8.1108156801025802E-2</v>
      </c>
      <c r="D37" s="54"/>
      <c r="E37" s="54">
        <f si="11" t="shared"/>
        <v>5.8998703477553115E-2</v>
      </c>
      <c r="F37" s="54">
        <f si="12" t="shared"/>
        <v>9.7218578734686884E-3</v>
      </c>
      <c r="H37" s="9" t="s">
        <v>7</v>
      </c>
      <c r="I37" s="40">
        <f si="13" t="shared"/>
        <v>0.11608141355401476</v>
      </c>
      <c r="J37" s="40">
        <f si="14" t="shared"/>
        <v>4.0629991272990731E-2</v>
      </c>
      <c r="K37" s="40">
        <f si="15" t="shared"/>
        <v>5.2147047157798047E-2</v>
      </c>
      <c r="L37" s="40">
        <f si="16" t="shared"/>
        <v>9.5203245977339042E-3</v>
      </c>
      <c r="M37" s="42"/>
      <c r="N37" s="9" t="s">
        <v>7</v>
      </c>
      <c r="O37" s="63">
        <f si="9" t="shared"/>
        <v>0.69871785945546505</v>
      </c>
      <c r="P37" s="63">
        <f si="9" t="shared"/>
        <v>0</v>
      </c>
      <c r="Q37" s="63" t="str">
        <f si="9" t="shared"/>
        <v>-</v>
      </c>
      <c r="R37" s="63">
        <f>IF(R24="","-",F37/L37)</f>
        <v>1.0211687399590088</v>
      </c>
      <c r="T37">
        <v>30</v>
      </c>
      <c r="U37" t="str">
        <f ref="U37:U50" si="18" t="shared">VLOOKUP(T37,$AA$3:$AB$48,2,FALSE)</f>
        <v>s3-const</v>
      </c>
      <c r="V37" s="46">
        <f>R81</f>
        <v>-1.3259112000819999</v>
      </c>
      <c r="AA37">
        <f>WorkCoefficients!B45</f>
        <v>127</v>
      </c>
      <c r="AB37" t="str">
        <f>WorkCoefficients!C45</f>
        <v>tr-dintdn</v>
      </c>
      <c r="AC37" s="81">
        <f>WorkCoefficients!E45</f>
        <v>1.0987902000000001E-2</v>
      </c>
      <c r="AD37" s="82">
        <f si="0" t="shared"/>
        <v>1.0987902000000001E-2</v>
      </c>
      <c r="AE37">
        <f si="1" t="shared"/>
        <v>0</v>
      </c>
    </row>
    <row r="38" spans="2:31" x14ac:dyDescent="0.25">
      <c r="B38" s="14" t="s">
        <v>8</v>
      </c>
      <c r="C38" s="54">
        <f si="10" t="shared"/>
        <v>0</v>
      </c>
      <c r="D38" s="54"/>
      <c r="E38" s="54">
        <f si="11" t="shared"/>
        <v>0</v>
      </c>
      <c r="F38" s="54">
        <f si="12" t="shared"/>
        <v>0</v>
      </c>
      <c r="H38" s="14" t="s">
        <v>8</v>
      </c>
      <c r="I38" s="40">
        <f si="13" t="shared"/>
        <v>0</v>
      </c>
      <c r="J38" s="40">
        <f si="14" t="shared"/>
        <v>0</v>
      </c>
      <c r="K38" s="40">
        <f si="15" t="shared"/>
        <v>0</v>
      </c>
      <c r="L38" s="40">
        <f si="16" t="shared"/>
        <v>0</v>
      </c>
      <c r="M38" s="42"/>
      <c r="N38" s="14" t="s">
        <v>8</v>
      </c>
      <c r="O38" s="64" t="str">
        <f si="9" t="shared"/>
        <v>-</v>
      </c>
      <c r="P38" s="64" t="str">
        <f si="9" t="shared"/>
        <v>-</v>
      </c>
      <c r="Q38" s="64" t="str">
        <f si="9" t="shared"/>
        <v>-</v>
      </c>
      <c r="R38" s="64" t="str">
        <f si="9" t="shared"/>
        <v>-</v>
      </c>
      <c r="T38">
        <v>36</v>
      </c>
      <c r="U38" t="str">
        <f si="18" t="shared"/>
        <v>s3-nocars</v>
      </c>
      <c r="V38" s="46">
        <f>O81</f>
        <v>0.40118043758744298</v>
      </c>
      <c r="AA38">
        <f>WorkCoefficients!B46</f>
        <v>128</v>
      </c>
      <c r="AB38" t="str">
        <f>WorkCoefficients!C46</f>
        <v>tr-dempdn</v>
      </c>
      <c r="AC38" s="81">
        <f>WorkCoefficients!E46</f>
        <v>9.8072999999999994E-5</v>
      </c>
      <c r="AD38" s="82">
        <f si="0" t="shared"/>
        <v>9.8072999999999994E-5</v>
      </c>
      <c r="AE38">
        <f si="1" t="shared"/>
        <v>0</v>
      </c>
    </row>
    <row ht="15.75" r="39" spans="2:31" thickBot="1" x14ac:dyDescent="0.3">
      <c r="B39" s="66" t="s">
        <v>19</v>
      </c>
      <c r="C39" s="68">
        <f>SUM(C31:C38)</f>
        <v>0.99999999999999989</v>
      </c>
      <c r="D39" s="68">
        <f ref="D39" si="19" t="shared">SUM(D31:D38)</f>
        <v>0</v>
      </c>
      <c r="E39" s="68">
        <f si="11" t="shared"/>
        <v>1</v>
      </c>
      <c r="F39" s="68">
        <f si="12" t="shared"/>
        <v>1</v>
      </c>
      <c r="H39" s="66" t="s">
        <v>19</v>
      </c>
      <c r="I39" s="69">
        <f>SUM(I31:I38)</f>
        <v>1</v>
      </c>
      <c r="J39" s="69">
        <f ref="J39:K39" si="20" t="shared">SUM(J31:J38)</f>
        <v>1.0000000000000002</v>
      </c>
      <c r="K39" s="69">
        <f si="20" t="shared"/>
        <v>1</v>
      </c>
      <c r="L39" s="69">
        <f si="16" t="shared"/>
        <v>1</v>
      </c>
      <c r="M39" s="42"/>
      <c r="N39" s="39" t="s">
        <v>260</v>
      </c>
      <c r="O39" s="41"/>
      <c r="P39" s="41"/>
      <c r="Q39" s="41"/>
      <c r="R39" s="41"/>
      <c r="T39">
        <v>37</v>
      </c>
      <c r="U39" t="str">
        <f si="18" t="shared"/>
        <v>s3-carsltd</v>
      </c>
      <c r="V39" s="46">
        <f>P81</f>
        <v>-0.38934722737299998</v>
      </c>
      <c r="AA39">
        <f>WorkCoefficients!B47</f>
        <v>131</v>
      </c>
      <c r="AB39" t="str">
        <f>WorkCoefficients!C47</f>
        <v>da-escsptr</v>
      </c>
      <c r="AC39" s="81">
        <f>WorkCoefficients!E47</f>
        <v>-2.2170416799999999</v>
      </c>
      <c r="AD39" s="82">
        <f si="0" t="shared"/>
        <v>-2.2170416799999999</v>
      </c>
      <c r="AE39">
        <f ref="AE39:AE42" si="21" t="shared">IF(AC39=AD39,0,1)</f>
        <v>0</v>
      </c>
    </row>
    <row r="40" spans="2:31" x14ac:dyDescent="0.25">
      <c r="T40">
        <v>40</v>
      </c>
      <c r="U40" t="str">
        <f si="18" t="shared"/>
        <v>s2-const</v>
      </c>
      <c r="V40" s="46">
        <f>R80</f>
        <v>-0.65415680916200003</v>
      </c>
      <c r="AA40">
        <f>WorkCoefficients!B48</f>
        <v>132</v>
      </c>
      <c r="AB40" t="str">
        <f>WorkCoefficients!C48</f>
        <v>da-othsptr</v>
      </c>
      <c r="AC40" s="81">
        <f>WorkCoefficients!E48</f>
        <v>-3.1767086999999999E-2</v>
      </c>
      <c r="AD40" s="82">
        <f si="0" t="shared"/>
        <v>-3.1767086999999999E-2</v>
      </c>
      <c r="AE40">
        <f si="21" t="shared"/>
        <v>0</v>
      </c>
    </row>
    <row r="41" spans="2:31" x14ac:dyDescent="0.25">
      <c r="T41">
        <v>41</v>
      </c>
      <c r="U41" t="str">
        <f si="18" t="shared"/>
        <v>sr-nocars</v>
      </c>
      <c r="V41" s="46">
        <f>O80</f>
        <v>-4.4379941253089878</v>
      </c>
      <c r="Y41" s="41"/>
      <c r="AA41">
        <f>WorkCoefficients!B49</f>
        <v>133</v>
      </c>
      <c r="AB41" t="str">
        <f>WorkCoefficients!C49</f>
        <v>sr-escsptr</v>
      </c>
      <c r="AC41" s="81">
        <f>WorkCoefficients!E49</f>
        <v>3.7030999969999998</v>
      </c>
      <c r="AD41" s="82">
        <f si="0" t="shared"/>
        <v>3.7030999969999998</v>
      </c>
      <c r="AE41">
        <f si="21" t="shared"/>
        <v>0</v>
      </c>
    </row>
    <row ht="15.75" r="42" spans="2:31" thickBot="1" x14ac:dyDescent="0.3">
      <c r="N42" s="36" t="s">
        <v>257</v>
      </c>
      <c r="T42">
        <v>42</v>
      </c>
      <c r="U42" t="str">
        <f si="18" t="shared"/>
        <v>sr-carsltd</v>
      </c>
      <c r="V42" s="46">
        <f>P80</f>
        <v>0.46242029547000002</v>
      </c>
      <c r="Y42" s="41"/>
      <c r="AA42">
        <f>WorkCoefficients!B50</f>
        <v>134</v>
      </c>
      <c r="AB42" t="str">
        <f>WorkCoefficients!C50</f>
        <v>sr-othsptr</v>
      </c>
      <c r="AC42" s="81">
        <f>WorkCoefficients!E50</f>
        <v>0.24299252399999999</v>
      </c>
      <c r="AD42" s="82">
        <f si="0" t="shared"/>
        <v>0.24299252399999999</v>
      </c>
      <c r="AE42">
        <f si="21" t="shared"/>
        <v>0</v>
      </c>
    </row>
    <row r="43" spans="2:31" x14ac:dyDescent="0.25">
      <c r="N43" s="59" t="s">
        <v>0</v>
      </c>
      <c r="O43" s="60" t="s">
        <v>239</v>
      </c>
      <c r="P43" s="60" t="s">
        <v>234</v>
      </c>
      <c r="Q43" s="60" t="s">
        <v>237</v>
      </c>
      <c r="R43" s="60" t="s">
        <v>240</v>
      </c>
      <c r="T43">
        <v>50</v>
      </c>
      <c r="U43" t="str">
        <f si="18" t="shared"/>
        <v>da-const</v>
      </c>
      <c r="V43" s="46">
        <f>R79</f>
        <v>2.258603321502</v>
      </c>
      <c r="Y43" s="41"/>
      <c r="AA43">
        <f>WorkCoefficients!B51</f>
        <v>162</v>
      </c>
      <c r="AB43" t="str">
        <f>WorkCoefficients!C51</f>
        <v>bi-class2</v>
      </c>
      <c r="AC43" s="81">
        <f>WorkCoefficients!E51</f>
        <v>0.47993312799999999</v>
      </c>
      <c r="AD43" s="82">
        <f si="0" t="shared"/>
        <v>0.47993312799999999</v>
      </c>
      <c r="AE43">
        <f ref="AE43:AE48" si="22" t="shared">IF(AC43=AD43,0,1)</f>
        <v>0</v>
      </c>
    </row>
    <row r="44" spans="2:31" x14ac:dyDescent="0.25">
      <c r="B44" s="41"/>
      <c r="C44" s="41"/>
      <c r="D44" s="41"/>
      <c r="E44" s="5"/>
      <c r="K44" s="117"/>
      <c r="N44" s="9" t="s">
        <v>1</v>
      </c>
      <c r="O44" s="76" t="str">
        <f ref="O44:R51" si="23" t="shared">IF(O18="","-",IF(O31&gt;0,LN(O31),0))</f>
        <v>-</v>
      </c>
      <c r="P44" s="76" t="str">
        <f si="23" t="shared"/>
        <v>-</v>
      </c>
      <c r="Q44" s="76">
        <f si="23" t="shared"/>
        <v>-9.2103100760220533E-2</v>
      </c>
      <c r="R44" s="76">
        <f si="23" t="shared"/>
        <v>-2.4353340118673673E-3</v>
      </c>
      <c r="T44">
        <v>53</v>
      </c>
      <c r="U44" t="str">
        <f si="18" t="shared"/>
        <v>da-carsltw</v>
      </c>
      <c r="V44" s="46">
        <f>Q79</f>
        <v>-1.9566393649452205</v>
      </c>
      <c r="Y44" s="41"/>
      <c r="AA44">
        <f>WorkCoefficients!B52</f>
        <v>164</v>
      </c>
      <c r="AB44" t="str">
        <f>WorkCoefficients!C52</f>
        <v>bi-omixed</v>
      </c>
      <c r="AC44" s="81">
        <f>WorkCoefficients!E52</f>
        <v>2.4096342509999999</v>
      </c>
      <c r="AD44" s="82">
        <f si="0" t="shared"/>
        <v>2.4096342509999999</v>
      </c>
      <c r="AE44">
        <f si="22" t="shared"/>
        <v>0</v>
      </c>
    </row>
    <row r="45" spans="2:31" x14ac:dyDescent="0.25">
      <c r="B45" s="70"/>
      <c r="C45" s="41"/>
      <c r="D45" s="41"/>
      <c r="E45" s="41"/>
      <c r="K45" s="117"/>
      <c r="N45" s="9" t="s">
        <v>2</v>
      </c>
      <c r="O45" s="77">
        <f si="23" t="shared"/>
        <v>-0.27129145408198735</v>
      </c>
      <c r="P45" s="77">
        <f si="23" t="shared"/>
        <v>0</v>
      </c>
      <c r="Q45" s="77" t="str">
        <f si="23" t="shared"/>
        <v>-</v>
      </c>
      <c r="R45" s="77">
        <f si="23" t="shared"/>
        <v>-2.8999629885963544E-3</v>
      </c>
      <c r="T45">
        <v>60</v>
      </c>
      <c r="U45" t="str">
        <f si="18" t="shared"/>
        <v>bi-const</v>
      </c>
      <c r="V45" s="46">
        <f>R84</f>
        <v>-8.3782826345419998</v>
      </c>
      <c r="Y45" s="41"/>
      <c r="AA45">
        <f>WorkCoefficients!B53</f>
        <v>168</v>
      </c>
      <c r="AB45" t="str">
        <f>WorkCoefficients!C53</f>
        <v>bi-dempdn</v>
      </c>
      <c r="AC45" s="81">
        <f>WorkCoefficients!E53</f>
        <v>1.53239E-4</v>
      </c>
      <c r="AD45" s="82">
        <f si="0" t="shared"/>
        <v>1.53239E-4</v>
      </c>
      <c r="AE45">
        <f si="22" t="shared"/>
        <v>0</v>
      </c>
    </row>
    <row r="46" spans="2:31" x14ac:dyDescent="0.25">
      <c r="B46" s="41"/>
      <c r="C46" s="53"/>
      <c r="D46" s="53"/>
      <c r="E46" s="53"/>
      <c r="N46" s="9" t="s">
        <v>3</v>
      </c>
      <c r="O46" s="77">
        <f si="23" t="shared"/>
        <v>-0.51244599222254439</v>
      </c>
      <c r="P46" s="77">
        <f si="23" t="shared"/>
        <v>0</v>
      </c>
      <c r="Q46" s="77" t="str">
        <f si="23" t="shared"/>
        <v>-</v>
      </c>
      <c r="R46" s="77">
        <f si="23" t="shared"/>
        <v>-3.3950273618059096E-3</v>
      </c>
      <c r="T46">
        <v>67</v>
      </c>
      <c r="U46" t="str">
        <f si="18" t="shared"/>
        <v>bi-nocars</v>
      </c>
      <c r="V46" s="46">
        <f>O84</f>
        <v>-1.9320531832562247</v>
      </c>
      <c r="Y46" s="41"/>
      <c r="AA46">
        <f>WorkCoefficients!B54</f>
        <v>169</v>
      </c>
      <c r="AB46" t="str">
        <f>WorkCoefficients!C54</f>
        <v>bi-dmixed</v>
      </c>
      <c r="AC46" s="81">
        <f>WorkCoefficients!E54</f>
        <v>7.1710322279999996</v>
      </c>
      <c r="AD46" s="82">
        <f si="0" t="shared"/>
        <v>7.1710322279999996</v>
      </c>
      <c r="AE46">
        <f si="22" t="shared"/>
        <v>0</v>
      </c>
    </row>
    <row r="47" spans="2:31" x14ac:dyDescent="0.25">
      <c r="B47" s="12"/>
      <c r="C47" s="55"/>
      <c r="D47" s="55"/>
      <c r="E47" s="55"/>
      <c r="N47" s="9" t="s">
        <v>4</v>
      </c>
      <c r="O47" s="77">
        <f si="23" t="shared"/>
        <v>1.6992129264681088</v>
      </c>
      <c r="P47" s="77" t="str">
        <f si="23" t="shared"/>
        <v>-</v>
      </c>
      <c r="Q47" s="77">
        <f si="23" t="shared"/>
        <v>0.15161976458036955</v>
      </c>
      <c r="R47" s="77">
        <f si="23" t="shared"/>
        <v>0.16462695322804144</v>
      </c>
      <c r="T47">
        <v>68</v>
      </c>
      <c r="U47" t="str">
        <f si="18" t="shared"/>
        <v>bi-carsltd</v>
      </c>
      <c r="V47" s="46">
        <f>P84</f>
        <v>0.75586563750299995</v>
      </c>
      <c r="Y47" s="41"/>
      <c r="AA47">
        <f>WorkCoefficients!B55</f>
        <v>179</v>
      </c>
      <c r="AB47" t="str">
        <f>WorkCoefficients!C55</f>
        <v>wk-dmixed</v>
      </c>
      <c r="AC47" s="81">
        <f>WorkCoefficients!E55</f>
        <v>0.92527456200000002</v>
      </c>
      <c r="AD47" s="82">
        <f si="0" t="shared"/>
        <v>0.92527456200000002</v>
      </c>
      <c r="AE47">
        <f si="22" t="shared"/>
        <v>0</v>
      </c>
    </row>
    <row r="48" spans="2:31" x14ac:dyDescent="0.25">
      <c r="B48" s="12"/>
      <c r="C48" s="55"/>
      <c r="D48" s="55"/>
      <c r="E48" s="55"/>
      <c r="N48" s="9" t="s">
        <v>5</v>
      </c>
      <c r="O48" s="77">
        <f si="23" t="shared"/>
        <v>0.23143001069961724</v>
      </c>
      <c r="P48" s="77">
        <f si="23" t="shared"/>
        <v>0</v>
      </c>
      <c r="Q48" s="77" t="str">
        <f si="23" t="shared"/>
        <v>-</v>
      </c>
      <c r="R48" s="77">
        <f si="23" t="shared"/>
        <v>0.23664204298357605</v>
      </c>
      <c r="T48">
        <v>70</v>
      </c>
      <c r="U48" t="str">
        <f si="18" t="shared"/>
        <v>wk-const</v>
      </c>
      <c r="V48" s="46">
        <f>R85</f>
        <v>0.98472092543800005</v>
      </c>
      <c r="Y48" s="41"/>
      <c r="AA48">
        <f>WorkCoefficients!B56</f>
        <v>180</v>
      </c>
      <c r="AB48" t="str">
        <f>WorkCoefficients!C56</f>
        <v>wt-univtr</v>
      </c>
      <c r="AC48" s="81">
        <f>WorkCoefficients!E56</f>
        <v>-2.5456058129999999</v>
      </c>
      <c r="AD48" s="82">
        <f si="0" t="shared"/>
        <v>-2.5456058129999999</v>
      </c>
      <c r="AE48">
        <f si="22" t="shared"/>
        <v>0</v>
      </c>
    </row>
    <row r="49" spans="2:31" x14ac:dyDescent="0.25">
      <c r="B49" s="12"/>
      <c r="C49" s="55"/>
      <c r="D49" s="55"/>
      <c r="E49" s="55"/>
      <c r="N49" s="9" t="s">
        <v>6</v>
      </c>
      <c r="O49" s="77">
        <f si="23" t="shared"/>
        <v>-0.25108925814922445</v>
      </c>
      <c r="P49" s="77">
        <f si="23" t="shared"/>
        <v>0</v>
      </c>
      <c r="Q49" s="77" t="str">
        <f si="23" t="shared"/>
        <v>-</v>
      </c>
      <c r="R49" s="77">
        <f si="23" t="shared"/>
        <v>-2.4242223247504711E-3</v>
      </c>
      <c r="T49">
        <v>77</v>
      </c>
      <c r="U49" t="str">
        <f si="18" t="shared"/>
        <v>wk-nocars</v>
      </c>
      <c r="V49" s="46">
        <f>O85</f>
        <v>0.89688401772878712</v>
      </c>
      <c r="Y49" s="41"/>
      <c r="AA49">
        <f>WorkCoefficients!B57</f>
        <v>99</v>
      </c>
      <c r="AB49" t="str">
        <f>WorkCoefficients!C57</f>
        <v>modenest</v>
      </c>
      <c r="AC49" s="81">
        <f>WorkCoefficients!E57</f>
        <v>0.95968590200000004</v>
      </c>
      <c r="AD49" s="82">
        <f si="0" t="shared"/>
        <v>0.95968590200000004</v>
      </c>
      <c r="AE49">
        <f ref="AE49" si="24" t="shared">IF(AC49=AD49,0,1)</f>
        <v>0</v>
      </c>
    </row>
    <row ht="15.75" r="50" spans="2:31" thickBot="1" x14ac:dyDescent="0.3">
      <c r="B50" s="12"/>
      <c r="C50" s="55"/>
      <c r="D50" s="55"/>
      <c r="E50" s="5"/>
      <c r="N50" s="9" t="s">
        <v>7</v>
      </c>
      <c r="O50" s="77">
        <f si="23" t="shared"/>
        <v>-0.35850825277221299</v>
      </c>
      <c r="P50" s="77">
        <f si="23" t="shared"/>
        <v>0</v>
      </c>
      <c r="Q50" s="77" t="str">
        <f si="23" t="shared"/>
        <v>-</v>
      </c>
      <c r="R50" s="77">
        <f si="23" t="shared"/>
        <v>2.09477948306942E-2</v>
      </c>
      <c r="T50" s="3">
        <v>78</v>
      </c>
      <c r="U50" s="3" t="str">
        <f si="18" t="shared"/>
        <v>wk-carsltd</v>
      </c>
      <c r="V50" s="126">
        <f>P85</f>
        <v>5.3948600250779997</v>
      </c>
      <c r="Y50" s="41"/>
      <c r="AA50">
        <f>WorkCoefficients!B58</f>
        <v>-1</v>
      </c>
      <c r="AB50" s="47"/>
      <c r="AC50" s="84"/>
      <c r="AD50" s="84"/>
      <c r="AE50" s="47"/>
    </row>
    <row r="51" spans="2:31" x14ac:dyDescent="0.25">
      <c r="B51" s="12"/>
      <c r="C51" s="55"/>
      <c r="D51" s="55"/>
      <c r="E51" s="41"/>
      <c r="N51" s="14" t="s">
        <v>8</v>
      </c>
      <c r="O51" s="78" t="str">
        <f si="23" t="shared"/>
        <v>-</v>
      </c>
      <c r="P51" s="78" t="str">
        <f si="23" t="shared"/>
        <v>-</v>
      </c>
      <c r="Q51" s="78" t="str">
        <f si="23" t="shared"/>
        <v>-</v>
      </c>
      <c r="R51" s="78" t="str">
        <f si="23" t="shared"/>
        <v>-</v>
      </c>
      <c r="Y51" s="41"/>
      <c r="AA51" s="47"/>
      <c r="AB51" s="47"/>
      <c r="AC51" s="84"/>
      <c r="AD51" s="84"/>
      <c r="AE51" s="47"/>
    </row>
    <row r="52" spans="2:31" x14ac:dyDescent="0.25">
      <c r="B52" s="12"/>
      <c r="C52" s="55"/>
      <c r="D52" s="55"/>
      <c r="E52" s="109"/>
      <c r="N52" s="41"/>
      <c r="O52" s="41"/>
      <c r="P52" s="41"/>
      <c r="Q52" s="41"/>
      <c r="R52" s="41"/>
      <c r="AA52" s="47"/>
      <c r="AB52" s="47"/>
      <c r="AC52" s="84"/>
      <c r="AD52" s="84"/>
      <c r="AE52" s="47"/>
    </row>
    <row r="53" spans="2:31" x14ac:dyDescent="0.25">
      <c r="B53" s="12"/>
      <c r="C53" s="55"/>
      <c r="D53" s="55"/>
      <c r="E53" s="55"/>
      <c r="P53" t="s">
        <v>246</v>
      </c>
      <c r="Q53" s="47"/>
    </row>
    <row ht="15.75" r="54" spans="2:31" thickBot="1" x14ac:dyDescent="0.3">
      <c r="B54" s="39"/>
      <c r="C54" s="41"/>
      <c r="D54" s="41"/>
      <c r="E54" s="41"/>
      <c r="N54" s="36" t="s">
        <v>198</v>
      </c>
      <c r="O54" s="79">
        <v>1</v>
      </c>
      <c r="P54" s="79">
        <v>0</v>
      </c>
      <c r="Q54" s="79">
        <v>1</v>
      </c>
      <c r="R54" s="79">
        <v>0</v>
      </c>
    </row>
    <row r="55" spans="2:31" x14ac:dyDescent="0.25">
      <c r="B55" s="70"/>
      <c r="C55" s="41"/>
      <c r="D55" s="41"/>
      <c r="E55" s="41"/>
      <c r="N55" s="2" t="s">
        <v>0</v>
      </c>
      <c r="O55" s="60" t="str">
        <f>O43</f>
        <v>nocars</v>
      </c>
      <c r="P55" s="60" t="str">
        <f>P43</f>
        <v>cars &lt; adults</v>
      </c>
      <c r="Q55" s="92" t="str">
        <f>Q43</f>
        <v>cars &lt; workers</v>
      </c>
      <c r="R55" s="60" t="str">
        <f>R43</f>
        <v>constant</v>
      </c>
    </row>
    <row r="56" spans="2:31" x14ac:dyDescent="0.25">
      <c r="B56" s="41"/>
      <c r="C56" s="53"/>
      <c r="D56" s="53"/>
      <c r="E56" s="53"/>
      <c r="N56" s="9" t="s">
        <v>1</v>
      </c>
      <c r="O56" s="72" t="str">
        <f>IF(O18="","-",IF($R18="",$O$54*O44,$O$54*(O44-$R44)))</f>
        <v>-</v>
      </c>
      <c r="P56" s="72" t="str">
        <f>IF(P18="","-",IF($R18="",$P$54*P44,$P$54*(P44-$R44)))</f>
        <v>-</v>
      </c>
      <c r="Q56" s="72">
        <f ref="Q56:Q63" si="25" t="shared">IF(Q18="","-",IF($R18="",$Q$54*Q44,$Q$54*(Q44)))</f>
        <v>-9.2103100760220533E-2</v>
      </c>
      <c r="R56" s="73">
        <f>IF(R18="","-",S56*R44)</f>
        <v>0</v>
      </c>
      <c r="S56" s="79">
        <f>R$54</f>
        <v>0</v>
      </c>
    </row>
    <row r="57" spans="2:31" x14ac:dyDescent="0.25">
      <c r="B57" s="12"/>
      <c r="C57" s="55"/>
      <c r="D57" s="55"/>
      <c r="E57" s="55"/>
      <c r="N57" s="9" t="s">
        <v>2</v>
      </c>
      <c r="O57" s="73">
        <f>IF(O19="","-",IF($R19="",$O$54*O45,$O$54*(O45)))</f>
        <v>-0.27129145408198735</v>
      </c>
      <c r="P57" s="73">
        <f>IF(P19="","-",IF($R19="",$P$54*P45,$P$54*(P45)))</f>
        <v>0</v>
      </c>
      <c r="Q57" s="73" t="str">
        <f si="25" t="shared"/>
        <v>-</v>
      </c>
      <c r="R57" s="73">
        <f ref="R57:R63" si="26" t="shared">IF(R19="","-",S57*R45)</f>
        <v>0</v>
      </c>
      <c r="S57" s="79">
        <f ref="S57:S62" si="27" t="shared">R$54</f>
        <v>0</v>
      </c>
    </row>
    <row r="58" spans="2:31" x14ac:dyDescent="0.25">
      <c r="B58" s="12"/>
      <c r="C58" s="71"/>
      <c r="D58" s="71"/>
      <c r="E58" s="71"/>
      <c r="N58" s="9" t="s">
        <v>3</v>
      </c>
      <c r="O58" s="87">
        <f>IF(O20="","-",IF($R20="",$O$54*O46,$O$54*(O46-O57)))</f>
        <v>-0.24115453814055704</v>
      </c>
      <c r="P58" s="91">
        <f>IF(P20="","-",IF($R20="",$P$54*P46,$P$54*(P46-P57)))</f>
        <v>0</v>
      </c>
      <c r="Q58" s="73" t="str">
        <f si="25" t="shared"/>
        <v>-</v>
      </c>
      <c r="R58" s="73">
        <f si="26" t="shared"/>
        <v>0</v>
      </c>
      <c r="S58" s="79">
        <f si="27" t="shared"/>
        <v>0</v>
      </c>
    </row>
    <row r="59" spans="2:31" x14ac:dyDescent="0.25">
      <c r="B59" s="12"/>
      <c r="C59" s="71"/>
      <c r="D59" s="71"/>
      <c r="E59" s="71"/>
      <c r="N59" s="9" t="s">
        <v>4</v>
      </c>
      <c r="O59" s="73">
        <f>IF(O21="","-",IF($R21="",$O$54*O47,$O$54*(O47)))</f>
        <v>1.6992129264681088</v>
      </c>
      <c r="P59" s="73" t="str">
        <f>IF(P21="","-",IF($R21="",$P$54*P47,$P$54*(P47)))</f>
        <v>-</v>
      </c>
      <c r="Q59" s="73">
        <f si="25" t="shared"/>
        <v>0.15161976458036955</v>
      </c>
      <c r="R59" s="73">
        <f si="26" t="shared"/>
        <v>0</v>
      </c>
      <c r="S59" s="79">
        <f si="27" t="shared"/>
        <v>0</v>
      </c>
    </row>
    <row r="60" spans="2:31" x14ac:dyDescent="0.25">
      <c r="B60" s="12"/>
      <c r="C60" s="55"/>
      <c r="D60" s="55"/>
      <c r="E60" s="55"/>
      <c r="N60" s="9" t="s">
        <v>5</v>
      </c>
      <c r="O60" s="73">
        <f>IF(O22="","-",IF($R22="",$O$54*O48,$O$54*(O48)))</f>
        <v>0.23143001069961724</v>
      </c>
      <c r="P60" s="73">
        <f>IF(P22="","-",IF($R22="",$P$54*P48,$P$54*(P48)))</f>
        <v>0</v>
      </c>
      <c r="Q60" s="73" t="str">
        <f si="25" t="shared"/>
        <v>-</v>
      </c>
      <c r="R60" s="73">
        <f si="26" t="shared"/>
        <v>0</v>
      </c>
      <c r="S60" s="79">
        <f si="27" t="shared"/>
        <v>0</v>
      </c>
    </row>
    <row r="61" spans="2:31" x14ac:dyDescent="0.25">
      <c r="B61" s="12"/>
      <c r="C61" s="55"/>
      <c r="D61" s="55"/>
      <c r="E61" s="55"/>
      <c r="N61" s="9" t="s">
        <v>6</v>
      </c>
      <c r="O61" s="73">
        <f>IF(O23="","-",IF($R23="",$O$54*O49,$O$54*(O49)))</f>
        <v>-0.25108925814922445</v>
      </c>
      <c r="P61" s="73">
        <f>IF(P23="","-",IF($R23="",$P$54*P49,$P$54*(P49)))</f>
        <v>0</v>
      </c>
      <c r="Q61" s="73" t="str">
        <f si="25" t="shared"/>
        <v>-</v>
      </c>
      <c r="R61" s="73">
        <f si="26" t="shared"/>
        <v>0</v>
      </c>
      <c r="S61" s="79">
        <f si="27" t="shared"/>
        <v>0</v>
      </c>
    </row>
    <row r="62" spans="2:31" x14ac:dyDescent="0.25">
      <c r="B62" s="12"/>
      <c r="C62" s="55"/>
      <c r="D62" s="55"/>
      <c r="E62" s="55"/>
      <c r="N62" s="9" t="s">
        <v>7</v>
      </c>
      <c r="O62" s="73">
        <f>IF(O24="","-",IF($R24="",$O$54*O50,$O$54*(O50)))</f>
        <v>-0.35850825277221299</v>
      </c>
      <c r="P62" s="73">
        <f>IF(P24="","-",IF($R24="",$P$54*P50,$P$54*(P50)))</f>
        <v>0</v>
      </c>
      <c r="Q62" s="73" t="str">
        <f si="25" t="shared"/>
        <v>-</v>
      </c>
      <c r="R62" s="73">
        <f si="26" t="shared"/>
        <v>0</v>
      </c>
      <c r="S62" s="79">
        <f si="27" t="shared"/>
        <v>0</v>
      </c>
    </row>
    <row r="63" spans="2:31" x14ac:dyDescent="0.25">
      <c r="B63" s="12"/>
      <c r="C63" s="55"/>
      <c r="D63" s="55"/>
      <c r="E63" s="55"/>
      <c r="N63" s="14" t="s">
        <v>8</v>
      </c>
      <c r="O63" s="74" t="str">
        <f>IF(O25="","-",IF($R25="",$O$54*O51,$O$54*(O51)))</f>
        <v>-</v>
      </c>
      <c r="P63" s="74" t="str">
        <f>IF(P25="","-",IF($R25="",$P$54*P51,$P$54*(P51)))</f>
        <v>-</v>
      </c>
      <c r="Q63" s="74" t="str">
        <f si="25" t="shared"/>
        <v>-</v>
      </c>
      <c r="R63" s="74" t="str">
        <f si="26" t="shared"/>
        <v>-</v>
      </c>
      <c r="S63" s="41"/>
    </row>
    <row r="64" spans="2:31" x14ac:dyDescent="0.25">
      <c r="B64" s="12"/>
      <c r="C64" s="55"/>
      <c r="D64" s="55"/>
      <c r="E64" s="55"/>
      <c r="N64" s="39" t="s">
        <v>261</v>
      </c>
    </row>
    <row r="65" spans="2:18" x14ac:dyDescent="0.25">
      <c r="B65" s="12"/>
      <c r="C65" s="55"/>
      <c r="D65" s="55"/>
      <c r="E65" s="55"/>
    </row>
    <row ht="15.75" r="66" spans="2:18" thickBot="1" x14ac:dyDescent="0.3">
      <c r="B66" s="41"/>
      <c r="C66" s="41"/>
      <c r="D66" s="41"/>
      <c r="E66" s="41"/>
      <c r="N66" s="57" t="s">
        <v>199</v>
      </c>
      <c r="O66" s="41"/>
      <c r="P66" s="41"/>
      <c r="Q66" s="41"/>
      <c r="R66" s="41"/>
    </row>
    <row r="67" spans="2:18" x14ac:dyDescent="0.25">
      <c r="B67" s="70"/>
      <c r="C67" s="41"/>
      <c r="D67" s="41"/>
      <c r="E67" s="41"/>
      <c r="N67" s="2" t="s">
        <v>0</v>
      </c>
      <c r="O67" s="60" t="str">
        <f>O43</f>
        <v>nocars</v>
      </c>
      <c r="P67" s="60" t="str">
        <f>P43</f>
        <v>cars &lt; adults</v>
      </c>
      <c r="Q67" s="60" t="str">
        <f>Q43</f>
        <v>cars &lt; workers</v>
      </c>
      <c r="R67" s="60" t="str">
        <f>R43</f>
        <v>constant</v>
      </c>
    </row>
    <row r="68" spans="2:18" x14ac:dyDescent="0.25">
      <c r="B68" s="41"/>
      <c r="C68" s="53"/>
      <c r="D68" s="53"/>
      <c r="E68" s="53"/>
      <c r="N68" s="9" t="s">
        <v>1</v>
      </c>
      <c r="O68" s="72" t="str">
        <f ref="O68:R75" si="28" t="shared">IFERROR(VLOOKUP(O18,$AA$3:$AC$48,3,FALSE),"-")</f>
        <v>-</v>
      </c>
      <c r="P68" s="72" t="str">
        <f si="28" t="shared"/>
        <v>-</v>
      </c>
      <c r="Q68" s="72">
        <f si="28" t="shared"/>
        <v>-1.8645362641850001</v>
      </c>
      <c r="R68" s="72">
        <f si="28" t="shared"/>
        <v>2.258603321502</v>
      </c>
    </row>
    <row r="69" spans="2:18" x14ac:dyDescent="0.25">
      <c r="B69" s="12"/>
      <c r="C69" s="55"/>
      <c r="D69" s="55"/>
      <c r="E69" s="55"/>
      <c r="N69" s="9" t="s">
        <v>2</v>
      </c>
      <c r="O69" s="73">
        <f si="28" t="shared"/>
        <v>-4.1667026712270001</v>
      </c>
      <c r="P69" s="73">
        <f si="28" t="shared"/>
        <v>0.46242029547000002</v>
      </c>
      <c r="Q69" s="73" t="str">
        <f si="28" t="shared"/>
        <v>-</v>
      </c>
      <c r="R69" s="73">
        <f si="28" t="shared"/>
        <v>-0.65415680916200003</v>
      </c>
    </row>
    <row r="70" spans="2:18" x14ac:dyDescent="0.25">
      <c r="B70" s="12"/>
      <c r="C70" s="71"/>
      <c r="D70" s="55"/>
      <c r="E70" s="55"/>
      <c r="N70" s="9" t="s">
        <v>3</v>
      </c>
      <c r="O70" s="73">
        <f si="28" t="shared"/>
        <v>0.64233497572800002</v>
      </c>
      <c r="P70" s="73">
        <f si="28" t="shared"/>
        <v>-0.38934722737299998</v>
      </c>
      <c r="Q70" s="73" t="str">
        <f si="28" t="shared"/>
        <v>-</v>
      </c>
      <c r="R70" s="73">
        <f si="28" t="shared"/>
        <v>-1.3259112000819999</v>
      </c>
    </row>
    <row r="71" spans="2:18" x14ac:dyDescent="0.25">
      <c r="B71" s="12"/>
      <c r="C71" s="71"/>
      <c r="D71" s="55"/>
      <c r="E71" s="55"/>
      <c r="N71" s="9" t="s">
        <v>4</v>
      </c>
      <c r="O71" s="73">
        <f si="28" t="shared"/>
        <v>-3.3287983082310002</v>
      </c>
      <c r="P71" s="73" t="str">
        <f si="28" t="shared"/>
        <v>-</v>
      </c>
      <c r="Q71" s="73">
        <f si="28" t="shared"/>
        <v>0.55621422140200005</v>
      </c>
      <c r="R71" s="73">
        <f si="28" t="shared"/>
        <v>-2.753234979003</v>
      </c>
    </row>
    <row r="72" spans="2:18" x14ac:dyDescent="0.25">
      <c r="B72" s="12"/>
      <c r="C72" s="55"/>
      <c r="D72" s="55"/>
      <c r="E72" s="55"/>
      <c r="N72" s="9" t="s">
        <v>5</v>
      </c>
      <c r="O72" s="73">
        <f si="28" t="shared"/>
        <v>1.2003618989639999</v>
      </c>
      <c r="P72" s="73">
        <f si="28" t="shared"/>
        <v>1.016680004923</v>
      </c>
      <c r="Q72" s="73" t="str">
        <f si="28" t="shared"/>
        <v>-</v>
      </c>
      <c r="R72" s="73">
        <f si="28" t="shared"/>
        <v>-2.3402411299599999</v>
      </c>
    </row>
    <row r="73" spans="2:18" x14ac:dyDescent="0.25">
      <c r="B73" s="12"/>
      <c r="C73" s="55"/>
      <c r="D73" s="55"/>
      <c r="E73" s="55"/>
      <c r="N73" s="9" t="s">
        <v>6</v>
      </c>
      <c r="O73" s="73">
        <f si="28" t="shared"/>
        <v>-1.6809639251070001</v>
      </c>
      <c r="P73" s="73">
        <f si="28" t="shared"/>
        <v>0.75586563750299995</v>
      </c>
      <c r="Q73" s="73" t="str">
        <f si="28" t="shared"/>
        <v>-</v>
      </c>
      <c r="R73" s="73">
        <f si="28" t="shared"/>
        <v>-8.3782826345419998</v>
      </c>
    </row>
    <row r="74" spans="2:18" x14ac:dyDescent="0.25">
      <c r="B74" s="12"/>
      <c r="C74" s="55"/>
      <c r="D74" s="55"/>
      <c r="E74" s="55"/>
      <c r="N74" s="9" t="s">
        <v>7</v>
      </c>
      <c r="O74" s="73">
        <f si="28" t="shared"/>
        <v>1.2553922705010001</v>
      </c>
      <c r="P74" s="73">
        <f si="28" t="shared"/>
        <v>5.3948600250779997</v>
      </c>
      <c r="Q74" s="73" t="str">
        <f si="28" t="shared"/>
        <v>-</v>
      </c>
      <c r="R74" s="73">
        <f>IFERROR(VLOOKUP(R24,$AA$3:$AC$48,3,FALSE),"-")</f>
        <v>0.98472092543800005</v>
      </c>
    </row>
    <row r="75" spans="2:18" x14ac:dyDescent="0.25">
      <c r="B75" s="12"/>
      <c r="C75" s="55"/>
      <c r="D75" s="55"/>
      <c r="E75" s="55"/>
      <c r="N75" s="14" t="s">
        <v>8</v>
      </c>
      <c r="O75" s="74" t="str">
        <f si="28" t="shared"/>
        <v>-</v>
      </c>
      <c r="P75" s="74" t="str">
        <f si="28" t="shared"/>
        <v>-</v>
      </c>
      <c r="Q75" s="74" t="str">
        <f si="28" t="shared"/>
        <v>-</v>
      </c>
      <c r="R75" s="74" t="str">
        <f si="28" t="shared"/>
        <v>-</v>
      </c>
    </row>
    <row r="76" spans="2:18" x14ac:dyDescent="0.25">
      <c r="B76" s="12"/>
      <c r="C76" s="55"/>
      <c r="D76" s="55"/>
      <c r="E76" s="55"/>
      <c r="N76" s="41"/>
      <c r="O76" s="41"/>
      <c r="P76" s="41"/>
      <c r="Q76" s="41"/>
      <c r="R76" s="41"/>
    </row>
    <row ht="15.75" r="77" spans="2:18" thickBot="1" x14ac:dyDescent="0.3">
      <c r="B77" s="39"/>
      <c r="C77" s="41"/>
      <c r="D77" s="41"/>
      <c r="E77" s="41"/>
      <c r="H77" s="61" t="s">
        <v>223</v>
      </c>
      <c r="N77" s="57" t="s">
        <v>200</v>
      </c>
    </row>
    <row r="78" spans="2:18" x14ac:dyDescent="0.25">
      <c r="B78" s="41"/>
      <c r="C78" s="41"/>
      <c r="D78" s="41"/>
      <c r="E78" s="41"/>
      <c r="H78" s="59" t="s">
        <v>0</v>
      </c>
      <c r="I78" s="60" t="s">
        <v>239</v>
      </c>
      <c r="J78" s="60" t="s">
        <v>234</v>
      </c>
      <c r="K78" s="60" t="s">
        <v>237</v>
      </c>
      <c r="L78" s="60" t="s">
        <v>240</v>
      </c>
      <c r="N78" s="2" t="s">
        <v>0</v>
      </c>
      <c r="O78" s="60" t="str">
        <f>O67</f>
        <v>nocars</v>
      </c>
      <c r="P78" s="60" t="str">
        <f>P67</f>
        <v>cars &lt; adults</v>
      </c>
      <c r="Q78" s="60" t="str">
        <f>Q67</f>
        <v>cars &lt; workers</v>
      </c>
      <c r="R78" s="60" t="str">
        <f>R67</f>
        <v>constant</v>
      </c>
    </row>
    <row r="79" spans="2:18" x14ac:dyDescent="0.25">
      <c r="B79" s="41"/>
      <c r="C79" s="41"/>
      <c r="D79" s="41"/>
      <c r="E79" s="41"/>
      <c r="H79" s="9" t="s">
        <v>1</v>
      </c>
      <c r="I79" s="58" t="str">
        <f ref="I79:L86" si="29" t="shared">IF(ISBLANK(O18),"",O18)</f>
        <v/>
      </c>
      <c r="J79" s="58" t="str">
        <f si="29" t="shared"/>
        <v/>
      </c>
      <c r="K79" s="58">
        <f si="29" t="shared"/>
        <v>53</v>
      </c>
      <c r="L79" s="58">
        <f si="29" t="shared"/>
        <v>50</v>
      </c>
      <c r="N79" s="9" t="s">
        <v>1</v>
      </c>
      <c r="O79" s="73" t="str">
        <f>IFERROR(IF(O18="","-",O56+O68),"-")</f>
        <v>-</v>
      </c>
      <c r="P79" s="73" t="str">
        <f ref="P79:R79" si="30" t="shared">IFERROR(IF(P18="","-",P56+P68),"-")</f>
        <v>-</v>
      </c>
      <c r="Q79" s="73">
        <f si="30" t="shared"/>
        <v>-1.9566393649452205</v>
      </c>
      <c r="R79" s="73">
        <f si="30" t="shared"/>
        <v>2.258603321502</v>
      </c>
    </row>
    <row r="80" spans="2:18" x14ac:dyDescent="0.25">
      <c r="H80" s="9" t="s">
        <v>2</v>
      </c>
      <c r="I80" s="58">
        <f si="29" t="shared"/>
        <v>41</v>
      </c>
      <c r="J80" s="58">
        <f si="29" t="shared"/>
        <v>42</v>
      </c>
      <c r="K80" s="58" t="str">
        <f si="29" t="shared"/>
        <v/>
      </c>
      <c r="L80" s="58">
        <f si="29" t="shared"/>
        <v>40</v>
      </c>
      <c r="N80" s="9" t="s">
        <v>2</v>
      </c>
      <c r="O80" s="73">
        <f ref="O80:R86" si="31" t="shared">IFERROR(IF(O19="","-",O57+O69),"-")</f>
        <v>-4.4379941253089878</v>
      </c>
      <c r="P80" s="73">
        <f si="31" t="shared"/>
        <v>0.46242029547000002</v>
      </c>
      <c r="Q80" s="73" t="str">
        <f si="31" t="shared"/>
        <v>-</v>
      </c>
      <c r="R80" s="73">
        <f si="31" t="shared"/>
        <v>-0.65415680916200003</v>
      </c>
    </row>
    <row r="81" spans="8:18" x14ac:dyDescent="0.25">
      <c r="H81" s="9" t="s">
        <v>3</v>
      </c>
      <c r="I81" s="58">
        <f si="29" t="shared"/>
        <v>36</v>
      </c>
      <c r="J81" s="58">
        <f si="29" t="shared"/>
        <v>37</v>
      </c>
      <c r="K81" s="58" t="str">
        <f si="29" t="shared"/>
        <v/>
      </c>
      <c r="L81" s="58">
        <f si="29" t="shared"/>
        <v>30</v>
      </c>
      <c r="N81" s="9" t="s">
        <v>3</v>
      </c>
      <c r="O81" s="73">
        <f si="31" t="shared"/>
        <v>0.40118043758744298</v>
      </c>
      <c r="P81" s="73">
        <f si="31" t="shared"/>
        <v>-0.38934722737299998</v>
      </c>
      <c r="Q81" s="73" t="str">
        <f si="31" t="shared"/>
        <v>-</v>
      </c>
      <c r="R81" s="73">
        <f si="31" t="shared"/>
        <v>-1.3259112000819999</v>
      </c>
    </row>
    <row r="82" spans="8:18" x14ac:dyDescent="0.25">
      <c r="H82" s="9" t="s">
        <v>4</v>
      </c>
      <c r="I82" s="58">
        <f si="29" t="shared"/>
        <v>11</v>
      </c>
      <c r="J82" s="58" t="str">
        <f si="29" t="shared"/>
        <v/>
      </c>
      <c r="K82" s="58">
        <f si="29" t="shared"/>
        <v>13</v>
      </c>
      <c r="L82" s="58">
        <f si="29" t="shared"/>
        <v>10</v>
      </c>
      <c r="N82" s="9" t="s">
        <v>4</v>
      </c>
      <c r="O82" s="73">
        <f si="31" t="shared"/>
        <v>-1.6295853817628914</v>
      </c>
      <c r="P82" s="73" t="str">
        <f si="31" t="shared"/>
        <v>-</v>
      </c>
      <c r="Q82" s="73">
        <f si="31" t="shared"/>
        <v>0.70783398598236957</v>
      </c>
      <c r="R82" s="73">
        <f si="31" t="shared"/>
        <v>-2.753234979003</v>
      </c>
    </row>
    <row r="83" spans="8:18" x14ac:dyDescent="0.25">
      <c r="H83" s="9" t="s">
        <v>5</v>
      </c>
      <c r="I83" s="58">
        <f si="29" t="shared"/>
        <v>21</v>
      </c>
      <c r="J83" s="58">
        <f si="29" t="shared"/>
        <v>22</v>
      </c>
      <c r="K83" s="58" t="str">
        <f si="29" t="shared"/>
        <v/>
      </c>
      <c r="L83" s="58">
        <f si="29" t="shared"/>
        <v>20</v>
      </c>
      <c r="N83" s="9" t="s">
        <v>5</v>
      </c>
      <c r="O83" s="73">
        <f si="31" t="shared"/>
        <v>1.4317919096636171</v>
      </c>
      <c r="P83" s="73">
        <f si="31" t="shared"/>
        <v>1.016680004923</v>
      </c>
      <c r="Q83" s="73" t="str">
        <f si="31" t="shared"/>
        <v>-</v>
      </c>
      <c r="R83" s="73">
        <f si="31" t="shared"/>
        <v>-2.3402411299599999</v>
      </c>
    </row>
    <row r="84" spans="8:18" x14ac:dyDescent="0.25">
      <c r="H84" s="9" t="s">
        <v>6</v>
      </c>
      <c r="I84" s="58">
        <f si="29" t="shared"/>
        <v>67</v>
      </c>
      <c r="J84" s="58">
        <f si="29" t="shared"/>
        <v>68</v>
      </c>
      <c r="K84" s="58" t="str">
        <f si="29" t="shared"/>
        <v/>
      </c>
      <c r="L84" s="58">
        <f si="29" t="shared"/>
        <v>60</v>
      </c>
      <c r="N84" s="9" t="s">
        <v>6</v>
      </c>
      <c r="O84" s="73">
        <f si="31" t="shared"/>
        <v>-1.9320531832562247</v>
      </c>
      <c r="P84" s="73">
        <f si="31" t="shared"/>
        <v>0.75586563750299995</v>
      </c>
      <c r="Q84" s="73" t="str">
        <f si="31" t="shared"/>
        <v>-</v>
      </c>
      <c r="R84" s="73">
        <f si="31" t="shared"/>
        <v>-8.3782826345419998</v>
      </c>
    </row>
    <row r="85" spans="8:18" x14ac:dyDescent="0.25">
      <c r="H85" s="9" t="s">
        <v>7</v>
      </c>
      <c r="I85" s="58">
        <f si="29" t="shared"/>
        <v>77</v>
      </c>
      <c r="J85" s="58">
        <f si="29" t="shared"/>
        <v>78</v>
      </c>
      <c r="K85" s="58" t="str">
        <f si="29" t="shared"/>
        <v/>
      </c>
      <c r="L85" s="58">
        <f si="29" t="shared"/>
        <v>70</v>
      </c>
      <c r="N85" s="9" t="s">
        <v>7</v>
      </c>
      <c r="O85" s="73">
        <f si="31" t="shared"/>
        <v>0.89688401772878712</v>
      </c>
      <c r="P85" s="73">
        <f si="31" t="shared"/>
        <v>5.3948600250779997</v>
      </c>
      <c r="Q85" s="73" t="str">
        <f si="31" t="shared"/>
        <v>-</v>
      </c>
      <c r="R85" s="73">
        <f si="31" t="shared"/>
        <v>0.98472092543800005</v>
      </c>
    </row>
    <row r="86" spans="8:18" x14ac:dyDescent="0.25">
      <c r="H86" s="14" t="s">
        <v>8</v>
      </c>
      <c r="I86" s="7" t="str">
        <f si="29" t="shared"/>
        <v/>
      </c>
      <c r="J86" s="7" t="str">
        <f si="29" t="shared"/>
        <v/>
      </c>
      <c r="K86" s="7" t="str">
        <f si="29" t="shared"/>
        <v/>
      </c>
      <c r="L86" s="7" t="str">
        <f si="29" t="shared"/>
        <v/>
      </c>
      <c r="N86" s="14" t="s">
        <v>8</v>
      </c>
      <c r="O86" s="74" t="str">
        <f si="31" t="shared"/>
        <v>-</v>
      </c>
      <c r="P86" s="74" t="str">
        <f si="31" t="shared"/>
        <v>-</v>
      </c>
      <c r="Q86" s="74" t="str">
        <f si="31" t="shared"/>
        <v>-</v>
      </c>
      <c r="R86" s="74" t="str">
        <f si="31" t="shared"/>
        <v>-</v>
      </c>
    </row>
    <row r="87" spans="8:18" x14ac:dyDescent="0.25">
      <c r="H87" s="41"/>
      <c r="I87" s="41"/>
      <c r="J87" s="41"/>
      <c r="K87" s="41"/>
      <c r="L87" s="41"/>
    </row>
  </sheetData>
  <mergeCells count="3">
    <mergeCell ref="H15:L15"/>
    <mergeCell ref="B15:F15"/>
    <mergeCell ref="A27:A28"/>
  </mergeCells>
  <conditionalFormatting sqref="AE3:AE49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  <ignoredErrors>
    <ignoredError formula="1" sqref="O32:P32"/>
  </ignoredErrors>
</worksheet>
</file>

<file path=xl/worksheets/sheet1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F87"/>
  <sheetViews>
    <sheetView topLeftCell="K6" workbookViewId="0">
      <selection activeCell="AD3" sqref="AD3:AD54"/>
    </sheetView>
  </sheetViews>
  <sheetFormatPr defaultRowHeight="15" x14ac:dyDescent="0.25"/>
  <cols>
    <col min="2" max="2" bestFit="true" customWidth="true" width="14.140625" collapsed="true"/>
    <col min="4" max="4" bestFit="true" customWidth="true" width="11.7109375" collapsed="true"/>
    <col min="5" max="5" bestFit="true" customWidth="true" width="13.5703125" collapsed="true"/>
    <col min="6" max="6" bestFit="true" customWidth="true" width="9.140625" collapsed="true"/>
    <col min="8" max="8" bestFit="true" customWidth="true" width="14.140625" collapsed="true"/>
    <col min="10" max="10" bestFit="true" customWidth="true" width="11.7109375" collapsed="true"/>
    <col min="11" max="11" bestFit="true" customWidth="true" width="13.5703125" collapsed="true"/>
    <col min="12" max="12" bestFit="true" customWidth="true" width="7.5703125" collapsed="true"/>
    <col min="13" max="13" style="41" width="9.140625" collapsed="true"/>
    <col min="14" max="14" bestFit="true" customWidth="true" width="14.140625" collapsed="true"/>
    <col min="15" max="15" bestFit="true" customWidth="true" width="10.28515625" collapsed="true"/>
    <col min="16" max="16" bestFit="true" customWidth="true" width="12.0" collapsed="true"/>
    <col min="17" max="17" bestFit="true" customWidth="true" width="13.85546875" collapsed="true"/>
    <col min="18" max="18" bestFit="true" customWidth="true" width="9.28515625" collapsed="true"/>
    <col min="20" max="20" customWidth="true" width="5.5703125" collapsed="true"/>
    <col min="21" max="21" customWidth="true" width="12.85546875" collapsed="true"/>
    <col min="22" max="22" bestFit="true" customWidth="true" width="11.7109375" collapsed="true"/>
    <col min="23" max="23" bestFit="true" customWidth="true" width="13.5703125" collapsed="true"/>
    <col min="28" max="28" bestFit="true" customWidth="true" width="11.0" collapsed="true"/>
    <col min="29" max="29" bestFit="true" customWidth="true" width="16.42578125" collapsed="true"/>
    <col min="30" max="30" bestFit="true" customWidth="true" style="47" width="15.42578125" collapsed="true"/>
  </cols>
  <sheetData>
    <row r="1" spans="2:31" x14ac:dyDescent="0.25">
      <c r="T1" s="36" t="s">
        <v>289</v>
      </c>
      <c r="U1" s="49"/>
      <c r="V1" s="49"/>
      <c r="W1" s="49"/>
      <c r="X1" s="49"/>
      <c r="AA1" s="36" t="s">
        <v>289</v>
      </c>
      <c r="AD1"/>
    </row>
    <row r="2" spans="2:31" x14ac:dyDescent="0.25">
      <c r="T2" s="49"/>
      <c r="U2" s="36" t="s">
        <v>224</v>
      </c>
      <c r="W2" s="49"/>
      <c r="X2" s="49"/>
      <c r="AC2" s="44" t="s">
        <v>221</v>
      </c>
      <c r="AD2" s="44" t="s">
        <v>222</v>
      </c>
      <c r="AE2" s="44" t="s">
        <v>319</v>
      </c>
    </row>
    <row ht="15.75" r="3" spans="2:31" thickBot="1" x14ac:dyDescent="0.3">
      <c r="B3" s="36" t="s">
        <v>266</v>
      </c>
      <c r="T3">
        <v>1</v>
      </c>
      <c r="U3" s="50" t="s">
        <v>303</v>
      </c>
      <c r="W3" s="49"/>
      <c r="X3" s="49"/>
      <c r="AA3" s="47">
        <f>SchoolCoeffcients!B11</f>
        <v>1</v>
      </c>
      <c r="AB3" s="47" t="str">
        <f>SchoolCoeffcients!C11</f>
        <v>costutil</v>
      </c>
      <c r="AC3" s="84">
        <f>SchoolCoeffcients!E11</f>
        <v>8.2713999999999996E-2</v>
      </c>
      <c r="AD3" s="82">
        <f>_xlfn.IFNA(VLOOKUP(AA3,$T$31:$V$50,3,FALSE),AC3)</f>
        <v>8.2713999999999996E-2</v>
      </c>
      <c r="AE3">
        <f>IF(AC3=AD3,0,1)</f>
        <v>0</v>
      </c>
    </row>
    <row r="4" spans="2:31" x14ac:dyDescent="0.25">
      <c r="B4" s="59" t="s">
        <v>0</v>
      </c>
      <c r="C4" s="60" t="s">
        <v>239</v>
      </c>
      <c r="D4" s="60" t="s">
        <v>234</v>
      </c>
      <c r="E4" s="60" t="s">
        <v>237</v>
      </c>
      <c r="F4" s="60" t="s">
        <v>240</v>
      </c>
      <c r="T4">
        <v>2</v>
      </c>
      <c r="U4" s="50" t="s">
        <v>301</v>
      </c>
      <c r="W4" s="49"/>
      <c r="X4" s="49"/>
      <c r="AA4" s="47">
        <f>SchoolCoeffcients!B12</f>
        <v>2</v>
      </c>
      <c r="AB4" s="47" t="str">
        <f>SchoolCoeffcients!C12</f>
        <v>timeutil</v>
      </c>
      <c r="AC4" s="84">
        <f>SchoolCoeffcients!E12</f>
        <v>1.022035</v>
      </c>
      <c r="AD4" s="82">
        <f ref="AD4:AD54" si="0" t="shared">_xlfn.IFNA(VLOOKUP(AA4,$T$31:$V$50,3,FALSE),AC4)</f>
        <v>1.022035</v>
      </c>
      <c r="AE4">
        <f ref="AE4:AE44" si="1" t="shared">IF(AC4=AD4,0,1)</f>
        <v>0</v>
      </c>
    </row>
    <row r="5" spans="2:31" x14ac:dyDescent="0.25">
      <c r="B5" s="9" t="s">
        <v>1</v>
      </c>
      <c r="C5" s="58"/>
      <c r="D5" s="58">
        <v>52</v>
      </c>
      <c r="E5" s="58"/>
      <c r="F5" s="52">
        <v>50</v>
      </c>
      <c r="T5">
        <v>3</v>
      </c>
      <c r="U5" s="49" t="s">
        <v>232</v>
      </c>
      <c r="V5" s="49"/>
      <c r="W5" s="49"/>
      <c r="X5" s="49"/>
      <c r="AA5" s="47">
        <f>SchoolCoeffcients!B13</f>
        <v>10</v>
      </c>
      <c r="AB5" s="47" t="str">
        <f>SchoolCoeffcients!C13</f>
        <v>sb-const</v>
      </c>
      <c r="AC5" s="84">
        <f>SchoolCoeffcients!E13</f>
        <v>0.28251668607199998</v>
      </c>
      <c r="AD5" s="82">
        <f si="0" t="shared"/>
        <v>0.28251668607199998</v>
      </c>
      <c r="AE5">
        <f si="1" t="shared"/>
        <v>0</v>
      </c>
    </row>
    <row r="6" spans="2:31" x14ac:dyDescent="0.25">
      <c r="B6" s="9" t="s">
        <v>2</v>
      </c>
      <c r="C6" s="58">
        <v>41</v>
      </c>
      <c r="D6" s="58">
        <v>42</v>
      </c>
      <c r="E6" s="58"/>
      <c r="F6" s="52">
        <v>40</v>
      </c>
      <c r="T6">
        <v>4</v>
      </c>
      <c r="U6" s="49" t="s">
        <v>225</v>
      </c>
      <c r="V6" s="49"/>
      <c r="W6" s="49"/>
      <c r="X6" s="49"/>
      <c r="AA6" s="47">
        <f>SchoolCoeffcients!B14</f>
        <v>11</v>
      </c>
      <c r="AB6" s="47" t="str">
        <f>SchoolCoeffcients!C14</f>
        <v>sb-nocars</v>
      </c>
      <c r="AC6" s="84">
        <f>SchoolCoeffcients!E14</f>
        <v>-0.10158980018200001</v>
      </c>
      <c r="AD6" s="82">
        <f si="0" t="shared"/>
        <v>1.9168482053271263E-2</v>
      </c>
      <c r="AE6">
        <f si="1" t="shared"/>
        <v>1</v>
      </c>
    </row>
    <row r="7" spans="2:31" x14ac:dyDescent="0.25">
      <c r="B7" s="9" t="s">
        <v>3</v>
      </c>
      <c r="C7" s="58" t="s">
        <v>241</v>
      </c>
      <c r="D7" s="58">
        <v>35</v>
      </c>
      <c r="E7" s="58"/>
      <c r="F7" s="52">
        <v>30</v>
      </c>
      <c r="T7" s="49">
        <v>5</v>
      </c>
      <c r="U7" s="49" t="s">
        <v>226</v>
      </c>
      <c r="V7" s="49"/>
      <c r="W7" s="49"/>
      <c r="X7" s="49"/>
      <c r="AA7" s="47">
        <f>SchoolCoeffcients!B15</f>
        <v>13</v>
      </c>
      <c r="AB7" s="47" t="str">
        <f>SchoolCoeffcients!C15</f>
        <v>sb-carsltd</v>
      </c>
      <c r="AC7" s="84">
        <f>SchoolCoeffcients!E15</f>
        <v>0.136483612798</v>
      </c>
      <c r="AD7" s="82">
        <f si="0" t="shared"/>
        <v>0.136483612798</v>
      </c>
      <c r="AE7">
        <f si="1" t="shared"/>
        <v>0</v>
      </c>
    </row>
    <row r="8" spans="2:31" x14ac:dyDescent="0.25">
      <c r="B8" s="9" t="s">
        <v>4</v>
      </c>
      <c r="C8" s="58"/>
      <c r="D8" s="58"/>
      <c r="E8" s="58"/>
      <c r="F8" s="52"/>
      <c r="T8" s="49"/>
      <c r="U8" s="49"/>
      <c r="V8" s="49"/>
      <c r="W8" s="49"/>
      <c r="X8" s="49"/>
      <c r="AA8" s="47">
        <f>SchoolCoeffcients!B16</f>
        <v>17</v>
      </c>
      <c r="AB8" s="47" t="str">
        <f>SchoolCoeffcients!C16</f>
        <v>sb-chun5</v>
      </c>
      <c r="AC8" s="84">
        <f>SchoolCoeffcients!E16</f>
        <v>-0.37388399999999999</v>
      </c>
      <c r="AD8" s="82">
        <f si="0" t="shared"/>
        <v>-0.37388399999999999</v>
      </c>
      <c r="AE8">
        <f si="1" t="shared"/>
        <v>0</v>
      </c>
    </row>
    <row r="9" spans="2:31" x14ac:dyDescent="0.25">
      <c r="B9" s="9" t="s">
        <v>5</v>
      </c>
      <c r="C9" s="58">
        <v>21</v>
      </c>
      <c r="D9" s="58">
        <v>22</v>
      </c>
      <c r="E9" s="58"/>
      <c r="F9" s="52">
        <v>20</v>
      </c>
      <c r="T9" s="49"/>
      <c r="U9" s="51" t="s">
        <v>227</v>
      </c>
      <c r="V9" s="49"/>
      <c r="W9" s="49"/>
      <c r="X9" s="49"/>
      <c r="AA9" s="47">
        <f>SchoolCoeffcients!B17</f>
        <v>18</v>
      </c>
      <c r="AB9" s="47" t="str">
        <f>SchoolCoeffcients!C17</f>
        <v>sb-univtr</v>
      </c>
      <c r="AC9" s="84">
        <f>SchoolCoeffcients!E17</f>
        <v>-2.1552190000000002</v>
      </c>
      <c r="AD9" s="82">
        <f si="0" t="shared"/>
        <v>-2.1552190000000002</v>
      </c>
      <c r="AE9">
        <f si="1" t="shared"/>
        <v>0</v>
      </c>
    </row>
    <row r="10" spans="2:31" x14ac:dyDescent="0.25">
      <c r="B10" s="9" t="s">
        <v>6</v>
      </c>
      <c r="C10" s="58">
        <v>67</v>
      </c>
      <c r="D10" s="58">
        <v>68</v>
      </c>
      <c r="E10" s="58"/>
      <c r="F10" s="52">
        <v>60</v>
      </c>
      <c r="T10" s="49">
        <v>1</v>
      </c>
      <c r="U10" s="50" t="s">
        <v>303</v>
      </c>
      <c r="V10" s="49"/>
      <c r="W10" s="49"/>
      <c r="X10" s="49"/>
      <c r="AA10" s="47">
        <f>SchoolCoeffcients!B18</f>
        <v>20</v>
      </c>
      <c r="AB10" s="47" t="str">
        <f>SchoolCoeffcients!C18</f>
        <v>wt-const</v>
      </c>
      <c r="AC10" s="84">
        <f>SchoolCoeffcients!E18</f>
        <v>-3.098654636474</v>
      </c>
      <c r="AD10" s="82">
        <f si="0" t="shared"/>
        <v>-3.098654636474</v>
      </c>
      <c r="AE10">
        <f si="1" t="shared"/>
        <v>0</v>
      </c>
    </row>
    <row r="11" spans="2:31" x14ac:dyDescent="0.25">
      <c r="B11" s="9" t="s">
        <v>7</v>
      </c>
      <c r="C11" s="58">
        <v>77</v>
      </c>
      <c r="D11" s="58">
        <v>78</v>
      </c>
      <c r="E11" s="58"/>
      <c r="F11" s="58">
        <v>70</v>
      </c>
      <c r="T11" s="49">
        <v>2</v>
      </c>
      <c r="U11" s="49" t="s">
        <v>228</v>
      </c>
      <c r="V11" s="49"/>
      <c r="W11" s="49"/>
      <c r="X11" s="49"/>
      <c r="AA11" s="47">
        <f>SchoolCoeffcients!B19</f>
        <v>21</v>
      </c>
      <c r="AB11" s="47" t="str">
        <f>SchoolCoeffcients!C19</f>
        <v>wt-nocars</v>
      </c>
      <c r="AC11" s="84">
        <f>SchoolCoeffcients!E19</f>
        <v>2.3573768940169999</v>
      </c>
      <c r="AD11" s="82">
        <f si="0" t="shared"/>
        <v>1.4936321675837356</v>
      </c>
      <c r="AE11">
        <f si="1" t="shared"/>
        <v>1</v>
      </c>
    </row>
    <row r="12" spans="2:31" x14ac:dyDescent="0.25">
      <c r="B12" s="14" t="s">
        <v>8</v>
      </c>
      <c r="C12" s="58">
        <v>11</v>
      </c>
      <c r="D12" s="58">
        <v>13</v>
      </c>
      <c r="E12" s="7"/>
      <c r="F12" s="7">
        <v>10</v>
      </c>
      <c r="T12" s="49">
        <v>3</v>
      </c>
      <c r="U12" s="49" t="s">
        <v>229</v>
      </c>
      <c r="V12" s="49"/>
      <c r="W12" s="49"/>
      <c r="X12" s="49"/>
      <c r="AA12" s="47">
        <f>SchoolCoeffcients!B20</f>
        <v>22</v>
      </c>
      <c r="AB12" s="47" t="str">
        <f>SchoolCoeffcients!C20</f>
        <v>wt-carsltd</v>
      </c>
      <c r="AC12" s="84">
        <f>SchoolCoeffcients!E20</f>
        <v>-0.53922482139799999</v>
      </c>
      <c r="AD12" s="82">
        <f si="0" t="shared"/>
        <v>-0.53922482139799999</v>
      </c>
      <c r="AE12">
        <f si="1" t="shared"/>
        <v>0</v>
      </c>
    </row>
    <row r="13" spans="2:31" x14ac:dyDescent="0.25">
      <c r="C13" s="38"/>
      <c r="D13" s="38"/>
      <c r="E13" s="41"/>
      <c r="F13" s="41"/>
      <c r="T13" s="49">
        <v>4</v>
      </c>
      <c r="U13" s="49" t="s">
        <v>230</v>
      </c>
      <c r="V13" s="49"/>
      <c r="W13" s="49"/>
      <c r="X13" s="49"/>
      <c r="AA13" s="47">
        <f>SchoolCoeffcients!B21</f>
        <v>27</v>
      </c>
      <c r="AB13" s="47" t="str">
        <f>SchoolCoeffcients!C21</f>
        <v>wt-chun5</v>
      </c>
      <c r="AC13" s="84">
        <f>SchoolCoeffcients!E21</f>
        <v>-5</v>
      </c>
      <c r="AD13" s="82">
        <f si="0" t="shared"/>
        <v>-5</v>
      </c>
      <c r="AE13">
        <f si="1" t="shared"/>
        <v>0</v>
      </c>
    </row>
    <row r="14" spans="2:31" x14ac:dyDescent="0.25">
      <c r="B14" s="57"/>
      <c r="T14" s="49">
        <v>5</v>
      </c>
      <c r="U14" s="50" t="s">
        <v>302</v>
      </c>
      <c r="V14" s="49"/>
      <c r="W14" s="49"/>
      <c r="X14" s="49"/>
      <c r="AA14" s="47">
        <f>SchoolCoeffcients!B22</f>
        <v>28</v>
      </c>
      <c r="AB14" s="47" t="str">
        <f>SchoolCoeffcients!C22</f>
        <v>wt-univtr</v>
      </c>
      <c r="AC14" s="84">
        <f>SchoolCoeffcients!E22</f>
        <v>-0.81893000000000005</v>
      </c>
      <c r="AD14" s="82">
        <f si="0" t="shared"/>
        <v>-0.81893000000000005</v>
      </c>
      <c r="AE14">
        <f si="1" t="shared"/>
        <v>0</v>
      </c>
    </row>
    <row r="15" spans="2:31" x14ac:dyDescent="0.25">
      <c r="B15" s="138" t="s">
        <v>269</v>
      </c>
      <c r="C15" s="138"/>
      <c r="D15" s="138"/>
      <c r="E15" s="138"/>
      <c r="F15" s="138"/>
      <c r="H15" s="137" t="s">
        <v>33</v>
      </c>
      <c r="I15" s="137"/>
      <c r="J15" s="137"/>
      <c r="K15" s="137"/>
      <c r="L15" s="137"/>
      <c r="T15" s="49">
        <v>6</v>
      </c>
      <c r="U15" s="49" t="s">
        <v>233</v>
      </c>
      <c r="V15" s="49"/>
      <c r="W15" s="49"/>
      <c r="X15" s="49"/>
      <c r="AA15" s="47">
        <f>SchoolCoeffcients!B23</f>
        <v>29</v>
      </c>
      <c r="AB15" s="47" t="str">
        <f>SchoolCoeffcients!C23</f>
        <v>wt-ch1617</v>
      </c>
      <c r="AC15" s="84">
        <f>SchoolCoeffcients!E23</f>
        <v>1.4418610000000001</v>
      </c>
      <c r="AD15" s="82">
        <f si="0" t="shared"/>
        <v>1.4418610000000001</v>
      </c>
      <c r="AE15">
        <f si="1" t="shared"/>
        <v>0</v>
      </c>
    </row>
    <row ht="15.75" r="16" spans="2:31" thickBot="1" x14ac:dyDescent="0.3">
      <c r="B16" s="61" t="s">
        <v>245</v>
      </c>
      <c r="H16" s="61" t="str">
        <f>B16</f>
        <v>Frequency</v>
      </c>
      <c r="N16" s="61" t="s">
        <v>259</v>
      </c>
      <c r="T16" s="49">
        <v>7</v>
      </c>
      <c r="U16" s="49" t="s">
        <v>225</v>
      </c>
      <c r="V16" s="49"/>
      <c r="W16" s="49"/>
      <c r="X16" s="49"/>
      <c r="AA16" s="47">
        <f>SchoolCoeffcients!B24</f>
        <v>30</v>
      </c>
      <c r="AB16" s="47" t="str">
        <f>SchoolCoeffcients!C24</f>
        <v>s3-const</v>
      </c>
      <c r="AC16" s="84">
        <f>SchoolCoeffcients!E24</f>
        <v>0.183437489649</v>
      </c>
      <c r="AD16" s="82">
        <f si="0" t="shared"/>
        <v>0.183437489649</v>
      </c>
      <c r="AE16">
        <f si="1" t="shared"/>
        <v>0</v>
      </c>
    </row>
    <row r="17" spans="1:31" x14ac:dyDescent="0.25">
      <c r="B17" s="59" t="s">
        <v>0</v>
      </c>
      <c r="C17" s="60" t="s">
        <v>239</v>
      </c>
      <c r="D17" s="60" t="s">
        <v>234</v>
      </c>
      <c r="E17" s="60" t="s">
        <v>237</v>
      </c>
      <c r="F17" s="60" t="s">
        <v>19</v>
      </c>
      <c r="H17" s="59" t="s">
        <v>0</v>
      </c>
      <c r="I17" s="60" t="s">
        <v>239</v>
      </c>
      <c r="J17" s="60" t="s">
        <v>234</v>
      </c>
      <c r="K17" s="60" t="s">
        <v>237</v>
      </c>
      <c r="L17" s="60" t="s">
        <v>19</v>
      </c>
      <c r="M17" s="56"/>
      <c r="N17" s="59" t="s">
        <v>0</v>
      </c>
      <c r="O17" s="60" t="s">
        <v>239</v>
      </c>
      <c r="P17" s="60" t="s">
        <v>234</v>
      </c>
      <c r="Q17" s="60" t="s">
        <v>237</v>
      </c>
      <c r="R17" s="60" t="s">
        <v>240</v>
      </c>
      <c r="T17" s="49">
        <v>8</v>
      </c>
      <c r="U17" s="49" t="s">
        <v>231</v>
      </c>
      <c r="V17" s="49"/>
      <c r="W17" s="49"/>
      <c r="X17" s="49"/>
      <c r="AA17" s="47">
        <f>SchoolCoeffcients!B25</f>
        <v>35</v>
      </c>
      <c r="AB17" s="47" t="str">
        <f>SchoolCoeffcients!C25</f>
        <v>s3-carsltd</v>
      </c>
      <c r="AC17" s="84">
        <f>SchoolCoeffcients!E25</f>
        <v>-0.29743268940200002</v>
      </c>
      <c r="AD17" s="82">
        <f si="0" t="shared"/>
        <v>-0.29743268940200002</v>
      </c>
      <c r="AE17">
        <f si="1" t="shared"/>
        <v>0</v>
      </c>
    </row>
    <row r="18" spans="1:31" x14ac:dyDescent="0.25">
      <c r="B18" s="9" t="s">
        <v>1</v>
      </c>
      <c r="C18" s="9">
        <f>transit_targets!B40</f>
        <v>0</v>
      </c>
      <c r="D18" s="9">
        <f>transit_targets!C40</f>
        <v>0</v>
      </c>
      <c r="E18" s="9">
        <f>transit_targets!D40</f>
        <v>195.66957353611454</v>
      </c>
      <c r="F18" s="9">
        <f>transit_targets!E40*($L$26-SUM(transit_targets!$E$43:$E$44))/(transit_targets!$E$48-SUM(transit_targets!$E$43:$E$44))</f>
        <v>18967.69894422299</v>
      </c>
      <c r="H18" s="9" t="s">
        <v>1</v>
      </c>
      <c r="I18" s="9">
        <f>School!L4</f>
        <v>0</v>
      </c>
      <c r="J18" s="9">
        <f>School!O4</f>
        <v>4189</v>
      </c>
      <c r="K18" s="9">
        <f>School!Q4</f>
        <v>911</v>
      </c>
      <c r="L18" s="9">
        <f>School!R4</f>
        <v>18781</v>
      </c>
      <c r="M18" s="12"/>
      <c r="N18" s="9" t="s">
        <v>1</v>
      </c>
      <c r="O18" s="75" t="str">
        <f>IF(ISBLANK(C5),"",C5)</f>
        <v/>
      </c>
      <c r="P18" s="75">
        <f ref="P18:R25" si="2" t="shared">IF(ISBLANK(D5),"",D5)</f>
        <v>52</v>
      </c>
      <c r="Q18" s="75" t="str">
        <f si="2" t="shared"/>
        <v/>
      </c>
      <c r="R18" s="75">
        <f si="2" t="shared"/>
        <v>50</v>
      </c>
      <c r="T18" s="41"/>
      <c r="U18" s="41"/>
      <c r="V18" s="41"/>
      <c r="W18" s="41"/>
      <c r="X18" s="41"/>
      <c r="Y18" s="41"/>
      <c r="AA18" s="47">
        <f>SchoolCoeffcients!B26</f>
        <v>36</v>
      </c>
      <c r="AB18" s="47" t="str">
        <f>SchoolCoeffcients!C26</f>
        <v>s3-nocars</v>
      </c>
      <c r="AC18" s="84">
        <f>SchoolCoeffcients!E26</f>
        <v>-9.8383379108000005E-2</v>
      </c>
      <c r="AD18" s="82">
        <f si="0" t="shared"/>
        <v>-0.10789744276665868</v>
      </c>
      <c r="AE18">
        <f si="1" t="shared"/>
        <v>1</v>
      </c>
    </row>
    <row r="19" spans="1:31" x14ac:dyDescent="0.25">
      <c r="B19" s="9" t="s">
        <v>2</v>
      </c>
      <c r="C19" s="9">
        <f>transit_targets!B41</f>
        <v>200.40927230604476</v>
      </c>
      <c r="D19" s="9">
        <f>transit_targets!C41</f>
        <v>0</v>
      </c>
      <c r="E19" s="9">
        <f>transit_targets!D41</f>
        <v>1119.7204769846721</v>
      </c>
      <c r="F19" s="9">
        <f>transit_targets!E41*($L$26-SUM(transit_targets!$E$43:$E$44))/(transit_targets!$E$48-SUM(transit_targets!$E$43:$E$44))</f>
        <v>31666.096307106822</v>
      </c>
      <c r="H19" s="9" t="s">
        <v>2</v>
      </c>
      <c r="I19" s="9">
        <f>School!L5</f>
        <v>228</v>
      </c>
      <c r="J19" s="9">
        <f>School!O5</f>
        <v>8765</v>
      </c>
      <c r="K19" s="9">
        <f>School!Q5</f>
        <v>1884</v>
      </c>
      <c r="L19" s="9">
        <f>School!R5</f>
        <v>31161</v>
      </c>
      <c r="M19" s="12"/>
      <c r="N19" s="9" t="s">
        <v>2</v>
      </c>
      <c r="O19" s="88">
        <f ref="O19:O25" si="3" t="shared">IF(ISBLANK(C6),"",C6)</f>
        <v>41</v>
      </c>
      <c r="P19" s="88">
        <f si="2" t="shared"/>
        <v>42</v>
      </c>
      <c r="Q19" s="88" t="str">
        <f si="2" t="shared"/>
        <v/>
      </c>
      <c r="R19" s="88">
        <f si="2" t="shared"/>
        <v>40</v>
      </c>
      <c r="T19" s="12"/>
      <c r="U19" s="65"/>
      <c r="V19" s="65"/>
      <c r="W19" s="65"/>
      <c r="X19" s="65"/>
      <c r="Y19" s="41"/>
      <c r="AA19" s="47">
        <f>SchoolCoeffcients!B27</f>
        <v>37</v>
      </c>
      <c r="AB19" s="47" t="str">
        <f>SchoolCoeffcients!C27</f>
        <v>s3-twophh</v>
      </c>
      <c r="AC19" s="84">
        <f>SchoolCoeffcients!E27</f>
        <v>-1.170617</v>
      </c>
      <c r="AD19" s="82">
        <f si="0" t="shared"/>
        <v>-1.170617</v>
      </c>
      <c r="AE19">
        <f si="1" t="shared"/>
        <v>0</v>
      </c>
    </row>
    <row r="20" spans="1:31" x14ac:dyDescent="0.25">
      <c r="B20" s="9" t="s">
        <v>3</v>
      </c>
      <c r="C20" s="9">
        <f>transit_targets!B42</f>
        <v>308.82218843704612</v>
      </c>
      <c r="D20" s="9">
        <f>transit_targets!C42</f>
        <v>0</v>
      </c>
      <c r="E20" s="9">
        <f>transit_targets!D42</f>
        <v>710.34493348325566</v>
      </c>
      <c r="F20" s="9">
        <f>transit_targets!E42*($L$26-SUM(transit_targets!$E$43:$E$44))/(transit_targets!$E$48-SUM(transit_targets!$E$43:$E$44))</f>
        <v>72461.53060751778</v>
      </c>
      <c r="H20" s="9" t="s">
        <v>3</v>
      </c>
      <c r="I20" s="9">
        <f>School!L6</f>
        <v>360</v>
      </c>
      <c r="J20" s="9">
        <f>School!O6</f>
        <v>18688</v>
      </c>
      <c r="K20" s="9">
        <f>School!Q6</f>
        <v>4101</v>
      </c>
      <c r="L20" s="9">
        <f>School!R6</f>
        <v>71341</v>
      </c>
      <c r="M20" s="12"/>
      <c r="N20" s="9" t="s">
        <v>3</v>
      </c>
      <c r="O20" s="88">
        <v>36</v>
      </c>
      <c r="P20" s="88">
        <f si="2" t="shared"/>
        <v>35</v>
      </c>
      <c r="Q20" s="88" t="str">
        <f si="2" t="shared"/>
        <v/>
      </c>
      <c r="R20" s="88">
        <f si="2" t="shared"/>
        <v>30</v>
      </c>
      <c r="T20" s="12"/>
      <c r="U20" s="65"/>
      <c r="V20" s="65"/>
      <c r="W20" s="65"/>
      <c r="X20" s="65"/>
      <c r="Y20" s="41"/>
      <c r="AA20" s="47">
        <f>SchoolCoeffcients!B28</f>
        <v>38</v>
      </c>
      <c r="AB20" s="47" t="str">
        <f>SchoolCoeffcients!C28</f>
        <v>s2-onephh</v>
      </c>
      <c r="AC20" s="84">
        <f>SchoolCoeffcients!E28</f>
        <v>-0.500054</v>
      </c>
      <c r="AD20" s="82">
        <f si="0" t="shared"/>
        <v>-0.500054</v>
      </c>
      <c r="AE20">
        <f si="1" t="shared"/>
        <v>0</v>
      </c>
    </row>
    <row r="21" spans="1:31" x14ac:dyDescent="0.25">
      <c r="B21" s="9" t="s">
        <v>4</v>
      </c>
      <c r="C21" s="9">
        <f>transit_targets!B43</f>
        <v>0</v>
      </c>
      <c r="D21" s="9">
        <f>transit_targets!C43</f>
        <v>0</v>
      </c>
      <c r="E21" s="9">
        <f>transit_targets!D43</f>
        <v>0</v>
      </c>
      <c r="F21" s="9">
        <f>transit_targets!E43</f>
        <v>0</v>
      </c>
      <c r="H21" s="9" t="s">
        <v>4</v>
      </c>
      <c r="I21" s="9">
        <f>School!L7</f>
        <v>0</v>
      </c>
      <c r="J21" s="9">
        <f>School!O7</f>
        <v>0</v>
      </c>
      <c r="K21" s="9">
        <f>School!Q7</f>
        <v>0</v>
      </c>
      <c r="L21" s="9">
        <f>School!R7</f>
        <v>0</v>
      </c>
      <c r="M21" s="12"/>
      <c r="N21" s="9" t="s">
        <v>4</v>
      </c>
      <c r="O21" s="88" t="str">
        <f si="3" t="shared"/>
        <v/>
      </c>
      <c r="P21" s="88" t="str">
        <f si="2" t="shared"/>
        <v/>
      </c>
      <c r="Q21" s="88" t="str">
        <f si="2" t="shared"/>
        <v/>
      </c>
      <c r="R21" s="88" t="str">
        <f si="2" t="shared"/>
        <v/>
      </c>
      <c r="T21" s="12"/>
      <c r="U21" s="65"/>
      <c r="V21" s="65"/>
      <c r="W21" s="65"/>
      <c r="X21" s="65"/>
      <c r="Y21" s="41"/>
      <c r="AA21" s="47">
        <f>SchoolCoeffcients!B29</f>
        <v>40</v>
      </c>
      <c r="AB21" s="47" t="str">
        <f>SchoolCoeffcients!C29</f>
        <v>s2-const</v>
      </c>
      <c r="AC21" s="84">
        <f>SchoolCoeffcients!E29</f>
        <v>-0.71956066974800004</v>
      </c>
      <c r="AD21" s="82">
        <f si="0" t="shared"/>
        <v>-0.71956066974800004</v>
      </c>
      <c r="AE21">
        <f si="1" t="shared"/>
        <v>0</v>
      </c>
    </row>
    <row r="22" spans="1:31" x14ac:dyDescent="0.25">
      <c r="B22" s="9" t="s">
        <v>5</v>
      </c>
      <c r="C22" s="9">
        <f>transit_targets!B44</f>
        <v>281.2872288502989</v>
      </c>
      <c r="D22" s="9">
        <f>transit_targets!C44</f>
        <v>0</v>
      </c>
      <c r="E22" s="9">
        <f>transit_targets!D44</f>
        <v>353.14358121924437</v>
      </c>
      <c r="F22" s="9">
        <f>transit_targets!E44</f>
        <v>1215.3368813778518</v>
      </c>
      <c r="H22" s="9" t="s">
        <v>5</v>
      </c>
      <c r="I22" s="9">
        <f>School!L8</f>
        <v>938</v>
      </c>
      <c r="J22" s="9">
        <f>School!O8</f>
        <v>198</v>
      </c>
      <c r="K22" s="9">
        <f>School!Q8</f>
        <v>37</v>
      </c>
      <c r="L22" s="9">
        <f>School!R8</f>
        <v>1495</v>
      </c>
      <c r="M22" s="12"/>
      <c r="N22" s="9" t="s">
        <v>5</v>
      </c>
      <c r="O22" s="88">
        <f si="3" t="shared"/>
        <v>21</v>
      </c>
      <c r="P22" s="88">
        <f si="2" t="shared"/>
        <v>22</v>
      </c>
      <c r="Q22" s="88" t="str">
        <f si="2" t="shared"/>
        <v/>
      </c>
      <c r="R22" s="88">
        <f si="2" t="shared"/>
        <v>20</v>
      </c>
      <c r="T22" s="12"/>
      <c r="U22" s="65"/>
      <c r="V22" s="65"/>
      <c r="W22" s="65"/>
      <c r="X22" s="65"/>
      <c r="Y22" s="41"/>
      <c r="AA22" s="47">
        <f>SchoolCoeffcients!B30</f>
        <v>41</v>
      </c>
      <c r="AB22" s="47" t="str">
        <f>SchoolCoeffcients!C30</f>
        <v>sr-nocars</v>
      </c>
      <c r="AC22" s="84">
        <f>SchoolCoeffcients!E30</f>
        <v>-2.212856305921</v>
      </c>
      <c r="AD22" s="82">
        <f si="0" t="shared"/>
        <v>-2.0160516958274628</v>
      </c>
      <c r="AE22">
        <f si="1" t="shared"/>
        <v>1</v>
      </c>
    </row>
    <row r="23" spans="1:31" x14ac:dyDescent="0.25">
      <c r="B23" s="9" t="s">
        <v>6</v>
      </c>
      <c r="C23" s="9">
        <f>transit_targets!B45</f>
        <v>37.271561750694318</v>
      </c>
      <c r="D23" s="9">
        <f>transit_targets!C45</f>
        <v>0</v>
      </c>
      <c r="E23" s="9">
        <f>transit_targets!D45</f>
        <v>156.64855643179104</v>
      </c>
      <c r="F23" s="9">
        <f>transit_targets!E45*($L$26-SUM(transit_targets!$E$43:$E$44))/(transit_targets!$E$48-SUM(transit_targets!$E$43:$E$44))</f>
        <v>393.84410745905706</v>
      </c>
      <c r="H23" s="9" t="s">
        <v>6</v>
      </c>
      <c r="I23" s="9">
        <f>School!L9</f>
        <v>48</v>
      </c>
      <c r="J23" s="9">
        <f>School!O9</f>
        <v>202</v>
      </c>
      <c r="K23" s="9">
        <f>School!Q9</f>
        <v>40</v>
      </c>
      <c r="L23" s="9">
        <f>School!R9</f>
        <v>402</v>
      </c>
      <c r="M23" s="12"/>
      <c r="N23" s="9" t="s">
        <v>6</v>
      </c>
      <c r="O23" s="88">
        <f si="3" t="shared"/>
        <v>67</v>
      </c>
      <c r="P23" s="88">
        <f si="2" t="shared"/>
        <v>68</v>
      </c>
      <c r="Q23" s="88" t="str">
        <f si="2" t="shared"/>
        <v/>
      </c>
      <c r="R23" s="88">
        <f si="2" t="shared"/>
        <v>60</v>
      </c>
      <c r="T23" s="12"/>
      <c r="U23" s="65"/>
      <c r="V23" s="65"/>
      <c r="W23" s="65"/>
      <c r="X23" s="65"/>
      <c r="Y23" s="41"/>
      <c r="AA23" s="47">
        <f>SchoolCoeffcients!B31</f>
        <v>42</v>
      </c>
      <c r="AB23" s="47" t="str">
        <f>SchoolCoeffcients!C31</f>
        <v>s2-carsltd</v>
      </c>
      <c r="AC23" s="84">
        <f>SchoolCoeffcients!E31</f>
        <v>-0.12690086735600001</v>
      </c>
      <c r="AD23" s="82">
        <f si="0" t="shared"/>
        <v>-0.12690086735600001</v>
      </c>
      <c r="AE23">
        <f si="1" t="shared"/>
        <v>0</v>
      </c>
    </row>
    <row r="24" spans="1:31" x14ac:dyDescent="0.25">
      <c r="B24" s="9" t="s">
        <v>7</v>
      </c>
      <c r="C24" s="9">
        <f>transit_targets!B46</f>
        <v>114.91916482741398</v>
      </c>
      <c r="D24" s="9">
        <f>transit_targets!C46</f>
        <v>0</v>
      </c>
      <c r="E24" s="9">
        <f>transit_targets!D46</f>
        <v>115.37979752584953</v>
      </c>
      <c r="F24" s="9">
        <f>transit_targets!E46*($L$26-SUM(transit_targets!$E$43:$E$44))/(transit_targets!$E$48-SUM(transit_targets!$E$43:$E$44))</f>
        <v>5385.3569685832326</v>
      </c>
      <c r="H24" s="9" t="s">
        <v>7</v>
      </c>
      <c r="I24" s="9">
        <f>School!L10</f>
        <v>214</v>
      </c>
      <c r="J24" s="9">
        <f>School!O10</f>
        <v>3922</v>
      </c>
      <c r="K24" s="9">
        <f>School!Q10</f>
        <v>899</v>
      </c>
      <c r="L24" s="9">
        <f>School!R10</f>
        <v>5278</v>
      </c>
      <c r="M24" s="12"/>
      <c r="N24" s="9" t="s">
        <v>7</v>
      </c>
      <c r="O24" s="88">
        <f si="3" t="shared"/>
        <v>77</v>
      </c>
      <c r="P24" s="88">
        <f si="2" t="shared"/>
        <v>78</v>
      </c>
      <c r="Q24" s="88" t="str">
        <f si="2" t="shared"/>
        <v/>
      </c>
      <c r="R24" s="88">
        <f si="2" t="shared"/>
        <v>70</v>
      </c>
      <c r="T24" s="12"/>
      <c r="U24" s="65"/>
      <c r="V24" s="65"/>
      <c r="W24" s="65"/>
      <c r="X24" s="65"/>
      <c r="Y24" s="41"/>
      <c r="AA24" s="47">
        <f>SchoolCoeffcients!B32</f>
        <v>44</v>
      </c>
      <c r="AB24" s="47" t="str">
        <f>SchoolCoeffcients!C32</f>
        <v>sr-incu25</v>
      </c>
      <c r="AC24" s="84">
        <f>SchoolCoeffcients!E32</f>
        <v>-0.26427099999999998</v>
      </c>
      <c r="AD24" s="82">
        <f si="0" t="shared"/>
        <v>-0.26427099999999998</v>
      </c>
      <c r="AE24">
        <f si="1" t="shared"/>
        <v>0</v>
      </c>
    </row>
    <row r="25" spans="1:31" x14ac:dyDescent="0.25">
      <c r="B25" s="14" t="s">
        <v>8</v>
      </c>
      <c r="C25" s="9">
        <f>transit_targets!B47</f>
        <v>2893.4545792686331</v>
      </c>
      <c r="D25" s="9">
        <f>transit_targets!C47</f>
        <v>0</v>
      </c>
      <c r="E25" s="9">
        <f>transit_targets!D47</f>
        <v>5605.348529254461</v>
      </c>
      <c r="F25" s="9">
        <f>transit_targets!E47*($L$26-SUM(transit_targets!$E$43:$E$44))/(transit_targets!$E$48-SUM(transit_targets!$E$43:$E$44))</f>
        <v>81246.136183732262</v>
      </c>
      <c r="H25" s="14" t="s">
        <v>8</v>
      </c>
      <c r="I25" s="9">
        <f>School!L11</f>
        <v>3605</v>
      </c>
      <c r="J25" s="9">
        <f>School!O11</f>
        <v>27574</v>
      </c>
      <c r="K25" s="9">
        <f>School!Q11</f>
        <v>5758</v>
      </c>
      <c r="L25" s="9">
        <f>School!R11</f>
        <v>82878</v>
      </c>
      <c r="M25" s="12"/>
      <c r="N25" s="14" t="s">
        <v>8</v>
      </c>
      <c r="O25" s="7">
        <f si="3" t="shared"/>
        <v>11</v>
      </c>
      <c r="P25" s="7">
        <f si="2" t="shared"/>
        <v>13</v>
      </c>
      <c r="Q25" s="7" t="str">
        <f si="2" t="shared"/>
        <v/>
      </c>
      <c r="R25" s="7">
        <f si="2" t="shared"/>
        <v>10</v>
      </c>
      <c r="T25" s="12"/>
      <c r="U25" s="65"/>
      <c r="V25" s="65"/>
      <c r="W25" s="65"/>
      <c r="X25" s="65"/>
      <c r="Y25" s="41"/>
      <c r="AA25" s="47">
        <f>SchoolCoeffcients!B33</f>
        <v>45</v>
      </c>
      <c r="AB25" s="47" t="str">
        <f>SchoolCoeffcients!C33</f>
        <v>sr-inc2550</v>
      </c>
      <c r="AC25" s="84">
        <f>SchoolCoeffcients!E33</f>
        <v>-0.26346999999999998</v>
      </c>
      <c r="AD25" s="82">
        <f si="0" t="shared"/>
        <v>-0.26346999999999998</v>
      </c>
      <c r="AE25">
        <f si="1" t="shared"/>
        <v>0</v>
      </c>
    </row>
    <row ht="15.75" r="26" spans="1:31" thickBot="1" x14ac:dyDescent="0.3">
      <c r="B26" s="66" t="s">
        <v>19</v>
      </c>
      <c r="C26" s="67">
        <f>SUM(C18:C25)</f>
        <v>3836.1639954401312</v>
      </c>
      <c r="D26" s="67">
        <f ref="D26:F26" si="4" t="shared">SUM(D18:D25)</f>
        <v>0</v>
      </c>
      <c r="E26" s="67">
        <f si="4" t="shared"/>
        <v>8256.2554484353877</v>
      </c>
      <c r="F26" s="67">
        <f si="4" t="shared"/>
        <v>211336</v>
      </c>
      <c r="H26" s="66" t="s">
        <v>19</v>
      </c>
      <c r="I26" s="67">
        <f>SUM(I18:I25)</f>
        <v>5393</v>
      </c>
      <c r="J26" s="67">
        <f ref="J26:L26" si="5" t="shared">SUM(J18:J25)</f>
        <v>63538</v>
      </c>
      <c r="K26" s="67">
        <f si="5" t="shared"/>
        <v>13630</v>
      </c>
      <c r="L26" s="67">
        <f si="5" t="shared"/>
        <v>211336</v>
      </c>
      <c r="M26" s="12"/>
      <c r="T26" s="12"/>
      <c r="U26" s="65"/>
      <c r="V26" s="65"/>
      <c r="W26" s="65"/>
      <c r="X26" s="65"/>
      <c r="Y26" s="41"/>
      <c r="AA26" s="47">
        <f>SchoolCoeffcients!B34</f>
        <v>47</v>
      </c>
      <c r="AB26" s="47" t="str">
        <f>SchoolCoeffcients!C34</f>
        <v>sr-chun5</v>
      </c>
      <c r="AC26" s="84">
        <f>SchoolCoeffcients!E34</f>
        <v>1.3756219999999999</v>
      </c>
      <c r="AD26" s="82">
        <f si="0" t="shared"/>
        <v>1.3756219999999999</v>
      </c>
      <c r="AE26">
        <f si="1" t="shared"/>
        <v>0</v>
      </c>
    </row>
    <row r="27" spans="1:31" x14ac:dyDescent="0.25">
      <c r="A27" s="139" t="s">
        <v>276</v>
      </c>
      <c r="B27" s="9" t="s">
        <v>4</v>
      </c>
      <c r="C27" s="54">
        <f>School!B13</f>
        <v>5.1024152038823087E-2</v>
      </c>
      <c r="D27" s="54">
        <f>School!E13</f>
        <v>0</v>
      </c>
      <c r="E27" s="54">
        <f>School!G13</f>
        <v>0</v>
      </c>
      <c r="F27" s="54">
        <v>1</v>
      </c>
      <c r="P27" s="47"/>
      <c r="Q27" s="47"/>
      <c r="R27" s="47"/>
      <c r="T27" s="41"/>
      <c r="U27" s="41"/>
      <c r="V27" s="41"/>
      <c r="W27" s="41"/>
      <c r="X27" s="41"/>
      <c r="Y27" s="41"/>
      <c r="AA27" s="47">
        <f>SchoolCoeffcients!B35</f>
        <v>50</v>
      </c>
      <c r="AB27" s="47" t="str">
        <f>SchoolCoeffcients!C35</f>
        <v>da-const</v>
      </c>
      <c r="AC27" s="84">
        <f>SchoolCoeffcients!E35</f>
        <v>2.0242015533569999</v>
      </c>
      <c r="AD27" s="82">
        <f si="0" t="shared"/>
        <v>2.0242015533569999</v>
      </c>
      <c r="AE27">
        <f si="1" t="shared"/>
        <v>0</v>
      </c>
    </row>
    <row r="28" spans="1:31" x14ac:dyDescent="0.25">
      <c r="A28" s="139"/>
      <c r="B28" s="9" t="s">
        <v>5</v>
      </c>
      <c r="C28" s="54">
        <f>School!B14</f>
        <v>0.67774683321643592</v>
      </c>
      <c r="D28" s="54">
        <f>School!E14</f>
        <v>0.11767774329578892</v>
      </c>
      <c r="E28" s="54">
        <f>School!G14</f>
        <v>3.1478364164899325E-2</v>
      </c>
      <c r="F28" s="54">
        <v>1</v>
      </c>
      <c r="AA28" s="47">
        <f>SchoolCoeffcients!B36</f>
        <v>52</v>
      </c>
      <c r="AB28" s="47" t="str">
        <f>SchoolCoeffcients!C36</f>
        <v>da-carsltd</v>
      </c>
      <c r="AC28" s="84">
        <f>SchoolCoeffcients!E36</f>
        <v>-1.3029204471110001</v>
      </c>
      <c r="AD28" s="82">
        <f si="0" t="shared"/>
        <v>-1.3029204471110001</v>
      </c>
      <c r="AE28">
        <f si="1" t="shared"/>
        <v>0</v>
      </c>
    </row>
    <row ht="15.75" r="29" spans="1:31" thickBot="1" x14ac:dyDescent="0.3">
      <c r="B29" s="57" t="s">
        <v>255</v>
      </c>
      <c r="H29" s="57" t="s">
        <v>256</v>
      </c>
      <c r="N29" s="36" t="s">
        <v>244</v>
      </c>
      <c r="T29" t="s">
        <v>258</v>
      </c>
      <c r="AA29" s="47">
        <f>SchoolCoeffcients!B37</f>
        <v>54</v>
      </c>
      <c r="AB29" s="47" t="str">
        <f>SchoolCoeffcients!C37</f>
        <v>da-incu25</v>
      </c>
      <c r="AC29" s="84">
        <f>SchoolCoeffcients!E37</f>
        <v>-0.78347800000000001</v>
      </c>
      <c r="AD29" s="82">
        <f si="0" t="shared"/>
        <v>-0.78347800000000001</v>
      </c>
      <c r="AE29">
        <f si="1" t="shared"/>
        <v>0</v>
      </c>
    </row>
    <row r="30" spans="1:31" x14ac:dyDescent="0.25">
      <c r="B30" s="59" t="s">
        <v>0</v>
      </c>
      <c r="C30" s="60" t="s">
        <v>239</v>
      </c>
      <c r="D30" s="60" t="s">
        <v>234</v>
      </c>
      <c r="E30" s="60" t="str">
        <f>E17</f>
        <v>cars &lt; workers</v>
      </c>
      <c r="F30" s="60" t="s">
        <v>19</v>
      </c>
      <c r="H30" s="59" t="s">
        <v>0</v>
      </c>
      <c r="I30" s="60" t="s">
        <v>239</v>
      </c>
      <c r="J30" s="60" t="s">
        <v>234</v>
      </c>
      <c r="K30" s="60" t="s">
        <v>237</v>
      </c>
      <c r="L30" s="60" t="s">
        <v>19</v>
      </c>
      <c r="M30" s="56"/>
      <c r="N30" s="59" t="s">
        <v>0</v>
      </c>
      <c r="O30" s="60" t="s">
        <v>239</v>
      </c>
      <c r="P30" s="60" t="s">
        <v>234</v>
      </c>
      <c r="Q30" s="60" t="s">
        <v>237</v>
      </c>
      <c r="R30" s="60" t="s">
        <v>240</v>
      </c>
      <c r="T30" s="60" t="s">
        <v>50</v>
      </c>
      <c r="U30" s="60" t="s">
        <v>51</v>
      </c>
      <c r="V30" s="60" t="s">
        <v>200</v>
      </c>
      <c r="AA30" s="47">
        <f>SchoolCoeffcients!B38</f>
        <v>56</v>
      </c>
      <c r="AB30" s="47" t="str">
        <f>SchoolCoeffcients!C38</f>
        <v>da-inco75</v>
      </c>
      <c r="AC30" s="84">
        <f>SchoolCoeffcients!E38</f>
        <v>0.308033</v>
      </c>
      <c r="AD30" s="82">
        <f si="0" t="shared"/>
        <v>0.308033</v>
      </c>
      <c r="AE30">
        <f si="1" t="shared"/>
        <v>0</v>
      </c>
    </row>
    <row r="31" spans="1:31" x14ac:dyDescent="0.25">
      <c r="B31" s="9" t="s">
        <v>1</v>
      </c>
      <c r="C31" s="54">
        <f>$C18/C$26</f>
        <v>0</v>
      </c>
      <c r="D31" s="54"/>
      <c r="E31" s="54">
        <f>$E18/E$26</f>
        <v>2.3699554205677483E-2</v>
      </c>
      <c r="F31" s="54">
        <f>$F18/F$26</f>
        <v>8.9751386153911261E-2</v>
      </c>
      <c r="H31" s="9" t="s">
        <v>1</v>
      </c>
      <c r="I31" s="40">
        <f>$I18/I$26</f>
        <v>0</v>
      </c>
      <c r="J31" s="40">
        <f>$J18/J$26</f>
        <v>6.5929050332084738E-2</v>
      </c>
      <c r="K31" s="40">
        <f>$K18/K$26</f>
        <v>6.6837857666911221E-2</v>
      </c>
      <c r="L31" s="40">
        <f>$L18/L$26</f>
        <v>8.8867963811182199E-2</v>
      </c>
      <c r="M31" s="42"/>
      <c r="N31" s="9" t="s">
        <v>1</v>
      </c>
      <c r="O31" s="62" t="str">
        <f ref="O31:R38" si="6" t="shared">IF(O18="","-",C31/I31)</f>
        <v>-</v>
      </c>
      <c r="P31" s="62"/>
      <c r="Q31" s="62" t="str">
        <f si="6" t="shared"/>
        <v>-</v>
      </c>
      <c r="R31" s="62">
        <f si="6" t="shared"/>
        <v>1.0099408415006117</v>
      </c>
      <c r="T31">
        <v>10</v>
      </c>
      <c r="U31" t="str">
        <f>VLOOKUP(T31,$AA$3:$AB$48,2,FALSE)</f>
        <v>sb-const</v>
      </c>
      <c r="V31" s="46">
        <f>R86</f>
        <v>0.28251668607199998</v>
      </c>
      <c r="AA31" s="47">
        <f>SchoolCoeffcients!B39</f>
        <v>59</v>
      </c>
      <c r="AB31" s="47" t="str">
        <f>SchoolCoeffcients!C39</f>
        <v>da-ch1617</v>
      </c>
      <c r="AC31" s="84">
        <f>SchoolCoeffcients!E39</f>
        <v>-1.5646739999999999</v>
      </c>
      <c r="AD31" s="82">
        <f si="0" t="shared"/>
        <v>-1.5646739999999999</v>
      </c>
      <c r="AE31">
        <f si="1" t="shared"/>
        <v>0</v>
      </c>
    </row>
    <row r="32" spans="1:31" x14ac:dyDescent="0.25">
      <c r="B32" s="9" t="s">
        <v>2</v>
      </c>
      <c r="C32" s="54">
        <f ref="C32:C38" si="7" t="shared">$C19/C$26</f>
        <v>5.2242102408620143E-2</v>
      </c>
      <c r="D32" s="54"/>
      <c r="E32" s="54">
        <f ref="E32:E39" si="8" t="shared">$E19/E$26</f>
        <v>0.13562086153679587</v>
      </c>
      <c r="F32" s="54">
        <f ref="F32:F39" si="9" t="shared">$F19/F$26</f>
        <v>0.14983768173480536</v>
      </c>
      <c r="H32" s="9" t="s">
        <v>2</v>
      </c>
      <c r="I32" s="40">
        <f ref="I32:I38" si="10" t="shared">$I19/I$26</f>
        <v>4.2277025774151676E-2</v>
      </c>
      <c r="J32" s="40">
        <f ref="J32:J38" si="11" t="shared">$J19/J$26</f>
        <v>0.1379489439390601</v>
      </c>
      <c r="K32" s="40">
        <f ref="K32:K38" si="12" t="shared">$K19/K$26</f>
        <v>0.13822450476889214</v>
      </c>
      <c r="L32" s="40">
        <f ref="L32:L39" si="13" t="shared">$L19/L$26</f>
        <v>0.1474476662755044</v>
      </c>
      <c r="M32" s="42"/>
      <c r="N32" s="9" t="s">
        <v>2</v>
      </c>
      <c r="O32" s="89">
        <f>IF(O19="","-",(C32+C33)/(I32+I33))</f>
        <v>1.2175061290552236</v>
      </c>
      <c r="P32" s="63"/>
      <c r="Q32" s="63" t="str">
        <f si="6" t="shared"/>
        <v>-</v>
      </c>
      <c r="R32" s="63">
        <f si="6" t="shared"/>
        <v>1.016209245759341</v>
      </c>
      <c r="T32">
        <v>11</v>
      </c>
      <c r="U32" t="str">
        <f ref="U32:U33" si="14" t="shared">VLOOKUP(T32,$AA$3:$AB$48,2,FALSE)</f>
        <v>sb-nocars</v>
      </c>
      <c r="V32" s="46">
        <f>O86</f>
        <v>1.9168482053271263E-2</v>
      </c>
      <c r="AA32" s="47">
        <f>SchoolCoeffcients!B40</f>
        <v>60</v>
      </c>
      <c r="AB32" s="47" t="str">
        <f>SchoolCoeffcients!C40</f>
        <v>bi-const</v>
      </c>
      <c r="AC32" s="84">
        <f>SchoolCoeffcients!E40</f>
        <v>-4.8840106139459998</v>
      </c>
      <c r="AD32" s="82">
        <f si="0" t="shared"/>
        <v>-4.8840106139459998</v>
      </c>
      <c r="AE32">
        <f si="1" t="shared"/>
        <v>0</v>
      </c>
    </row>
    <row r="33" spans="2:31" x14ac:dyDescent="0.25">
      <c r="B33" s="9" t="s">
        <v>3</v>
      </c>
      <c r="C33" s="54">
        <f si="7" t="shared"/>
        <v>8.0502864007933092E-2</v>
      </c>
      <c r="D33" s="54"/>
      <c r="E33" s="54">
        <f si="8" t="shared"/>
        <v>8.6037179677849046E-2</v>
      </c>
      <c r="F33" s="54">
        <f si="9" t="shared"/>
        <v>0.34287357860240458</v>
      </c>
      <c r="H33" s="9" t="s">
        <v>3</v>
      </c>
      <c r="I33" s="40">
        <f si="10" t="shared"/>
        <v>6.6753198590765811E-2</v>
      </c>
      <c r="J33" s="40">
        <f si="11" t="shared"/>
        <v>0.29412320186345181</v>
      </c>
      <c r="K33" s="40">
        <f si="12" t="shared"/>
        <v>0.30088041085840056</v>
      </c>
      <c r="L33" s="40">
        <f si="13" t="shared"/>
        <v>0.33757145020252111</v>
      </c>
      <c r="M33" s="42"/>
      <c r="N33" s="9" t="s">
        <v>3</v>
      </c>
      <c r="O33" s="63">
        <f si="6" t="shared"/>
        <v>1.2059776266521753</v>
      </c>
      <c r="P33" s="63"/>
      <c r="Q33" s="63" t="str">
        <f si="6" t="shared"/>
        <v>-</v>
      </c>
      <c r="R33" s="63">
        <f si="6" t="shared"/>
        <v>1.0157066849009373</v>
      </c>
      <c r="T33">
        <v>13</v>
      </c>
      <c r="U33" t="str">
        <f si="14" t="shared"/>
        <v>sb-carsltd</v>
      </c>
      <c r="V33" s="46">
        <f>P86</f>
        <v>0.136483612798</v>
      </c>
      <c r="AA33" s="47">
        <f>SchoolCoeffcients!B41</f>
        <v>61</v>
      </c>
      <c r="AB33" s="47" t="str">
        <f>SchoolCoeffcients!C41</f>
        <v>bi-male</v>
      </c>
      <c r="AC33" s="84">
        <f>SchoolCoeffcients!E41</f>
        <v>0.16084100000000001</v>
      </c>
      <c r="AD33" s="82">
        <f si="0" t="shared"/>
        <v>0.16084100000000001</v>
      </c>
      <c r="AE33">
        <f si="1" t="shared"/>
        <v>0</v>
      </c>
    </row>
    <row r="34" spans="2:31" x14ac:dyDescent="0.25">
      <c r="B34" s="9" t="s">
        <v>4</v>
      </c>
      <c r="C34" s="54">
        <f si="7" t="shared"/>
        <v>0</v>
      </c>
      <c r="D34" s="54"/>
      <c r="E34" s="54">
        <f si="8" t="shared"/>
        <v>0</v>
      </c>
      <c r="F34" s="54">
        <f si="9" t="shared"/>
        <v>0</v>
      </c>
      <c r="H34" s="9" t="s">
        <v>4</v>
      </c>
      <c r="I34" s="40">
        <f si="10" t="shared"/>
        <v>0</v>
      </c>
      <c r="J34" s="40">
        <f si="11" t="shared"/>
        <v>0</v>
      </c>
      <c r="K34" s="40">
        <f si="12" t="shared"/>
        <v>0</v>
      </c>
      <c r="L34" s="40">
        <f si="13" t="shared"/>
        <v>0</v>
      </c>
      <c r="M34" s="42"/>
      <c r="N34" s="9" t="s">
        <v>4</v>
      </c>
      <c r="O34" s="63" t="str">
        <f si="6" t="shared"/>
        <v>-</v>
      </c>
      <c r="P34" s="63"/>
      <c r="Q34" s="63" t="str">
        <f si="6" t="shared"/>
        <v>-</v>
      </c>
      <c r="R34" s="63" t="str">
        <f si="6" t="shared"/>
        <v>-</v>
      </c>
      <c r="T34">
        <v>20</v>
      </c>
      <c r="U34" t="str">
        <f ref="U34:U39" si="15" t="shared">VLOOKUP(T34,$AA$3:$AB$48,2,FALSE)</f>
        <v>wt-const</v>
      </c>
      <c r="V34" s="46">
        <f>R83</f>
        <v>-3.098654636474</v>
      </c>
      <c r="AA34" s="47">
        <f>SchoolCoeffcients!B42</f>
        <v>67</v>
      </c>
      <c r="AB34" s="47" t="str">
        <f>SchoolCoeffcients!C42</f>
        <v>bi-nocars</v>
      </c>
      <c r="AC34" s="84">
        <f>SchoolCoeffcients!E42</f>
        <v>-0.38974001294799998</v>
      </c>
      <c r="AD34" s="82">
        <f si="0" t="shared"/>
        <v>-0.30208149897929226</v>
      </c>
      <c r="AE34">
        <f si="1" t="shared"/>
        <v>1</v>
      </c>
    </row>
    <row r="35" spans="2:31" x14ac:dyDescent="0.25">
      <c r="B35" s="9" t="s">
        <v>5</v>
      </c>
      <c r="C35" s="54">
        <f si="7" t="shared"/>
        <v>7.3325131351175785E-2</v>
      </c>
      <c r="D35" s="54"/>
      <c r="E35" s="54">
        <f si="8" t="shared"/>
        <v>4.2772850649402727E-2</v>
      </c>
      <c r="F35" s="54">
        <f si="9" t="shared"/>
        <v>5.7507328679347195E-3</v>
      </c>
      <c r="H35" s="9" t="s">
        <v>5</v>
      </c>
      <c r="I35" s="40">
        <f si="10" t="shared"/>
        <v>0.17392916743927314</v>
      </c>
      <c r="J35" s="40">
        <f si="11" t="shared"/>
        <v>3.1162453964556644E-3</v>
      </c>
      <c r="K35" s="40">
        <f si="12" t="shared"/>
        <v>2.7146001467351429E-3</v>
      </c>
      <c r="L35" s="40">
        <f si="13" t="shared"/>
        <v>7.0740432297384257E-3</v>
      </c>
      <c r="M35" s="42"/>
      <c r="N35" s="9" t="s">
        <v>5</v>
      </c>
      <c r="O35" s="63">
        <f si="6" t="shared"/>
        <v>0.42158041937834861</v>
      </c>
      <c r="P35" s="63"/>
      <c r="Q35" s="63" t="str">
        <f si="6" t="shared"/>
        <v>-</v>
      </c>
      <c r="R35" s="63">
        <f si="6" t="shared"/>
        <v>0.81293436881461667</v>
      </c>
      <c r="T35">
        <v>21</v>
      </c>
      <c r="U35" t="str">
        <f si="15" t="shared"/>
        <v>wt-nocars</v>
      </c>
      <c r="V35" s="46">
        <f>O83</f>
        <v>1.4936321675837356</v>
      </c>
      <c r="AA35" s="47">
        <f>SchoolCoeffcients!B43</f>
        <v>68</v>
      </c>
      <c r="AB35" s="47" t="str">
        <f>SchoolCoeffcients!C43</f>
        <v>bi-carsltd</v>
      </c>
      <c r="AC35" s="84">
        <f>SchoolCoeffcients!E43</f>
        <v>1.1077283945259999</v>
      </c>
      <c r="AD35" s="82">
        <f si="0" t="shared"/>
        <v>1.1077283945259999</v>
      </c>
      <c r="AE35">
        <f si="1" t="shared"/>
        <v>0</v>
      </c>
    </row>
    <row r="36" spans="2:31" x14ac:dyDescent="0.25">
      <c r="B36" s="9" t="s">
        <v>6</v>
      </c>
      <c r="C36" s="54">
        <f si="7" t="shared"/>
        <v>9.7158416050505871E-3</v>
      </c>
      <c r="D36" s="54"/>
      <c r="E36" s="54">
        <f si="8" t="shared"/>
        <v>1.8973317554203936E-2</v>
      </c>
      <c r="F36" s="54">
        <f si="9" t="shared"/>
        <v>1.8635921350790071E-3</v>
      </c>
      <c r="H36" s="9" t="s">
        <v>6</v>
      </c>
      <c r="I36" s="40">
        <f si="10" t="shared"/>
        <v>8.9004264787687741E-3</v>
      </c>
      <c r="J36" s="40">
        <f si="11" t="shared"/>
        <v>3.1791998489093141E-3</v>
      </c>
      <c r="K36" s="40">
        <f si="12" t="shared"/>
        <v>2.93470286133529E-3</v>
      </c>
      <c r="L36" s="40">
        <f si="13" t="shared"/>
        <v>1.9021841995684598E-3</v>
      </c>
      <c r="M36" s="42"/>
      <c r="N36" s="9" t="s">
        <v>6</v>
      </c>
      <c r="O36" s="63">
        <f si="6" t="shared"/>
        <v>1.0916152870007878</v>
      </c>
      <c r="P36" s="63"/>
      <c r="Q36" s="63" t="str">
        <f si="6" t="shared"/>
        <v>-</v>
      </c>
      <c r="R36" s="63">
        <f>IF(R23="","-",F36/L36)</f>
        <v>0.97971171009715674</v>
      </c>
      <c r="T36">
        <v>22</v>
      </c>
      <c r="U36" t="str">
        <f si="15" t="shared"/>
        <v>wt-carsltd</v>
      </c>
      <c r="V36" s="46">
        <f>P83</f>
        <v>-0.53922482139799999</v>
      </c>
      <c r="AA36" s="47">
        <f>SchoolCoeffcients!B44</f>
        <v>69</v>
      </c>
      <c r="AB36" s="47" t="str">
        <f>SchoolCoeffcients!C44</f>
        <v>bi-univtr</v>
      </c>
      <c r="AC36" s="84">
        <f>SchoolCoeffcients!E44</f>
        <v>0.51493599999999995</v>
      </c>
      <c r="AD36" s="82">
        <f si="0" t="shared"/>
        <v>0.51493599999999995</v>
      </c>
      <c r="AE36">
        <f si="1" t="shared"/>
        <v>0</v>
      </c>
    </row>
    <row r="37" spans="2:31" x14ac:dyDescent="0.25">
      <c r="B37" s="9" t="s">
        <v>7</v>
      </c>
      <c r="C37" s="54">
        <f si="7" t="shared"/>
        <v>2.9956791462516466E-2</v>
      </c>
      <c r="D37" s="54"/>
      <c r="E37" s="54">
        <f si="8" t="shared"/>
        <v>1.3974833778636866E-2</v>
      </c>
      <c r="F37" s="54">
        <f si="9" t="shared"/>
        <v>2.548244013600727E-2</v>
      </c>
      <c r="H37" s="9" t="s">
        <v>7</v>
      </c>
      <c r="I37" s="40">
        <f si="10" t="shared"/>
        <v>3.9681068051177451E-2</v>
      </c>
      <c r="J37" s="40">
        <f si="11" t="shared"/>
        <v>6.1726840630803616E-2</v>
      </c>
      <c r="K37" s="40">
        <f si="12" t="shared"/>
        <v>6.5957446808510636E-2</v>
      </c>
      <c r="L37" s="40">
        <f si="13" t="shared"/>
        <v>2.4974448271946094E-2</v>
      </c>
      <c r="M37" s="42"/>
      <c r="N37" s="9" t="s">
        <v>7</v>
      </c>
      <c r="O37" s="63">
        <f si="6" t="shared"/>
        <v>0.75493914185678179</v>
      </c>
      <c r="P37" s="63"/>
      <c r="Q37" s="63" t="str">
        <f si="6" t="shared"/>
        <v>-</v>
      </c>
      <c r="R37" s="63">
        <f>IF(R24="","-",F37/L37)</f>
        <v>1.0203404639225526</v>
      </c>
      <c r="T37">
        <v>30</v>
      </c>
      <c r="U37" t="str">
        <f si="15" t="shared"/>
        <v>s3-const</v>
      </c>
      <c r="V37" s="46">
        <f>R81</f>
        <v>0.183437489649</v>
      </c>
      <c r="AA37" s="47">
        <f>SchoolCoeffcients!B45</f>
        <v>70</v>
      </c>
      <c r="AB37" s="47" t="str">
        <f>SchoolCoeffcients!C45</f>
        <v>wk-const</v>
      </c>
      <c r="AC37" s="84">
        <f>SchoolCoeffcients!E45</f>
        <v>0.60080211137799999</v>
      </c>
      <c r="AD37" s="82">
        <f si="0" t="shared"/>
        <v>0.60080211137799999</v>
      </c>
      <c r="AE37">
        <f si="1" t="shared"/>
        <v>0</v>
      </c>
    </row>
    <row r="38" spans="2:31" x14ac:dyDescent="0.25">
      <c r="B38" s="14" t="s">
        <v>8</v>
      </c>
      <c r="C38" s="54">
        <f si="7" t="shared"/>
        <v>0.75425726916470393</v>
      </c>
      <c r="D38" s="54"/>
      <c r="E38" s="54">
        <f si="8" t="shared"/>
        <v>0.67892140259743416</v>
      </c>
      <c r="F38" s="54">
        <f si="9" t="shared"/>
        <v>0.38444058836985778</v>
      </c>
      <c r="H38" s="14" t="s">
        <v>8</v>
      </c>
      <c r="I38" s="40">
        <f si="10" t="shared"/>
        <v>0.66845911366586319</v>
      </c>
      <c r="J38" s="40">
        <f si="11" t="shared"/>
        <v>0.43397651798923481</v>
      </c>
      <c r="K38" s="40">
        <f si="12" t="shared"/>
        <v>0.42245047688921494</v>
      </c>
      <c r="L38" s="40">
        <f si="13" t="shared"/>
        <v>0.39216224400953931</v>
      </c>
      <c r="M38" s="42"/>
      <c r="N38" s="14" t="s">
        <v>8</v>
      </c>
      <c r="O38" s="64">
        <f si="6" t="shared"/>
        <v>1.1283521366450064</v>
      </c>
      <c r="P38" s="64"/>
      <c r="Q38" s="64" t="str">
        <f si="6" t="shared"/>
        <v>-</v>
      </c>
      <c r="R38" s="64">
        <f si="6" t="shared"/>
        <v>0.98031004830874613</v>
      </c>
      <c r="T38">
        <v>35</v>
      </c>
      <c r="U38" t="str">
        <f si="15" t="shared"/>
        <v>s3-carsltd</v>
      </c>
      <c r="V38" s="46">
        <f>P81</f>
        <v>-0.29743268940200002</v>
      </c>
      <c r="AA38" s="47">
        <f>SchoolCoeffcients!B46</f>
        <v>77</v>
      </c>
      <c r="AB38" s="47" t="str">
        <f>SchoolCoeffcients!C46</f>
        <v>wk-nocars</v>
      </c>
      <c r="AC38" s="84">
        <f>SchoolCoeffcients!E46</f>
        <v>0.70665654187799998</v>
      </c>
      <c r="AD38" s="82">
        <f si="0" t="shared"/>
        <v>0.42553840208377441</v>
      </c>
      <c r="AE38">
        <f si="1" t="shared"/>
        <v>1</v>
      </c>
    </row>
    <row ht="15.75" r="39" spans="2:31" thickBot="1" x14ac:dyDescent="0.3">
      <c r="B39" s="66" t="s">
        <v>19</v>
      </c>
      <c r="C39" s="68">
        <f>SUM(C31:C38)</f>
        <v>1</v>
      </c>
      <c r="D39" s="68">
        <f ref="D39" si="16" t="shared">SUM(D31:D38)</f>
        <v>0</v>
      </c>
      <c r="E39" s="68">
        <f si="8" t="shared"/>
        <v>1</v>
      </c>
      <c r="F39" s="68">
        <f si="9" t="shared"/>
        <v>1</v>
      </c>
      <c r="H39" s="66" t="s">
        <v>19</v>
      </c>
      <c r="I39" s="69">
        <f>SUM(I31:I38)</f>
        <v>1</v>
      </c>
      <c r="J39" s="69">
        <f ref="J39:K39" si="17" t="shared">SUM(J31:J38)</f>
        <v>1</v>
      </c>
      <c r="K39" s="69">
        <f si="17" t="shared"/>
        <v>1</v>
      </c>
      <c r="L39" s="69">
        <f si="13" t="shared"/>
        <v>1</v>
      </c>
      <c r="M39" s="42"/>
      <c r="N39" s="39" t="s">
        <v>260</v>
      </c>
      <c r="O39" s="41"/>
      <c r="P39" s="41"/>
      <c r="Q39" s="41"/>
      <c r="R39" s="41"/>
      <c r="T39">
        <v>36</v>
      </c>
      <c r="U39" t="str">
        <f si="15" t="shared"/>
        <v>s3-nocars</v>
      </c>
      <c r="V39" s="46">
        <f>O81</f>
        <v>-0.10789744276665868</v>
      </c>
      <c r="AA39" s="47">
        <f>SchoolCoeffcients!B47</f>
        <v>78</v>
      </c>
      <c r="AB39" s="47" t="str">
        <f>SchoolCoeffcients!C47</f>
        <v>wk-carsltd</v>
      </c>
      <c r="AC39" s="84">
        <f>SchoolCoeffcients!E47</f>
        <v>3.0129279167159999</v>
      </c>
      <c r="AD39" s="82">
        <f si="0" t="shared"/>
        <v>3.0129279167159999</v>
      </c>
      <c r="AE39">
        <f si="1" t="shared"/>
        <v>0</v>
      </c>
    </row>
    <row r="40" spans="2:31" x14ac:dyDescent="0.25">
      <c r="T40">
        <v>40</v>
      </c>
      <c r="U40" t="str">
        <f ref="U40:U50" si="18" t="shared">VLOOKUP(T40,$AA$3:$AB$48,2,FALSE)</f>
        <v>s2-const</v>
      </c>
      <c r="V40" s="46">
        <f>R80</f>
        <v>-0.71956066974800004</v>
      </c>
      <c r="AA40" s="47">
        <f>SchoolCoeffcients!B48</f>
        <v>79</v>
      </c>
      <c r="AB40" s="47" t="str">
        <f>SchoolCoeffcients!C48</f>
        <v>wk-univtr</v>
      </c>
      <c r="AC40" s="84">
        <f>SchoolCoeffcients!E48</f>
        <v>-7.3790000000000001E-3</v>
      </c>
      <c r="AD40" s="82">
        <f si="0" t="shared"/>
        <v>-7.3790000000000001E-3</v>
      </c>
      <c r="AE40">
        <f si="1" t="shared"/>
        <v>0</v>
      </c>
    </row>
    <row r="41" spans="2:31" x14ac:dyDescent="0.25">
      <c r="T41">
        <v>41</v>
      </c>
      <c r="U41" t="str">
        <f si="18" t="shared"/>
        <v>sr-nocars</v>
      </c>
      <c r="V41" s="46">
        <f>O80</f>
        <v>-2.0160516958274628</v>
      </c>
      <c r="Y41" s="41"/>
      <c r="AA41" s="47">
        <f>SchoolCoeffcients!B49</f>
        <v>122</v>
      </c>
      <c r="AB41" s="47" t="str">
        <f>SchoolCoeffcients!C49</f>
        <v>tr-ologts</v>
      </c>
      <c r="AC41" s="84">
        <f>SchoolCoeffcients!E49</f>
        <v>0.41910900000000001</v>
      </c>
      <c r="AD41" s="82">
        <f si="0" t="shared"/>
        <v>0.41910900000000001</v>
      </c>
      <c r="AE41">
        <f si="1" t="shared"/>
        <v>0</v>
      </c>
    </row>
    <row ht="15.75" r="42" spans="2:31" thickBot="1" x14ac:dyDescent="0.3">
      <c r="N42" s="36" t="s">
        <v>257</v>
      </c>
      <c r="T42">
        <v>42</v>
      </c>
      <c r="U42" t="str">
        <f si="18" t="shared"/>
        <v>s2-carsltd</v>
      </c>
      <c r="V42" s="46">
        <f>P80</f>
        <v>-0.12690086735600001</v>
      </c>
      <c r="Y42" s="41"/>
      <c r="AA42" s="47">
        <f>SchoolCoeffcients!B50</f>
        <v>129</v>
      </c>
      <c r="AB42" s="47" t="str">
        <f>SchoolCoeffcients!C50</f>
        <v>tr-dmixed</v>
      </c>
      <c r="AC42" s="84">
        <f>SchoolCoeffcients!E50</f>
        <v>2.5894919999999999</v>
      </c>
      <c r="AD42" s="82">
        <f si="0" t="shared"/>
        <v>2.5894919999999999</v>
      </c>
      <c r="AE42">
        <f si="1" t="shared"/>
        <v>0</v>
      </c>
    </row>
    <row r="43" spans="2:31" x14ac:dyDescent="0.25">
      <c r="I43" s="116"/>
      <c r="N43" s="59" t="s">
        <v>0</v>
      </c>
      <c r="O43" s="60" t="s">
        <v>239</v>
      </c>
      <c r="P43" s="60" t="s">
        <v>234</v>
      </c>
      <c r="Q43" s="60" t="s">
        <v>237</v>
      </c>
      <c r="R43" s="60" t="s">
        <v>240</v>
      </c>
      <c r="T43">
        <v>50</v>
      </c>
      <c r="U43" t="str">
        <f si="18" t="shared"/>
        <v>da-const</v>
      </c>
      <c r="V43" s="46">
        <f>R79</f>
        <v>2.0242015533569999</v>
      </c>
      <c r="Y43" s="41"/>
      <c r="AA43" s="47">
        <f>SchoolCoeffcients!B51</f>
        <v>131</v>
      </c>
      <c r="AB43" s="47" t="str">
        <f>SchoolCoeffcients!C51</f>
        <v>da-escsptr</v>
      </c>
      <c r="AC43" s="84">
        <f>SchoolCoeffcients!E51</f>
        <v>-1.7837479999999999</v>
      </c>
      <c r="AD43" s="82">
        <f si="0" t="shared"/>
        <v>-1.7837479999999999</v>
      </c>
      <c r="AE43">
        <f si="1" t="shared"/>
        <v>0</v>
      </c>
    </row>
    <row r="44" spans="2:31" x14ac:dyDescent="0.25">
      <c r="B44" s="41"/>
      <c r="C44" s="41"/>
      <c r="D44" s="41"/>
      <c r="E44" s="41"/>
      <c r="N44" s="9" t="s">
        <v>1</v>
      </c>
      <c r="O44" s="76" t="str">
        <f ref="O44:R51" si="19" t="shared">IF(O18="","-",IF(O31&gt;0,LN(O31),0))</f>
        <v>-</v>
      </c>
      <c r="P44" s="76">
        <f si="19" t="shared"/>
        <v>0</v>
      </c>
      <c r="Q44" s="76" t="str">
        <f si="19" t="shared"/>
        <v>-</v>
      </c>
      <c r="R44" s="76">
        <f si="19" t="shared"/>
        <v>9.8917563660447187E-3</v>
      </c>
      <c r="T44">
        <v>52</v>
      </c>
      <c r="U44" t="str">
        <f si="18" t="shared"/>
        <v>da-carsltd</v>
      </c>
      <c r="V44" s="46">
        <f>P79</f>
        <v>-1.3029204471110001</v>
      </c>
      <c r="Y44" s="41"/>
      <c r="AA44" s="47">
        <f>SchoolCoeffcients!B52</f>
        <v>132</v>
      </c>
      <c r="AB44" s="47" t="str">
        <f>SchoolCoeffcients!C52</f>
        <v>da-othsptr</v>
      </c>
      <c r="AC44" s="84">
        <f>SchoolCoeffcients!E52</f>
        <v>0.219607</v>
      </c>
      <c r="AD44" s="82">
        <f si="0" t="shared"/>
        <v>0.219607</v>
      </c>
      <c r="AE44">
        <f si="1" t="shared"/>
        <v>0</v>
      </c>
    </row>
    <row r="45" spans="2:31" x14ac:dyDescent="0.25">
      <c r="B45" s="70"/>
      <c r="C45" s="41"/>
      <c r="D45" s="41"/>
      <c r="E45" s="41"/>
      <c r="N45" s="9" t="s">
        <v>2</v>
      </c>
      <c r="O45" s="77">
        <f si="19" t="shared"/>
        <v>0.19680461009353709</v>
      </c>
      <c r="P45" s="77">
        <f si="19" t="shared"/>
        <v>0</v>
      </c>
      <c r="Q45" s="77" t="str">
        <f si="19" t="shared"/>
        <v>-</v>
      </c>
      <c r="R45" s="77">
        <f si="19" t="shared"/>
        <v>1.6079278501919404E-2</v>
      </c>
      <c r="T45" s="41">
        <v>60</v>
      </c>
      <c r="U45" s="41" t="str">
        <f si="18" t="shared"/>
        <v>bi-const</v>
      </c>
      <c r="V45" s="90">
        <f>R84</f>
        <v>-4.8840106139459998</v>
      </c>
      <c r="Y45" s="41"/>
      <c r="AA45" s="47">
        <f>SchoolCoeffcients!B53</f>
        <v>133</v>
      </c>
      <c r="AB45" s="47" t="str">
        <f>SchoolCoeffcients!C53</f>
        <v>sr-escsptr</v>
      </c>
      <c r="AC45" s="84">
        <f>SchoolCoeffcients!E53</f>
        <v>1.288421</v>
      </c>
      <c r="AD45" s="82">
        <f si="0" t="shared"/>
        <v>1.288421</v>
      </c>
      <c r="AE45">
        <f ref="AE45:AE47" si="20" t="shared">IF(AC45=AD45,0,1)</f>
        <v>0</v>
      </c>
    </row>
    <row r="46" spans="2:31" x14ac:dyDescent="0.25">
      <c r="B46" s="41"/>
      <c r="C46" s="88"/>
      <c r="D46" s="88"/>
      <c r="E46" s="88"/>
      <c r="N46" s="9" t="s">
        <v>3</v>
      </c>
      <c r="O46" s="77">
        <f si="19" t="shared"/>
        <v>0.18729054643487841</v>
      </c>
      <c r="P46" s="77">
        <f si="19" t="shared"/>
        <v>0</v>
      </c>
      <c r="Q46" s="77" t="str">
        <f si="19" t="shared"/>
        <v>-</v>
      </c>
      <c r="R46" s="77">
        <f si="19" t="shared"/>
        <v>1.5584611511943815E-2</v>
      </c>
      <c r="T46" s="127">
        <v>67</v>
      </c>
      <c r="U46" s="127" t="str">
        <f si="18" t="shared"/>
        <v>bi-nocars</v>
      </c>
      <c r="V46" s="90">
        <f>O84</f>
        <v>-0.30208149897929226</v>
      </c>
      <c r="Y46" s="41"/>
      <c r="AA46" s="47">
        <f>SchoolCoeffcients!B54</f>
        <v>134</v>
      </c>
      <c r="AB46" s="47" t="str">
        <f>SchoolCoeffcients!C54</f>
        <v>sr-othsptr</v>
      </c>
      <c r="AC46" s="84">
        <f>SchoolCoeffcients!E54</f>
        <v>0.221358</v>
      </c>
      <c r="AD46" s="82">
        <f si="0" t="shared"/>
        <v>0.221358</v>
      </c>
      <c r="AE46">
        <f si="20" t="shared"/>
        <v>0</v>
      </c>
    </row>
    <row r="47" spans="2:31" x14ac:dyDescent="0.25">
      <c r="B47" s="12"/>
      <c r="C47" s="55"/>
      <c r="D47" s="55"/>
      <c r="E47" s="55"/>
      <c r="N47" s="9" t="s">
        <v>4</v>
      </c>
      <c r="O47" s="77" t="str">
        <f si="19" t="shared"/>
        <v>-</v>
      </c>
      <c r="P47" s="77" t="str">
        <f si="19" t="shared"/>
        <v>-</v>
      </c>
      <c r="Q47" s="77" t="str">
        <f si="19" t="shared"/>
        <v>-</v>
      </c>
      <c r="R47" s="77" t="str">
        <f si="19" t="shared"/>
        <v>-</v>
      </c>
      <c r="T47" s="127">
        <v>68</v>
      </c>
      <c r="U47" s="127" t="str">
        <f si="18" t="shared"/>
        <v>bi-carsltd</v>
      </c>
      <c r="V47" s="90">
        <f>P84</f>
        <v>1.1077283945259999</v>
      </c>
      <c r="Y47" s="41"/>
      <c r="AA47" s="47">
        <f>SchoolCoeffcients!B55</f>
        <v>161</v>
      </c>
      <c r="AB47" s="47" t="str">
        <f>SchoolCoeffcients!C55</f>
        <v>bi-class1</v>
      </c>
      <c r="AC47" s="84">
        <f>SchoolCoeffcients!E55</f>
        <v>1.0776410000000001</v>
      </c>
      <c r="AD47" s="82">
        <f si="0" t="shared"/>
        <v>1.0776410000000001</v>
      </c>
      <c r="AE47">
        <f si="20" t="shared"/>
        <v>0</v>
      </c>
    </row>
    <row r="48" spans="2:31" x14ac:dyDescent="0.25">
      <c r="B48" s="12"/>
      <c r="C48" s="55"/>
      <c r="D48" s="55"/>
      <c r="E48" s="55"/>
      <c r="N48" s="9" t="s">
        <v>5</v>
      </c>
      <c r="O48" s="77">
        <f si="19" t="shared"/>
        <v>-0.86374472643326428</v>
      </c>
      <c r="P48" s="77">
        <f si="19" t="shared"/>
        <v>0</v>
      </c>
      <c r="Q48" s="77" t="str">
        <f si="19" t="shared"/>
        <v>-</v>
      </c>
      <c r="R48" s="77">
        <f si="19" t="shared"/>
        <v>-0.20710489985823258</v>
      </c>
      <c r="T48" s="127">
        <v>70</v>
      </c>
      <c r="U48" s="127" t="str">
        <f si="18" t="shared"/>
        <v>wk-const</v>
      </c>
      <c r="V48" s="90">
        <f>R85</f>
        <v>0.60080211137799999</v>
      </c>
      <c r="Y48" s="41"/>
      <c r="AA48" s="47">
        <f>SchoolCoeffcients!B56</f>
        <v>162</v>
      </c>
      <c r="AB48" s="47" t="str">
        <f>SchoolCoeffcients!C56</f>
        <v>bi-class2</v>
      </c>
      <c r="AC48" s="84">
        <f>SchoolCoeffcients!E56</f>
        <v>0.88180499999999995</v>
      </c>
      <c r="AD48" s="82">
        <f si="0" t="shared"/>
        <v>0.88180499999999995</v>
      </c>
      <c r="AE48">
        <f ref="AE48:AE54" si="21" t="shared">IF(AC48=AD48,0,1)</f>
        <v>0</v>
      </c>
    </row>
    <row r="49" spans="2:31" x14ac:dyDescent="0.25">
      <c r="B49" s="12"/>
      <c r="C49" s="55"/>
      <c r="D49" s="55"/>
      <c r="E49" s="55"/>
      <c r="N49" s="9" t="s">
        <v>6</v>
      </c>
      <c r="O49" s="77">
        <f si="19" t="shared"/>
        <v>8.7658513968707746E-2</v>
      </c>
      <c r="P49" s="77">
        <f si="19" t="shared"/>
        <v>0</v>
      </c>
      <c r="Q49" s="77" t="str">
        <f si="19" t="shared"/>
        <v>-</v>
      </c>
      <c r="R49" s="77">
        <f si="19" t="shared"/>
        <v>-2.0496923965241148E-2</v>
      </c>
      <c r="T49" s="127">
        <v>77</v>
      </c>
      <c r="U49" s="127" t="str">
        <f si="18" t="shared"/>
        <v>wk-nocars</v>
      </c>
      <c r="V49" s="90">
        <f>O85</f>
        <v>0.42553840208377441</v>
      </c>
      <c r="Y49" s="41"/>
      <c r="AA49" s="47">
        <f>SchoolCoeffcients!B57</f>
        <v>163</v>
      </c>
      <c r="AB49" s="47" t="str">
        <f>SchoolCoeffcients!C57</f>
        <v>bi-gauntl</v>
      </c>
      <c r="AC49" s="84">
        <f>SchoolCoeffcients!E57</f>
        <v>-1.1532750000000001</v>
      </c>
      <c r="AD49" s="82">
        <f si="0" t="shared"/>
        <v>-1.1532750000000001</v>
      </c>
      <c r="AE49">
        <f si="21" t="shared"/>
        <v>0</v>
      </c>
    </row>
    <row ht="15.75" r="50" spans="2:31" thickBot="1" x14ac:dyDescent="0.3">
      <c r="B50" s="12"/>
      <c r="C50" s="55"/>
      <c r="D50" s="55"/>
      <c r="E50" s="55"/>
      <c r="N50" s="9" t="s">
        <v>7</v>
      </c>
      <c r="O50" s="77">
        <f si="19" t="shared"/>
        <v>-0.28111813979422556</v>
      </c>
      <c r="P50" s="77">
        <f si="19" t="shared"/>
        <v>0</v>
      </c>
      <c r="Q50" s="77" t="str">
        <f si="19" t="shared"/>
        <v>-</v>
      </c>
      <c r="R50" s="77">
        <f si="19" t="shared"/>
        <v>2.0136359760670543E-2</v>
      </c>
      <c r="T50" s="128">
        <v>78</v>
      </c>
      <c r="U50" s="128" t="str">
        <f si="18" t="shared"/>
        <v>wk-carsltd</v>
      </c>
      <c r="V50" s="126">
        <f>P85</f>
        <v>3.0129279167159999</v>
      </c>
      <c r="Y50" s="41"/>
      <c r="AA50" s="47">
        <f>SchoolCoeffcients!B58</f>
        <v>164</v>
      </c>
      <c r="AB50" s="47" t="str">
        <f>SchoolCoeffcients!C58</f>
        <v>bi-omixed</v>
      </c>
      <c r="AC50" s="84">
        <f>SchoolCoeffcients!E58</f>
        <v>0.935832</v>
      </c>
      <c r="AD50" s="82">
        <f si="0" t="shared"/>
        <v>0.935832</v>
      </c>
      <c r="AE50">
        <f si="21" t="shared"/>
        <v>0</v>
      </c>
    </row>
    <row r="51" spans="2:31" x14ac:dyDescent="0.25">
      <c r="B51" s="12"/>
      <c r="C51" s="55"/>
      <c r="D51" s="55"/>
      <c r="E51" s="55"/>
      <c r="N51" s="14" t="s">
        <v>8</v>
      </c>
      <c r="O51" s="78">
        <f si="19" t="shared"/>
        <v>0.12075828223527127</v>
      </c>
      <c r="P51" s="78">
        <f si="19" t="shared"/>
        <v>0</v>
      </c>
      <c r="Q51" s="78" t="str">
        <f si="19" t="shared"/>
        <v>-</v>
      </c>
      <c r="R51" s="78">
        <f si="19" t="shared"/>
        <v>-1.9886381528546465E-2</v>
      </c>
      <c r="Y51" s="41"/>
      <c r="AA51" s="47">
        <f>SchoolCoeffcients!B59</f>
        <v>168</v>
      </c>
      <c r="AB51" s="47" t="str">
        <f>SchoolCoeffcients!C59</f>
        <v>bi-dempdn</v>
      </c>
      <c r="AC51" s="84">
        <f>SchoolCoeffcients!E59</f>
        <v>1.7699999999999999E-4</v>
      </c>
      <c r="AD51" s="82">
        <f si="0" t="shared"/>
        <v>1.7699999999999999E-4</v>
      </c>
      <c r="AE51">
        <f si="21" t="shared"/>
        <v>0</v>
      </c>
    </row>
    <row r="52" spans="2:31" x14ac:dyDescent="0.25">
      <c r="B52" s="12"/>
      <c r="C52" s="55"/>
      <c r="D52" s="55"/>
      <c r="E52" s="55"/>
      <c r="N52" s="41"/>
      <c r="O52" s="41"/>
      <c r="P52" s="41"/>
      <c r="Q52" s="41"/>
      <c r="R52" s="41"/>
      <c r="AA52" s="47">
        <f>SchoolCoeffcients!B60</f>
        <v>169</v>
      </c>
      <c r="AB52" s="47" t="str">
        <f>SchoolCoeffcients!C60</f>
        <v>bi-dmixed</v>
      </c>
      <c r="AC52" s="84">
        <f>SchoolCoeffcients!E60</f>
        <v>0.21170900000000001</v>
      </c>
      <c r="AD52" s="82">
        <f si="0" t="shared"/>
        <v>0.21170900000000001</v>
      </c>
      <c r="AE52">
        <f si="21" t="shared"/>
        <v>0</v>
      </c>
    </row>
    <row r="53" spans="2:31" x14ac:dyDescent="0.25">
      <c r="B53" s="12"/>
      <c r="C53" s="55"/>
      <c r="D53" s="55"/>
      <c r="E53" s="55"/>
      <c r="P53" t="s">
        <v>246</v>
      </c>
      <c r="Q53" s="47"/>
      <c r="AA53" s="47">
        <f>SchoolCoeffcients!B61</f>
        <v>179</v>
      </c>
      <c r="AB53" s="47" t="str">
        <f>SchoolCoeffcients!C61</f>
        <v>wk-dmixed</v>
      </c>
      <c r="AC53" s="84">
        <f>SchoolCoeffcients!E61</f>
        <v>0.187281</v>
      </c>
      <c r="AD53" s="82">
        <f si="0" t="shared"/>
        <v>0.187281</v>
      </c>
      <c r="AE53">
        <f si="21" t="shared"/>
        <v>0</v>
      </c>
    </row>
    <row ht="15.75" r="54" spans="2:31" thickBot="1" x14ac:dyDescent="0.3">
      <c r="B54" s="39"/>
      <c r="C54" s="41"/>
      <c r="D54" s="41"/>
      <c r="E54" s="41"/>
      <c r="N54" s="36" t="s">
        <v>198</v>
      </c>
      <c r="O54" s="79">
        <v>1</v>
      </c>
      <c r="P54" s="79">
        <v>0</v>
      </c>
      <c r="Q54" s="79">
        <v>1</v>
      </c>
      <c r="R54" s="79">
        <v>0</v>
      </c>
      <c r="AA54" s="47">
        <f>SchoolCoeffcients!B62</f>
        <v>99</v>
      </c>
      <c r="AB54" s="47" t="str">
        <f>SchoolCoeffcients!C62</f>
        <v>modenest</v>
      </c>
      <c r="AC54" s="84">
        <f>SchoolCoeffcients!E62</f>
        <v>1</v>
      </c>
      <c r="AD54" s="82">
        <f si="0" t="shared"/>
        <v>1</v>
      </c>
      <c r="AE54">
        <f si="21" t="shared"/>
        <v>0</v>
      </c>
    </row>
    <row r="55" spans="2:31" x14ac:dyDescent="0.25">
      <c r="B55" s="70"/>
      <c r="C55" s="41"/>
      <c r="D55" s="41"/>
      <c r="E55" s="41"/>
      <c r="N55" s="2" t="s">
        <v>0</v>
      </c>
      <c r="O55" s="60" t="str">
        <f>O43</f>
        <v>nocars</v>
      </c>
      <c r="P55" s="60" t="str">
        <f>P43</f>
        <v>cars &lt; adults</v>
      </c>
      <c r="Q55" s="60" t="str">
        <f>Q43</f>
        <v>cars &lt; workers</v>
      </c>
      <c r="R55" s="60" t="str">
        <f>R43</f>
        <v>constant</v>
      </c>
      <c r="AA55" s="47">
        <f>SchoolCoeffcients!B63</f>
        <v>-1</v>
      </c>
      <c r="AB55" s="47"/>
      <c r="AC55" s="84"/>
      <c r="AD55" s="84"/>
      <c r="AE55" s="47"/>
    </row>
    <row r="56" spans="2:31" x14ac:dyDescent="0.25">
      <c r="B56" s="41"/>
      <c r="C56" s="88"/>
      <c r="D56" s="88"/>
      <c r="E56" s="88"/>
      <c r="N56" s="9" t="s">
        <v>1</v>
      </c>
      <c r="O56" s="72" t="str">
        <f>IF(O18="","-",IF($R18="",$O$54*O44,$O$54*(O44)))</f>
        <v>-</v>
      </c>
      <c r="P56" s="72">
        <f>IF(P18="","-",IF($R18="",$P$54*P44,$P$54*(P44)))</f>
        <v>0</v>
      </c>
      <c r="Q56" s="73" t="str">
        <f>IF(Q18="","-",IF($R18="",$Q$54*Q44,$Q$54*(Q44)))</f>
        <v>-</v>
      </c>
      <c r="R56" s="72">
        <f ref="R56:R63" si="22" t="shared">IF(R18="","-",$R$54*R44)</f>
        <v>0</v>
      </c>
      <c r="AA56" s="47"/>
      <c r="AB56" s="47"/>
      <c r="AC56" s="84"/>
    </row>
    <row r="57" spans="2:31" x14ac:dyDescent="0.25">
      <c r="B57" s="12"/>
      <c r="C57" s="55"/>
      <c r="D57" s="55"/>
      <c r="E57" s="55"/>
      <c r="N57" s="9" t="s">
        <v>2</v>
      </c>
      <c r="O57" s="73">
        <f>IF(O19="","-",IF($R19="",$O$54*O45,$O$54*(O45)))</f>
        <v>0.19680461009353709</v>
      </c>
      <c r="P57" s="73">
        <f>IF(P19="","-",IF($R19="",$P$54*P45,$P$54*(P45)))</f>
        <v>0</v>
      </c>
      <c r="Q57" s="73" t="str">
        <f ref="Q57:Q63" si="23" t="shared">IF(Q19="","-",IF($R19="",$Q$54*Q45,$Q$54*(Q45)))</f>
        <v>-</v>
      </c>
      <c r="R57" s="73">
        <f si="22" t="shared"/>
        <v>0</v>
      </c>
      <c r="AA57" s="47"/>
      <c r="AB57" s="47"/>
      <c r="AC57" s="84"/>
    </row>
    <row r="58" spans="2:31" x14ac:dyDescent="0.25">
      <c r="B58" s="12"/>
      <c r="C58" s="71"/>
      <c r="D58" s="71"/>
      <c r="E58" s="71"/>
      <c r="N58" s="9" t="s">
        <v>3</v>
      </c>
      <c r="O58" s="87">
        <f>IF(O20="","-",IF($R20="",$O$54*O46,$O$54*(O46-O57)))</f>
        <v>-9.5140636586586724E-3</v>
      </c>
      <c r="P58" s="91">
        <f>IF(P20="","-",IF($R20="",$P$54*P46,$P$54*(P46)))</f>
        <v>0</v>
      </c>
      <c r="Q58" s="73" t="str">
        <f si="23" t="shared"/>
        <v>-</v>
      </c>
      <c r="R58" s="73">
        <f si="22" t="shared"/>
        <v>0</v>
      </c>
      <c r="AA58" s="47"/>
      <c r="AB58" s="47"/>
      <c r="AC58" s="84"/>
    </row>
    <row r="59" spans="2:31" x14ac:dyDescent="0.25">
      <c r="B59" s="12"/>
      <c r="C59" s="71"/>
      <c r="D59" s="71"/>
      <c r="E59" s="71"/>
      <c r="N59" s="9" t="s">
        <v>4</v>
      </c>
      <c r="O59" s="72" t="str">
        <f>IF(O21="","-",IF($R21="",$O$54*O47,$O$54*(O47)))</f>
        <v>-</v>
      </c>
      <c r="P59" s="72" t="str">
        <f>IF(P21="","-",IF($R21="",$P$54*P47,$P$54*(P47)))</f>
        <v>-</v>
      </c>
      <c r="Q59" s="73" t="str">
        <f si="23" t="shared"/>
        <v>-</v>
      </c>
      <c r="R59" s="73" t="str">
        <f si="22" t="shared"/>
        <v>-</v>
      </c>
      <c r="AA59" s="47"/>
      <c r="AB59" s="47"/>
      <c r="AC59" s="84"/>
    </row>
    <row r="60" spans="2:31" x14ac:dyDescent="0.25">
      <c r="B60" s="12"/>
      <c r="C60" s="55"/>
      <c r="D60" s="55"/>
      <c r="E60" s="55"/>
      <c r="N60" s="9" t="s">
        <v>5</v>
      </c>
      <c r="O60" s="73">
        <f ref="O60:O63" si="24" t="shared">IF(O22="","-",IF($R22="",$O$54*O48,$O$54*(O48)))</f>
        <v>-0.86374472643326428</v>
      </c>
      <c r="P60" s="73">
        <f ref="P60:P63" si="25" t="shared">IF(P22="","-",IF($R22="",$P$54*P48,$P$54*(P48)))</f>
        <v>0</v>
      </c>
      <c r="Q60" s="73" t="str">
        <f si="23" t="shared"/>
        <v>-</v>
      </c>
      <c r="R60" s="73">
        <f si="22" t="shared"/>
        <v>0</v>
      </c>
      <c r="AA60" s="47"/>
      <c r="AB60" s="47"/>
      <c r="AC60" s="84"/>
    </row>
    <row r="61" spans="2:31" x14ac:dyDescent="0.25">
      <c r="B61" s="12"/>
      <c r="C61" s="55"/>
      <c r="D61" s="55"/>
      <c r="E61" s="55"/>
      <c r="N61" s="9" t="s">
        <v>6</v>
      </c>
      <c r="O61" s="73">
        <f si="24" t="shared"/>
        <v>8.7658513968707746E-2</v>
      </c>
      <c r="P61" s="73">
        <f si="25" t="shared"/>
        <v>0</v>
      </c>
      <c r="Q61" s="73" t="str">
        <f si="23" t="shared"/>
        <v>-</v>
      </c>
      <c r="R61" s="73">
        <f si="22" t="shared"/>
        <v>0</v>
      </c>
    </row>
    <row r="62" spans="2:31" x14ac:dyDescent="0.25">
      <c r="B62" s="12"/>
      <c r="C62" s="55"/>
      <c r="D62" s="55"/>
      <c r="E62" s="55"/>
      <c r="N62" s="9" t="s">
        <v>7</v>
      </c>
      <c r="O62" s="73">
        <f si="24" t="shared"/>
        <v>-0.28111813979422556</v>
      </c>
      <c r="P62" s="73">
        <f si="25" t="shared"/>
        <v>0</v>
      </c>
      <c r="Q62" s="73" t="str">
        <f si="23" t="shared"/>
        <v>-</v>
      </c>
      <c r="R62" s="73">
        <f si="22" t="shared"/>
        <v>0</v>
      </c>
    </row>
    <row r="63" spans="2:31" x14ac:dyDescent="0.25">
      <c r="B63" s="12"/>
      <c r="C63" s="55"/>
      <c r="D63" s="55"/>
      <c r="E63" s="55"/>
      <c r="N63" s="14" t="s">
        <v>8</v>
      </c>
      <c r="O63" s="74">
        <f si="24" t="shared"/>
        <v>0.12075828223527127</v>
      </c>
      <c r="P63" s="74">
        <f si="25" t="shared"/>
        <v>0</v>
      </c>
      <c r="Q63" s="74" t="str">
        <f si="23" t="shared"/>
        <v>-</v>
      </c>
      <c r="R63" s="74">
        <f si="22" t="shared"/>
        <v>0</v>
      </c>
      <c r="S63" s="41"/>
    </row>
    <row r="64" spans="2:31" x14ac:dyDescent="0.25">
      <c r="B64" s="12"/>
      <c r="C64" s="55"/>
      <c r="D64" s="55"/>
      <c r="E64" s="55"/>
      <c r="N64" s="39" t="s">
        <v>261</v>
      </c>
    </row>
    <row r="65" spans="2:18" x14ac:dyDescent="0.25">
      <c r="B65" s="12"/>
      <c r="C65" s="55"/>
      <c r="D65" s="55"/>
      <c r="E65" s="55"/>
    </row>
    <row ht="15.75" r="66" spans="2:18" thickBot="1" x14ac:dyDescent="0.3">
      <c r="B66" s="41"/>
      <c r="C66" s="41"/>
      <c r="D66" s="41"/>
      <c r="E66" s="41"/>
      <c r="N66" s="57" t="s">
        <v>199</v>
      </c>
      <c r="O66" s="41"/>
      <c r="P66" s="41"/>
      <c r="Q66" s="41"/>
      <c r="R66" s="41"/>
    </row>
    <row r="67" spans="2:18" x14ac:dyDescent="0.25">
      <c r="B67" s="70"/>
      <c r="C67" s="41"/>
      <c r="D67" s="41"/>
      <c r="E67" s="41"/>
      <c r="N67" s="2" t="s">
        <v>0</v>
      </c>
      <c r="O67" s="60" t="str">
        <f>O43</f>
        <v>nocars</v>
      </c>
      <c r="P67" s="60" t="str">
        <f>P43</f>
        <v>cars &lt; adults</v>
      </c>
      <c r="Q67" s="60" t="str">
        <f>Q43</f>
        <v>cars &lt; workers</v>
      </c>
      <c r="R67" s="60" t="str">
        <f>R43</f>
        <v>constant</v>
      </c>
    </row>
    <row r="68" spans="2:18" x14ac:dyDescent="0.25">
      <c r="B68" s="41"/>
      <c r="C68" s="88"/>
      <c r="D68" s="88"/>
      <c r="E68" s="88"/>
      <c r="N68" s="9" t="s">
        <v>1</v>
      </c>
      <c r="O68" s="72" t="str">
        <f ref="O68:R75" si="26" t="shared">IFERROR(VLOOKUP(O18,$AA$3:$AC$48,3,FALSE),"-")</f>
        <v>-</v>
      </c>
      <c r="P68" s="72">
        <f si="26" t="shared"/>
        <v>-1.3029204471110001</v>
      </c>
      <c r="Q68" s="72" t="str">
        <f si="26" t="shared"/>
        <v>-</v>
      </c>
      <c r="R68" s="72">
        <f si="26" t="shared"/>
        <v>2.0242015533569999</v>
      </c>
    </row>
    <row r="69" spans="2:18" x14ac:dyDescent="0.25">
      <c r="B69" s="12"/>
      <c r="C69" s="55"/>
      <c r="D69" s="55"/>
      <c r="E69" s="55"/>
      <c r="N69" s="9" t="s">
        <v>2</v>
      </c>
      <c r="O69" s="73">
        <f si="26" t="shared"/>
        <v>-2.212856305921</v>
      </c>
      <c r="P69" s="73">
        <f si="26" t="shared"/>
        <v>-0.12690086735600001</v>
      </c>
      <c r="Q69" s="73" t="str">
        <f si="26" t="shared"/>
        <v>-</v>
      </c>
      <c r="R69" s="73">
        <f si="26" t="shared"/>
        <v>-0.71956066974800004</v>
      </c>
    </row>
    <row r="70" spans="2:18" x14ac:dyDescent="0.25">
      <c r="B70" s="12"/>
      <c r="C70" s="71"/>
      <c r="D70" s="55"/>
      <c r="E70" s="55"/>
      <c r="N70" s="9" t="s">
        <v>3</v>
      </c>
      <c r="O70" s="73">
        <f si="26" t="shared"/>
        <v>-9.8383379108000005E-2</v>
      </c>
      <c r="P70" s="73">
        <f si="26" t="shared"/>
        <v>-0.29743268940200002</v>
      </c>
      <c r="Q70" s="73" t="str">
        <f si="26" t="shared"/>
        <v>-</v>
      </c>
      <c r="R70" s="73">
        <f si="26" t="shared"/>
        <v>0.183437489649</v>
      </c>
    </row>
    <row r="71" spans="2:18" x14ac:dyDescent="0.25">
      <c r="B71" s="12"/>
      <c r="C71" s="71"/>
      <c r="D71" s="55"/>
      <c r="E71" s="55"/>
      <c r="N71" s="9" t="s">
        <v>4</v>
      </c>
      <c r="O71" s="73" t="str">
        <f si="26" t="shared"/>
        <v>-</v>
      </c>
      <c r="P71" s="73" t="str">
        <f si="26" t="shared"/>
        <v>-</v>
      </c>
      <c r="Q71" s="73" t="str">
        <f si="26" t="shared"/>
        <v>-</v>
      </c>
      <c r="R71" s="73" t="str">
        <f si="26" t="shared"/>
        <v>-</v>
      </c>
    </row>
    <row r="72" spans="2:18" x14ac:dyDescent="0.25">
      <c r="B72" s="12"/>
      <c r="C72" s="55"/>
      <c r="D72" s="55"/>
      <c r="E72" s="55"/>
      <c r="N72" s="9" t="s">
        <v>5</v>
      </c>
      <c r="O72" s="73">
        <f si="26" t="shared"/>
        <v>2.3573768940169999</v>
      </c>
      <c r="P72" s="73">
        <f si="26" t="shared"/>
        <v>-0.53922482139799999</v>
      </c>
      <c r="Q72" s="73" t="str">
        <f si="26" t="shared"/>
        <v>-</v>
      </c>
      <c r="R72" s="73">
        <f si="26" t="shared"/>
        <v>-3.098654636474</v>
      </c>
    </row>
    <row r="73" spans="2:18" x14ac:dyDescent="0.25">
      <c r="B73" s="12"/>
      <c r="C73" s="55"/>
      <c r="D73" s="55"/>
      <c r="E73" s="55"/>
      <c r="N73" s="9" t="s">
        <v>6</v>
      </c>
      <c r="O73" s="73">
        <f si="26" t="shared"/>
        <v>-0.38974001294799998</v>
      </c>
      <c r="P73" s="73">
        <f si="26" t="shared"/>
        <v>1.1077283945259999</v>
      </c>
      <c r="Q73" s="73" t="str">
        <f si="26" t="shared"/>
        <v>-</v>
      </c>
      <c r="R73" s="73">
        <f si="26" t="shared"/>
        <v>-4.8840106139459998</v>
      </c>
    </row>
    <row r="74" spans="2:18" x14ac:dyDescent="0.25">
      <c r="B74" s="12"/>
      <c r="C74" s="55"/>
      <c r="D74" s="55"/>
      <c r="E74" s="55"/>
      <c r="N74" s="9" t="s">
        <v>7</v>
      </c>
      <c r="O74" s="73">
        <f si="26" t="shared"/>
        <v>0.70665654187799998</v>
      </c>
      <c r="P74" s="73">
        <f si="26" t="shared"/>
        <v>3.0129279167159999</v>
      </c>
      <c r="Q74" s="73" t="str">
        <f si="26" t="shared"/>
        <v>-</v>
      </c>
      <c r="R74" s="73">
        <f si="26" t="shared"/>
        <v>0.60080211137799999</v>
      </c>
    </row>
    <row r="75" spans="2:18" x14ac:dyDescent="0.25">
      <c r="B75" s="12"/>
      <c r="C75" s="55"/>
      <c r="D75" s="55"/>
      <c r="E75" s="55"/>
      <c r="N75" s="14" t="s">
        <v>8</v>
      </c>
      <c r="O75" s="74">
        <f si="26" t="shared"/>
        <v>-0.10158980018200001</v>
      </c>
      <c r="P75" s="74">
        <f si="26" t="shared"/>
        <v>0.136483612798</v>
      </c>
      <c r="Q75" s="74" t="str">
        <f si="26" t="shared"/>
        <v>-</v>
      </c>
      <c r="R75" s="74">
        <f si="26" t="shared"/>
        <v>0.28251668607199998</v>
      </c>
    </row>
    <row r="76" spans="2:18" x14ac:dyDescent="0.25">
      <c r="B76" s="12"/>
      <c r="C76" s="55"/>
      <c r="D76" s="55"/>
      <c r="E76" s="55"/>
      <c r="N76" s="41"/>
      <c r="O76" s="41"/>
      <c r="P76" s="41"/>
      <c r="Q76" s="41"/>
      <c r="R76" s="41"/>
    </row>
    <row ht="15.75" r="77" spans="2:18" thickBot="1" x14ac:dyDescent="0.3">
      <c r="B77" s="39"/>
      <c r="C77" s="41"/>
      <c r="D77" s="41"/>
      <c r="E77" s="41"/>
      <c r="H77" s="61" t="s">
        <v>223</v>
      </c>
      <c r="N77" s="57" t="s">
        <v>200</v>
      </c>
    </row>
    <row r="78" spans="2:18" x14ac:dyDescent="0.25">
      <c r="B78" s="41"/>
      <c r="C78" s="41"/>
      <c r="D78" s="41"/>
      <c r="E78" s="41"/>
      <c r="H78" s="59" t="s">
        <v>0</v>
      </c>
      <c r="I78" s="60" t="s">
        <v>239</v>
      </c>
      <c r="J78" s="60" t="s">
        <v>234</v>
      </c>
      <c r="K78" s="60" t="s">
        <v>237</v>
      </c>
      <c r="L78" s="60" t="s">
        <v>240</v>
      </c>
      <c r="N78" s="2" t="s">
        <v>0</v>
      </c>
      <c r="O78" s="60" t="str">
        <f>O67</f>
        <v>nocars</v>
      </c>
      <c r="P78" s="60" t="str">
        <f>P67</f>
        <v>cars &lt; adults</v>
      </c>
      <c r="Q78" s="60" t="str">
        <f>Q67</f>
        <v>cars &lt; workers</v>
      </c>
      <c r="R78" s="60" t="str">
        <f>R67</f>
        <v>constant</v>
      </c>
    </row>
    <row r="79" spans="2:18" x14ac:dyDescent="0.25">
      <c r="B79" s="41"/>
      <c r="C79" s="41"/>
      <c r="D79" s="41"/>
      <c r="E79" s="41"/>
      <c r="H79" s="9" t="s">
        <v>1</v>
      </c>
      <c r="I79" s="58" t="str">
        <f ref="I79:L86" si="27" t="shared">IF(ISBLANK(O18),"",O18)</f>
        <v/>
      </c>
      <c r="J79" s="58">
        <f si="27" t="shared"/>
        <v>52</v>
      </c>
      <c r="K79" s="58" t="str">
        <f si="27" t="shared"/>
        <v/>
      </c>
      <c r="L79" s="58">
        <f si="27" t="shared"/>
        <v>50</v>
      </c>
      <c r="N79" s="9" t="s">
        <v>1</v>
      </c>
      <c r="O79" s="73" t="str">
        <f>IFERROR(IF(O18="","-",O56+O68),"-")</f>
        <v>-</v>
      </c>
      <c r="P79" s="73">
        <f ref="P79:R79" si="28" t="shared">IFERROR(IF(P18="","-",P56+P68),"-")</f>
        <v>-1.3029204471110001</v>
      </c>
      <c r="Q79" s="73" t="str">
        <f si="28" t="shared"/>
        <v>-</v>
      </c>
      <c r="R79" s="73">
        <f si="28" t="shared"/>
        <v>2.0242015533569999</v>
      </c>
    </row>
    <row r="80" spans="2:18" x14ac:dyDescent="0.25">
      <c r="H80" s="9" t="s">
        <v>2</v>
      </c>
      <c r="I80" s="58">
        <f si="27" t="shared"/>
        <v>41</v>
      </c>
      <c r="J80" s="58">
        <f si="27" t="shared"/>
        <v>42</v>
      </c>
      <c r="K80" s="58" t="str">
        <f si="27" t="shared"/>
        <v/>
      </c>
      <c r="L80" s="58">
        <f si="27" t="shared"/>
        <v>40</v>
      </c>
      <c r="N80" s="9" t="s">
        <v>2</v>
      </c>
      <c r="O80" s="73">
        <f ref="O80:R86" si="29" t="shared">IFERROR(IF(O19="","-",O57+O69),"-")</f>
        <v>-2.0160516958274628</v>
      </c>
      <c r="P80" s="73">
        <f si="29" t="shared"/>
        <v>-0.12690086735600001</v>
      </c>
      <c r="Q80" s="73" t="str">
        <f si="29" t="shared"/>
        <v>-</v>
      </c>
      <c r="R80" s="73">
        <f si="29" t="shared"/>
        <v>-0.71956066974800004</v>
      </c>
    </row>
    <row r="81" spans="8:18" x14ac:dyDescent="0.25">
      <c r="H81" s="9" t="s">
        <v>3</v>
      </c>
      <c r="I81" s="58">
        <f si="27" t="shared"/>
        <v>36</v>
      </c>
      <c r="J81" s="58">
        <f si="27" t="shared"/>
        <v>35</v>
      </c>
      <c r="K81" s="58" t="str">
        <f si="27" t="shared"/>
        <v/>
      </c>
      <c r="L81" s="58">
        <f si="27" t="shared"/>
        <v>30</v>
      </c>
      <c r="N81" s="9" t="s">
        <v>3</v>
      </c>
      <c r="O81" s="73">
        <f si="29" t="shared"/>
        <v>-0.10789744276665868</v>
      </c>
      <c r="P81" s="73">
        <f si="29" t="shared"/>
        <v>-0.29743268940200002</v>
      </c>
      <c r="Q81" s="73" t="str">
        <f si="29" t="shared"/>
        <v>-</v>
      </c>
      <c r="R81" s="73">
        <f si="29" t="shared"/>
        <v>0.183437489649</v>
      </c>
    </row>
    <row r="82" spans="8:18" x14ac:dyDescent="0.25">
      <c r="H82" s="9" t="s">
        <v>4</v>
      </c>
      <c r="I82" s="58" t="str">
        <f si="27" t="shared"/>
        <v/>
      </c>
      <c r="J82" s="58" t="str">
        <f si="27" t="shared"/>
        <v/>
      </c>
      <c r="K82" s="58" t="str">
        <f si="27" t="shared"/>
        <v/>
      </c>
      <c r="L82" s="58" t="str">
        <f si="27" t="shared"/>
        <v/>
      </c>
      <c r="N82" s="9" t="s">
        <v>4</v>
      </c>
      <c r="O82" s="73" t="str">
        <f si="29" t="shared"/>
        <v>-</v>
      </c>
      <c r="P82" s="73" t="str">
        <f si="29" t="shared"/>
        <v>-</v>
      </c>
      <c r="Q82" s="73" t="str">
        <f si="29" t="shared"/>
        <v>-</v>
      </c>
      <c r="R82" s="73" t="str">
        <f si="29" t="shared"/>
        <v>-</v>
      </c>
    </row>
    <row r="83" spans="8:18" x14ac:dyDescent="0.25">
      <c r="H83" s="9" t="s">
        <v>5</v>
      </c>
      <c r="I83" s="58">
        <f si="27" t="shared"/>
        <v>21</v>
      </c>
      <c r="J83" s="58">
        <f si="27" t="shared"/>
        <v>22</v>
      </c>
      <c r="K83" s="58" t="str">
        <f si="27" t="shared"/>
        <v/>
      </c>
      <c r="L83" s="58">
        <f si="27" t="shared"/>
        <v>20</v>
      </c>
      <c r="N83" s="9" t="s">
        <v>5</v>
      </c>
      <c r="O83" s="73">
        <f si="29" t="shared"/>
        <v>1.4936321675837356</v>
      </c>
      <c r="P83" s="73">
        <f si="29" t="shared"/>
        <v>-0.53922482139799999</v>
      </c>
      <c r="Q83" s="73" t="str">
        <f si="29" t="shared"/>
        <v>-</v>
      </c>
      <c r="R83" s="73">
        <f si="29" t="shared"/>
        <v>-3.098654636474</v>
      </c>
    </row>
    <row r="84" spans="8:18" x14ac:dyDescent="0.25">
      <c r="H84" s="9" t="s">
        <v>6</v>
      </c>
      <c r="I84" s="58">
        <f si="27" t="shared"/>
        <v>67</v>
      </c>
      <c r="J84" s="58">
        <f si="27" t="shared"/>
        <v>68</v>
      </c>
      <c r="K84" s="58" t="str">
        <f si="27" t="shared"/>
        <v/>
      </c>
      <c r="L84" s="58">
        <f si="27" t="shared"/>
        <v>60</v>
      </c>
      <c r="N84" s="9" t="s">
        <v>6</v>
      </c>
      <c r="O84" s="73">
        <f si="29" t="shared"/>
        <v>-0.30208149897929226</v>
      </c>
      <c r="P84" s="73">
        <f si="29" t="shared"/>
        <v>1.1077283945259999</v>
      </c>
      <c r="Q84" s="73" t="str">
        <f si="29" t="shared"/>
        <v>-</v>
      </c>
      <c r="R84" s="73">
        <f si="29" t="shared"/>
        <v>-4.8840106139459998</v>
      </c>
    </row>
    <row r="85" spans="8:18" x14ac:dyDescent="0.25">
      <c r="H85" s="9" t="s">
        <v>7</v>
      </c>
      <c r="I85" s="58">
        <f si="27" t="shared"/>
        <v>77</v>
      </c>
      <c r="J85" s="58">
        <f si="27" t="shared"/>
        <v>78</v>
      </c>
      <c r="K85" s="58" t="str">
        <f si="27" t="shared"/>
        <v/>
      </c>
      <c r="L85" s="58">
        <f si="27" t="shared"/>
        <v>70</v>
      </c>
      <c r="N85" s="9" t="s">
        <v>7</v>
      </c>
      <c r="O85" s="73">
        <f si="29" t="shared"/>
        <v>0.42553840208377441</v>
      </c>
      <c r="P85" s="73">
        <f si="29" t="shared"/>
        <v>3.0129279167159999</v>
      </c>
      <c r="Q85" s="73" t="str">
        <f si="29" t="shared"/>
        <v>-</v>
      </c>
      <c r="R85" s="73">
        <f si="29" t="shared"/>
        <v>0.60080211137799999</v>
      </c>
    </row>
    <row r="86" spans="8:18" x14ac:dyDescent="0.25">
      <c r="H86" s="14" t="s">
        <v>8</v>
      </c>
      <c r="I86" s="7">
        <f si="27" t="shared"/>
        <v>11</v>
      </c>
      <c r="J86" s="7">
        <f si="27" t="shared"/>
        <v>13</v>
      </c>
      <c r="K86" s="7" t="str">
        <f si="27" t="shared"/>
        <v/>
      </c>
      <c r="L86" s="7">
        <f si="27" t="shared"/>
        <v>10</v>
      </c>
      <c r="N86" s="14" t="s">
        <v>8</v>
      </c>
      <c r="O86" s="74">
        <f si="29" t="shared"/>
        <v>1.9168482053271263E-2</v>
      </c>
      <c r="P86" s="74">
        <f si="29" t="shared"/>
        <v>0.136483612798</v>
      </c>
      <c r="Q86" s="74" t="str">
        <f si="29" t="shared"/>
        <v>-</v>
      </c>
      <c r="R86" s="74">
        <f si="29" t="shared"/>
        <v>0.28251668607199998</v>
      </c>
    </row>
    <row r="87" spans="8:18" x14ac:dyDescent="0.25">
      <c r="H87" s="41"/>
      <c r="I87" s="41"/>
      <c r="J87" s="41"/>
      <c r="K87" s="41"/>
      <c r="L87" s="41"/>
    </row>
  </sheetData>
  <mergeCells count="3">
    <mergeCell ref="B15:F15"/>
    <mergeCell ref="H15:L15"/>
    <mergeCell ref="A27:A28"/>
  </mergeCells>
  <conditionalFormatting sqref="AE3:AE54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xl/worksheets/sheet2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F87"/>
  <sheetViews>
    <sheetView topLeftCell="A8" workbookViewId="0">
      <selection activeCell="C22" sqref="C22"/>
    </sheetView>
  </sheetViews>
  <sheetFormatPr defaultRowHeight="15" x14ac:dyDescent="0.25"/>
  <cols>
    <col min="2" max="2" bestFit="true" customWidth="true" width="14.140625" collapsed="true"/>
    <col min="4" max="4" bestFit="true" customWidth="true" width="11.7109375" collapsed="true"/>
    <col min="5" max="5" bestFit="true" customWidth="true" width="13.5703125" collapsed="true"/>
    <col min="6" max="6" bestFit="true" customWidth="true" width="9.140625" collapsed="true"/>
    <col min="8" max="8" bestFit="true" customWidth="true" width="14.140625" collapsed="true"/>
    <col min="10" max="10" bestFit="true" customWidth="true" width="11.7109375" collapsed="true"/>
    <col min="11" max="11" bestFit="true" customWidth="true" width="13.5703125" collapsed="true"/>
    <col min="12" max="12" bestFit="true" customWidth="true" width="7.5703125" collapsed="true"/>
    <col min="13" max="13" style="41" width="9.140625" collapsed="true"/>
    <col min="14" max="14" bestFit="true" customWidth="true" width="14.140625" collapsed="true"/>
    <col min="15" max="15" bestFit="true" customWidth="true" width="9.28515625" collapsed="true"/>
    <col min="16" max="16" bestFit="true" customWidth="true" width="12.0" collapsed="true"/>
    <col min="17" max="17" bestFit="true" customWidth="true" width="13.85546875" collapsed="true"/>
    <col min="18" max="18" bestFit="true" customWidth="true" width="10.28515625" collapsed="true"/>
    <col min="20" max="20" customWidth="true" width="5.5703125" collapsed="true"/>
    <col min="21" max="21" customWidth="true" width="12.85546875" collapsed="true"/>
    <col min="22" max="22" bestFit="true" customWidth="true" width="11.7109375" collapsed="true"/>
    <col min="23" max="23" bestFit="true" customWidth="true" width="13.5703125" collapsed="true"/>
    <col min="28" max="28" bestFit="true" customWidth="true" width="11.0" collapsed="true"/>
    <col min="29" max="30" bestFit="true" customWidth="true" width="16.42578125" collapsed="true"/>
  </cols>
  <sheetData>
    <row r="1" spans="2:31" x14ac:dyDescent="0.25">
      <c r="T1" s="36" t="s">
        <v>288</v>
      </c>
      <c r="U1" s="49"/>
      <c r="V1" s="49"/>
      <c r="W1" s="49"/>
      <c r="X1" s="49"/>
      <c r="AA1" s="36" t="s">
        <v>288</v>
      </c>
    </row>
    <row r="2" spans="2:31" x14ac:dyDescent="0.25">
      <c r="T2" s="49"/>
      <c r="U2" s="36" t="s">
        <v>224</v>
      </c>
      <c r="W2" s="49"/>
      <c r="X2" s="49"/>
      <c r="AC2" s="44" t="s">
        <v>221</v>
      </c>
      <c r="AD2" s="44" t="s">
        <v>222</v>
      </c>
      <c r="AE2" s="44" t="s">
        <v>319</v>
      </c>
    </row>
    <row ht="15.75" r="3" spans="2:31" thickBot="1" x14ac:dyDescent="0.3">
      <c r="B3" s="36" t="s">
        <v>267</v>
      </c>
      <c r="T3">
        <v>1</v>
      </c>
      <c r="U3" s="50" t="s">
        <v>306</v>
      </c>
      <c r="W3" s="49"/>
      <c r="X3" s="49"/>
      <c r="AA3" s="47">
        <f>EscortCoefficients!B11</f>
        <v>2</v>
      </c>
      <c r="AB3" s="47" t="str">
        <f>EscortCoefficients!C11</f>
        <v>timeutil</v>
      </c>
      <c r="AC3" s="81">
        <f>EscortCoefficients!E11</f>
        <v>3.3415951050000001</v>
      </c>
      <c r="AD3" s="82">
        <f ref="AD3:AD25" si="0" t="shared">_xlfn.IFNA(VLOOKUP(AA3,$T$31:$V$44,3,FALSE),AC3)</f>
        <v>3.3415951050000001</v>
      </c>
      <c r="AE3">
        <f>IF(AC3=AD3,0,1)</f>
        <v>0</v>
      </c>
    </row>
    <row r="4" spans="2:31" x14ac:dyDescent="0.25">
      <c r="B4" s="59" t="s">
        <v>0</v>
      </c>
      <c r="C4" s="60" t="s">
        <v>239</v>
      </c>
      <c r="D4" s="60" t="s">
        <v>234</v>
      </c>
      <c r="E4" s="60" t="s">
        <v>237</v>
      </c>
      <c r="F4" s="60" t="s">
        <v>240</v>
      </c>
      <c r="T4">
        <v>2</v>
      </c>
      <c r="U4" s="50" t="s">
        <v>304</v>
      </c>
      <c r="W4" s="49"/>
      <c r="X4" s="49"/>
      <c r="AA4" s="47">
        <f>EscortCoefficients!B12</f>
        <v>30</v>
      </c>
      <c r="AB4" s="47" t="str">
        <f>EscortCoefficients!C12</f>
        <v>s3-const</v>
      </c>
      <c r="AC4" s="81">
        <f>EscortCoefficients!E12</f>
        <v>-2.5112174031630001</v>
      </c>
      <c r="AD4" s="82">
        <f si="0" t="shared"/>
        <v>-2.5112174031630001</v>
      </c>
      <c r="AE4">
        <f ref="AE4:AE25" si="1" t="shared">IF(AC4=AD4,0,1)</f>
        <v>0</v>
      </c>
    </row>
    <row r="5" spans="2:31" x14ac:dyDescent="0.25">
      <c r="B5" s="9" t="s">
        <v>1</v>
      </c>
      <c r="C5" s="58"/>
      <c r="D5" s="58">
        <v>52</v>
      </c>
      <c r="E5" s="58"/>
      <c r="F5" s="52">
        <v>50</v>
      </c>
      <c r="T5">
        <v>3</v>
      </c>
      <c r="U5" s="49" t="s">
        <v>232</v>
      </c>
      <c r="V5" s="49"/>
      <c r="W5" s="49"/>
      <c r="X5" s="49"/>
      <c r="AA5" s="47">
        <f>EscortCoefficients!B13</f>
        <v>31</v>
      </c>
      <c r="AB5" s="47" t="str">
        <f>EscortCoefficients!C13</f>
        <v>s3-hhcu5</v>
      </c>
      <c r="AC5" s="81">
        <f>EscortCoefficients!E13</f>
        <v>1.166803974</v>
      </c>
      <c r="AD5" s="82">
        <f si="0" t="shared"/>
        <v>1.166803974</v>
      </c>
      <c r="AE5">
        <f si="1" t="shared"/>
        <v>0</v>
      </c>
    </row>
    <row r="6" spans="2:31" x14ac:dyDescent="0.25">
      <c r="B6" s="9" t="s">
        <v>2</v>
      </c>
      <c r="C6" s="58">
        <v>41</v>
      </c>
      <c r="D6" s="58">
        <v>42</v>
      </c>
      <c r="E6" s="58"/>
      <c r="F6" s="52">
        <v>40</v>
      </c>
      <c r="T6">
        <v>4</v>
      </c>
      <c r="U6" s="49" t="s">
        <v>225</v>
      </c>
      <c r="V6" s="49"/>
      <c r="W6" s="49"/>
      <c r="X6" s="49"/>
      <c r="AA6" s="47">
        <f>EscortCoefficients!B14</f>
        <v>32</v>
      </c>
      <c r="AB6" s="47" t="str">
        <f>EscortCoefficients!C14</f>
        <v>s3-hh515</v>
      </c>
      <c r="AC6" s="81">
        <f>EscortCoefficients!E14</f>
        <v>0.48228420700000002</v>
      </c>
      <c r="AD6" s="82">
        <f si="0" t="shared"/>
        <v>0.48228420700000002</v>
      </c>
      <c r="AE6">
        <f si="1" t="shared"/>
        <v>0</v>
      </c>
    </row>
    <row r="7" spans="2:31" x14ac:dyDescent="0.25">
      <c r="B7" s="9" t="s">
        <v>3</v>
      </c>
      <c r="C7" s="58" t="s">
        <v>241</v>
      </c>
      <c r="D7" s="58">
        <v>37</v>
      </c>
      <c r="E7" s="58"/>
      <c r="F7" s="52">
        <v>30</v>
      </c>
      <c r="T7" s="49">
        <v>5</v>
      </c>
      <c r="U7" s="49" t="s">
        <v>226</v>
      </c>
      <c r="V7" s="49"/>
      <c r="W7" s="49"/>
      <c r="X7" s="49"/>
      <c r="AA7" s="47">
        <f>EscortCoefficients!B15</f>
        <v>33</v>
      </c>
      <c r="AB7" s="47" t="str">
        <f>EscortCoefficients!C15</f>
        <v>s3-hhdas</v>
      </c>
      <c r="AC7" s="81">
        <f>EscortCoefficients!E15</f>
        <v>7.7733427999999993E-2</v>
      </c>
      <c r="AD7" s="82">
        <f si="0" t="shared"/>
        <v>7.7733427999999993E-2</v>
      </c>
      <c r="AE7">
        <f si="1" t="shared"/>
        <v>0</v>
      </c>
    </row>
    <row r="8" spans="2:31" x14ac:dyDescent="0.25">
      <c r="B8" s="9" t="s">
        <v>4</v>
      </c>
      <c r="C8" s="58"/>
      <c r="D8" s="58"/>
      <c r="E8" s="58"/>
      <c r="F8" s="52"/>
      <c r="T8" s="49"/>
      <c r="U8" s="49"/>
      <c r="V8" s="49"/>
      <c r="W8" s="49"/>
      <c r="X8" s="49"/>
      <c r="AA8" s="47">
        <f>EscortCoefficients!B16</f>
        <v>36</v>
      </c>
      <c r="AB8" s="47" t="str">
        <f>EscortCoefficients!C16</f>
        <v>s3-nocars</v>
      </c>
      <c r="AC8" s="81">
        <f>EscortCoefficients!E16</f>
        <v>1.4574897382180001</v>
      </c>
      <c r="AD8" s="82">
        <f si="0" t="shared"/>
        <v>1.4574897382180001</v>
      </c>
      <c r="AE8">
        <f si="1" t="shared"/>
        <v>0</v>
      </c>
    </row>
    <row r="9" spans="2:31" x14ac:dyDescent="0.25">
      <c r="B9" s="9" t="s">
        <v>5</v>
      </c>
      <c r="C9" s="58"/>
      <c r="D9" s="58"/>
      <c r="E9" s="58"/>
      <c r="F9" s="52"/>
      <c r="T9" s="49"/>
      <c r="U9" s="51" t="s">
        <v>227</v>
      </c>
      <c r="V9" s="49"/>
      <c r="W9" s="49"/>
      <c r="X9" s="49"/>
      <c r="AA9" s="47">
        <f>EscortCoefficients!B17</f>
        <v>37</v>
      </c>
      <c r="AB9" s="47" t="str">
        <f>EscortCoefficients!C17</f>
        <v>s3-carsltd</v>
      </c>
      <c r="AC9" s="81">
        <f>EscortCoefficients!E17</f>
        <v>-0.271572152663</v>
      </c>
      <c r="AD9" s="82">
        <f si="0" t="shared"/>
        <v>-0.271572152663</v>
      </c>
      <c r="AE9">
        <f si="1" t="shared"/>
        <v>0</v>
      </c>
    </row>
    <row r="10" spans="2:31" x14ac:dyDescent="0.25">
      <c r="B10" s="9" t="s">
        <v>6</v>
      </c>
      <c r="C10" s="58">
        <v>67</v>
      </c>
      <c r="D10" s="58">
        <v>68</v>
      </c>
      <c r="E10" s="58"/>
      <c r="F10" s="52">
        <v>60</v>
      </c>
      <c r="T10" s="49">
        <v>1</v>
      </c>
      <c r="U10" s="50" t="s">
        <v>306</v>
      </c>
      <c r="V10" s="49"/>
      <c r="W10" s="49"/>
      <c r="X10" s="49"/>
      <c r="AA10" s="47">
        <f>EscortCoefficients!B18</f>
        <v>40</v>
      </c>
      <c r="AB10" s="47" t="str">
        <f>EscortCoefficients!C18</f>
        <v>s2-const</v>
      </c>
      <c r="AC10" s="81">
        <f>EscortCoefficients!E18</f>
        <v>-1.6429440483269999</v>
      </c>
      <c r="AD10" s="82">
        <f si="0" t="shared"/>
        <v>-1.6429440483269999</v>
      </c>
      <c r="AE10">
        <f si="1" t="shared"/>
        <v>0</v>
      </c>
    </row>
    <row r="11" spans="2:31" x14ac:dyDescent="0.25">
      <c r="B11" s="9" t="s">
        <v>7</v>
      </c>
      <c r="C11" s="58">
        <v>77</v>
      </c>
      <c r="D11" s="58">
        <v>78</v>
      </c>
      <c r="E11" s="58"/>
      <c r="F11" s="58">
        <v>70</v>
      </c>
      <c r="T11" s="49">
        <v>2</v>
      </c>
      <c r="U11" s="49" t="s">
        <v>228</v>
      </c>
      <c r="V11" s="49"/>
      <c r="W11" s="49"/>
      <c r="X11" s="49"/>
      <c r="AA11" s="47">
        <f>EscortCoefficients!B19</f>
        <v>41</v>
      </c>
      <c r="AB11" s="47" t="str">
        <f>EscortCoefficients!C19</f>
        <v>sr-nocars</v>
      </c>
      <c r="AC11" s="81">
        <f>EscortCoefficients!E19</f>
        <v>-6.1146910156400001</v>
      </c>
      <c r="AD11" s="82">
        <f si="0" t="shared"/>
        <v>-6.1146910156400001</v>
      </c>
      <c r="AE11">
        <f si="1" t="shared"/>
        <v>0</v>
      </c>
    </row>
    <row r="12" spans="2:31" x14ac:dyDescent="0.25">
      <c r="B12" s="14" t="s">
        <v>8</v>
      </c>
      <c r="C12" s="58"/>
      <c r="D12" s="58"/>
      <c r="E12" s="7"/>
      <c r="F12" s="7"/>
      <c r="T12" s="49">
        <v>3</v>
      </c>
      <c r="U12" s="49" t="s">
        <v>229</v>
      </c>
      <c r="V12" s="49"/>
      <c r="W12" s="49"/>
      <c r="X12" s="49"/>
      <c r="AA12" s="47">
        <f>EscortCoefficients!B20</f>
        <v>42</v>
      </c>
      <c r="AB12" s="47" t="str">
        <f>EscortCoefficients!C20</f>
        <v>sr-carsltd</v>
      </c>
      <c r="AC12" s="81">
        <f>EscortCoefficients!E20</f>
        <v>0.121738261781</v>
      </c>
      <c r="AD12" s="82">
        <f si="0" t="shared"/>
        <v>0.121738261781</v>
      </c>
      <c r="AE12">
        <f si="1" t="shared"/>
        <v>0</v>
      </c>
    </row>
    <row r="13" spans="2:31" x14ac:dyDescent="0.25">
      <c r="C13" s="38"/>
      <c r="D13" s="38"/>
      <c r="E13" s="41"/>
      <c r="F13" s="41"/>
      <c r="T13" s="49">
        <v>4</v>
      </c>
      <c r="U13" s="49" t="s">
        <v>230</v>
      </c>
      <c r="V13" s="49"/>
      <c r="W13" s="49"/>
      <c r="X13" s="49"/>
      <c r="AA13" s="47">
        <f>EscortCoefficients!B21</f>
        <v>50</v>
      </c>
      <c r="AB13" s="47" t="str">
        <f>EscortCoefficients!C21</f>
        <v>da-const</v>
      </c>
      <c r="AC13" s="81">
        <f>EscortCoefficients!E21</f>
        <v>-9.42291722515</v>
      </c>
      <c r="AD13" s="82">
        <f si="0" t="shared"/>
        <v>-9.42291722515</v>
      </c>
      <c r="AE13">
        <f si="1" t="shared"/>
        <v>0</v>
      </c>
    </row>
    <row r="14" spans="2:31" x14ac:dyDescent="0.25">
      <c r="B14" s="57"/>
      <c r="T14" s="49">
        <v>5</v>
      </c>
      <c r="U14" s="50" t="s">
        <v>305</v>
      </c>
      <c r="V14" s="49"/>
      <c r="W14" s="49"/>
      <c r="X14" s="49"/>
      <c r="AA14" s="47">
        <f>EscortCoefficients!B22</f>
        <v>52</v>
      </c>
      <c r="AB14" s="47" t="str">
        <f>EscortCoefficients!C22</f>
        <v>da-carsltd</v>
      </c>
      <c r="AC14" s="81">
        <f>EscortCoefficients!E22</f>
        <v>-1.2907770727600001</v>
      </c>
      <c r="AD14" s="82">
        <f si="0" t="shared"/>
        <v>-1.2907770727600001</v>
      </c>
      <c r="AE14">
        <f si="1" t="shared"/>
        <v>0</v>
      </c>
    </row>
    <row r="15" spans="2:31" x14ac:dyDescent="0.25">
      <c r="B15" s="138" t="s">
        <v>269</v>
      </c>
      <c r="C15" s="138"/>
      <c r="D15" s="138"/>
      <c r="E15" s="138"/>
      <c r="F15" s="138"/>
      <c r="H15" s="137" t="s">
        <v>33</v>
      </c>
      <c r="I15" s="137"/>
      <c r="J15" s="137"/>
      <c r="K15" s="137"/>
      <c r="L15" s="137"/>
      <c r="T15" s="49">
        <v>6</v>
      </c>
      <c r="U15" s="49" t="s">
        <v>233</v>
      </c>
      <c r="V15" s="49"/>
      <c r="W15" s="49"/>
      <c r="X15" s="49"/>
      <c r="AA15" s="47">
        <f>EscortCoefficients!B23</f>
        <v>60</v>
      </c>
      <c r="AB15" s="47" t="str">
        <f>EscortCoefficients!C23</f>
        <v>bi-const</v>
      </c>
      <c r="AC15" s="81">
        <f>EscortCoefficients!E23</f>
        <v>-15</v>
      </c>
      <c r="AD15" s="82">
        <f si="0" t="shared"/>
        <v>-15</v>
      </c>
      <c r="AE15">
        <f si="1" t="shared"/>
        <v>0</v>
      </c>
    </row>
    <row ht="15.75" r="16" spans="2:31" thickBot="1" x14ac:dyDescent="0.3">
      <c r="B16" s="61" t="s">
        <v>245</v>
      </c>
      <c r="H16" s="61" t="str">
        <f>B16</f>
        <v>Frequency</v>
      </c>
      <c r="N16" s="61" t="s">
        <v>259</v>
      </c>
      <c r="T16" s="49">
        <v>7</v>
      </c>
      <c r="U16" s="49" t="s">
        <v>225</v>
      </c>
      <c r="V16" s="49"/>
      <c r="W16" s="49"/>
      <c r="X16" s="49"/>
      <c r="AA16" s="47">
        <f>EscortCoefficients!B24</f>
        <v>67</v>
      </c>
      <c r="AB16" s="47" t="str">
        <f>EscortCoefficients!C24</f>
        <v>bi-nocars</v>
      </c>
      <c r="AC16" s="81">
        <f>EscortCoefficients!E24</f>
        <v>0</v>
      </c>
      <c r="AD16" s="82">
        <f si="0" t="shared"/>
        <v>0</v>
      </c>
      <c r="AE16">
        <f si="1" t="shared"/>
        <v>0</v>
      </c>
    </row>
    <row r="17" spans="1:31" x14ac:dyDescent="0.25">
      <c r="B17" s="59" t="s">
        <v>0</v>
      </c>
      <c r="C17" s="60" t="s">
        <v>239</v>
      </c>
      <c r="D17" s="60" t="s">
        <v>234</v>
      </c>
      <c r="E17" s="60" t="s">
        <v>237</v>
      </c>
      <c r="F17" s="60" t="s">
        <v>19</v>
      </c>
      <c r="H17" s="59" t="s">
        <v>0</v>
      </c>
      <c r="I17" s="60" t="s">
        <v>239</v>
      </c>
      <c r="J17" s="60" t="s">
        <v>234</v>
      </c>
      <c r="K17" s="60" t="s">
        <v>237</v>
      </c>
      <c r="L17" s="60" t="s">
        <v>19</v>
      </c>
      <c r="M17" s="56"/>
      <c r="N17" s="59" t="s">
        <v>0</v>
      </c>
      <c r="O17" s="60" t="s">
        <v>239</v>
      </c>
      <c r="P17" s="60" t="s">
        <v>234</v>
      </c>
      <c r="Q17" s="60" t="s">
        <v>237</v>
      </c>
      <c r="R17" s="60" t="s">
        <v>240</v>
      </c>
      <c r="T17" s="49">
        <v>8</v>
      </c>
      <c r="U17" s="49" t="s">
        <v>231</v>
      </c>
      <c r="V17" s="49"/>
      <c r="W17" s="49"/>
      <c r="X17" s="49"/>
      <c r="AA17" s="47">
        <f>EscortCoefficients!B25</f>
        <v>68</v>
      </c>
      <c r="AB17" s="47" t="str">
        <f>EscortCoefficients!C25</f>
        <v>bi-carsltd</v>
      </c>
      <c r="AC17" s="81">
        <f>EscortCoefficients!E25</f>
        <v>0</v>
      </c>
      <c r="AD17" s="82">
        <f si="0" t="shared"/>
        <v>0</v>
      </c>
      <c r="AE17">
        <f si="1" t="shared"/>
        <v>0</v>
      </c>
    </row>
    <row r="18" spans="1:31" x14ac:dyDescent="0.25">
      <c r="B18" s="9" t="s">
        <v>1</v>
      </c>
      <c r="C18" s="9">
        <f>transit_targets!B52</f>
        <v>0</v>
      </c>
      <c r="D18" s="9">
        <f>transit_targets!C52</f>
        <v>222.17332500000001</v>
      </c>
      <c r="E18" s="9">
        <f>transit_targets!D52</f>
        <v>0</v>
      </c>
      <c r="F18" s="9">
        <f>transit_targets!E52</f>
        <v>3811.6281719999997</v>
      </c>
      <c r="H18" s="9" t="s">
        <v>1</v>
      </c>
      <c r="I18" s="9">
        <f>Escort!L4</f>
        <v>0</v>
      </c>
      <c r="J18" s="9">
        <f>Escort!O4</f>
        <v>709</v>
      </c>
      <c r="K18" s="9">
        <f>Escort!Q4</f>
        <v>89</v>
      </c>
      <c r="L18" s="9">
        <f>Escort!R4</f>
        <v>3515</v>
      </c>
      <c r="M18" s="12"/>
      <c r="N18" s="9" t="s">
        <v>1</v>
      </c>
      <c r="O18" s="75" t="str">
        <f>IF(ISBLANK(C5),"",C5)</f>
        <v/>
      </c>
      <c r="P18" s="75">
        <f ref="P18:R25" si="2" t="shared">IF(ISBLANK(D5),"",D5)</f>
        <v>52</v>
      </c>
      <c r="Q18" s="75" t="str">
        <f si="2" t="shared"/>
        <v/>
      </c>
      <c r="R18" s="75">
        <f si="2" t="shared"/>
        <v>50</v>
      </c>
      <c r="T18" s="41"/>
      <c r="U18" s="41"/>
      <c r="V18" s="41"/>
      <c r="W18" s="41"/>
      <c r="X18" s="41"/>
      <c r="Y18" s="41"/>
      <c r="AA18" s="47">
        <f>EscortCoefficients!B26</f>
        <v>70</v>
      </c>
      <c r="AB18" s="47" t="str">
        <f>EscortCoefficients!C26</f>
        <v>wk-const</v>
      </c>
      <c r="AC18" s="81">
        <f>EscortCoefficients!E26</f>
        <v>-7.2110841533E-2</v>
      </c>
      <c r="AD18" s="82">
        <f si="0" t="shared"/>
        <v>-7.2110841533E-2</v>
      </c>
      <c r="AE18">
        <f si="1" t="shared"/>
        <v>0</v>
      </c>
    </row>
    <row r="19" spans="1:31" x14ac:dyDescent="0.25">
      <c r="B19" s="9" t="s">
        <v>2</v>
      </c>
      <c r="C19" s="9">
        <f>transit_targets!B53</f>
        <v>21.137343999999999</v>
      </c>
      <c r="D19" s="9">
        <f>transit_targets!C53</f>
        <v>17963.266242000002</v>
      </c>
      <c r="E19" s="9">
        <f>transit_targets!D53</f>
        <v>4150.7170029999997</v>
      </c>
      <c r="F19" s="9">
        <f>transit_targets!E53</f>
        <v>82766.386866000001</v>
      </c>
      <c r="H19" s="9" t="s">
        <v>2</v>
      </c>
      <c r="I19" s="9">
        <f>Escort!L5</f>
        <v>1286</v>
      </c>
      <c r="J19" s="9">
        <f>Escort!O5</f>
        <v>33289</v>
      </c>
      <c r="K19" s="9">
        <f>Escort!Q5</f>
        <v>7435</v>
      </c>
      <c r="L19" s="9">
        <f>Escort!R5</f>
        <v>90592</v>
      </c>
      <c r="M19" s="12"/>
      <c r="N19" s="9" t="s">
        <v>2</v>
      </c>
      <c r="O19" s="88">
        <f ref="O19:O25" si="3" t="shared">IF(ISBLANK(C6),"",C6)</f>
        <v>41</v>
      </c>
      <c r="P19" s="88">
        <f si="2" t="shared"/>
        <v>42</v>
      </c>
      <c r="Q19" s="88" t="str">
        <f si="2" t="shared"/>
        <v/>
      </c>
      <c r="R19" s="88">
        <f si="2" t="shared"/>
        <v>40</v>
      </c>
      <c r="T19" s="12"/>
      <c r="U19" s="65"/>
      <c r="V19" s="65"/>
      <c r="W19" s="65"/>
      <c r="X19" s="65"/>
      <c r="Y19" s="41"/>
      <c r="AA19" s="47">
        <f>EscortCoefficients!B27</f>
        <v>73</v>
      </c>
      <c r="AB19" s="47" t="str">
        <f>EscortCoefficients!C27</f>
        <v>wk-ageo50</v>
      </c>
      <c r="AC19" s="81">
        <f>EscortCoefficients!E27</f>
        <v>-2.3805019629999999</v>
      </c>
      <c r="AD19" s="82">
        <f si="0" t="shared"/>
        <v>-2.3805019629999999</v>
      </c>
      <c r="AE19">
        <f si="1" t="shared"/>
        <v>0</v>
      </c>
    </row>
    <row r="20" spans="1:31" x14ac:dyDescent="0.25">
      <c r="B20" s="9" t="s">
        <v>3</v>
      </c>
      <c r="C20" s="9">
        <f>transit_targets!B54</f>
        <v>1025.772172</v>
      </c>
      <c r="D20" s="9">
        <f>transit_targets!C54</f>
        <v>14623.665731999999</v>
      </c>
      <c r="E20" s="9">
        <f>transit_targets!D54</f>
        <v>1798.325182</v>
      </c>
      <c r="F20" s="9">
        <f>transit_targets!E54</f>
        <v>83814.301829000004</v>
      </c>
      <c r="H20" s="9" t="s">
        <v>3</v>
      </c>
      <c r="I20" s="9">
        <f>Escort!L6</f>
        <v>4728</v>
      </c>
      <c r="J20" s="9">
        <f>Escort!O6</f>
        <v>29321</v>
      </c>
      <c r="K20" s="9">
        <f>Escort!Q6</f>
        <v>6507</v>
      </c>
      <c r="L20" s="9">
        <f>Escort!R6</f>
        <v>90215</v>
      </c>
      <c r="M20" s="12"/>
      <c r="N20" s="9" t="s">
        <v>3</v>
      </c>
      <c r="O20" s="88">
        <v>36</v>
      </c>
      <c r="P20" s="88">
        <v>37</v>
      </c>
      <c r="Q20" s="88" t="str">
        <f si="2" t="shared"/>
        <v/>
      </c>
      <c r="R20" s="88">
        <f si="2" t="shared"/>
        <v>30</v>
      </c>
      <c r="T20" s="12"/>
      <c r="U20" s="65"/>
      <c r="V20" s="65"/>
      <c r="W20" s="65"/>
      <c r="X20" s="65"/>
      <c r="Y20" s="41"/>
      <c r="AA20" s="47">
        <f>EscortCoefficients!B28</f>
        <v>76</v>
      </c>
      <c r="AB20" s="47" t="str">
        <f>EscortCoefficients!C28</f>
        <v>wk-dintd</v>
      </c>
      <c r="AC20" s="81">
        <f>EscortCoefficients!E28</f>
        <v>1.5103600000000001E-3</v>
      </c>
      <c r="AD20" s="82">
        <f si="0" t="shared"/>
        <v>1.5103600000000001E-3</v>
      </c>
      <c r="AE20">
        <f si="1" t="shared"/>
        <v>0</v>
      </c>
    </row>
    <row r="21" spans="1:31" x14ac:dyDescent="0.25">
      <c r="B21" s="9" t="s">
        <v>4</v>
      </c>
      <c r="C21" s="9">
        <f>transit_targets!B55</f>
        <v>0</v>
      </c>
      <c r="D21" s="9">
        <f>transit_targets!C55</f>
        <v>0</v>
      </c>
      <c r="E21" s="9">
        <f>transit_targets!D55</f>
        <v>0</v>
      </c>
      <c r="F21" s="9"/>
      <c r="H21" s="9" t="s">
        <v>4</v>
      </c>
      <c r="I21" s="9">
        <f>Escort!L7</f>
        <v>0</v>
      </c>
      <c r="J21" s="9">
        <f>Escort!O7</f>
        <v>0</v>
      </c>
      <c r="K21" s="9">
        <f>Escort!Q7</f>
        <v>0</v>
      </c>
      <c r="L21" s="9">
        <f>Escort!R7</f>
        <v>0</v>
      </c>
      <c r="M21" s="12"/>
      <c r="N21" s="9" t="s">
        <v>4</v>
      </c>
      <c r="O21" s="88" t="str">
        <f si="3" t="shared"/>
        <v/>
      </c>
      <c r="P21" s="88" t="str">
        <f si="2" t="shared"/>
        <v/>
      </c>
      <c r="Q21" s="88" t="str">
        <f si="2" t="shared"/>
        <v/>
      </c>
      <c r="R21" s="88" t="str">
        <f si="2" t="shared"/>
        <v/>
      </c>
      <c r="T21" s="12"/>
      <c r="U21" s="65"/>
      <c r="V21" s="65"/>
      <c r="W21" s="65"/>
      <c r="X21" s="65"/>
      <c r="Y21" s="41"/>
      <c r="AA21" s="47">
        <f>EscortCoefficients!B29</f>
        <v>77</v>
      </c>
      <c r="AB21" s="47" t="str">
        <f>EscortCoefficients!C29</f>
        <v>wk-nocars</v>
      </c>
      <c r="AC21" s="81">
        <f>EscortCoefficients!E29</f>
        <v>1.2149093918210001</v>
      </c>
      <c r="AD21" s="82">
        <f si="0" t="shared"/>
        <v>1.2149093918210001</v>
      </c>
      <c r="AE21">
        <f si="1" t="shared"/>
        <v>0</v>
      </c>
    </row>
    <row r="22" spans="1:31" x14ac:dyDescent="0.25">
      <c r="B22" s="9" t="s">
        <v>5</v>
      </c>
      <c r="C22" s="9"/>
      <c r="D22" s="9">
        <f>transit_targets!C56</f>
        <v>0</v>
      </c>
      <c r="E22" s="9">
        <f>transit_targets!D56</f>
        <v>0</v>
      </c>
      <c r="F22" s="9"/>
      <c r="H22" s="9" t="s">
        <v>5</v>
      </c>
      <c r="I22" s="9">
        <f>Escort!L8</f>
        <v>0</v>
      </c>
      <c r="J22" s="9">
        <f>Escort!O8</f>
        <v>0</v>
      </c>
      <c r="K22" s="9">
        <f>Escort!Q8</f>
        <v>0</v>
      </c>
      <c r="L22" s="9">
        <f>Escort!R8</f>
        <v>0</v>
      </c>
      <c r="M22" s="12"/>
      <c r="N22" s="9" t="s">
        <v>5</v>
      </c>
      <c r="O22" s="88" t="str">
        <f si="3" t="shared"/>
        <v/>
      </c>
      <c r="P22" s="88" t="str">
        <f si="2" t="shared"/>
        <v/>
      </c>
      <c r="Q22" s="88" t="str">
        <f si="2" t="shared"/>
        <v/>
      </c>
      <c r="R22" s="88" t="str">
        <f si="2" t="shared"/>
        <v/>
      </c>
      <c r="T22" s="12"/>
      <c r="U22" s="65"/>
      <c r="V22" s="65"/>
      <c r="W22" s="65"/>
      <c r="X22" s="65"/>
      <c r="Y22" s="41"/>
      <c r="AA22" s="47">
        <f>EscortCoefficients!B30</f>
        <v>78</v>
      </c>
      <c r="AB22" s="47" t="str">
        <f>EscortCoefficients!C30</f>
        <v>wk-carsltd</v>
      </c>
      <c r="AC22" s="81">
        <f>EscortCoefficients!E30</f>
        <v>1.650016479871</v>
      </c>
      <c r="AD22" s="82">
        <f si="0" t="shared"/>
        <v>1.650016479871</v>
      </c>
      <c r="AE22">
        <f si="1" t="shared"/>
        <v>0</v>
      </c>
    </row>
    <row r="23" spans="1:31" x14ac:dyDescent="0.25">
      <c r="B23" s="9" t="s">
        <v>6</v>
      </c>
      <c r="C23" s="9">
        <f>transit_targets!B57</f>
        <v>0</v>
      </c>
      <c r="D23" s="9">
        <f>transit_targets!C57</f>
        <v>0</v>
      </c>
      <c r="E23" s="9">
        <f>transit_targets!D57</f>
        <v>0</v>
      </c>
      <c r="F23" s="9">
        <f>transit_targets!E57</f>
        <v>0</v>
      </c>
      <c r="H23" s="9" t="s">
        <v>6</v>
      </c>
      <c r="I23" s="9">
        <f>Escort!L9</f>
        <v>91</v>
      </c>
      <c r="J23" s="9">
        <f>Escort!O9</f>
        <v>3</v>
      </c>
      <c r="K23" s="9">
        <f>Escort!Q9</f>
        <v>0</v>
      </c>
      <c r="L23" s="9">
        <f>Escort!R9</f>
        <v>97</v>
      </c>
      <c r="M23" s="12"/>
      <c r="N23" s="9" t="s">
        <v>6</v>
      </c>
      <c r="O23" s="88">
        <f si="3" t="shared"/>
        <v>67</v>
      </c>
      <c r="P23" s="88">
        <f si="2" t="shared"/>
        <v>68</v>
      </c>
      <c r="Q23" s="88" t="str">
        <f si="2" t="shared"/>
        <v/>
      </c>
      <c r="R23" s="88">
        <f si="2" t="shared"/>
        <v>60</v>
      </c>
      <c r="T23" s="12"/>
      <c r="U23" s="65"/>
      <c r="V23" s="65"/>
      <c r="W23" s="65"/>
      <c r="X23" s="65"/>
      <c r="Y23" s="41"/>
      <c r="AA23" s="47">
        <f>EscortCoefficients!B31</f>
        <v>81</v>
      </c>
      <c r="AB23" s="47" t="str">
        <f>EscortCoefficients!C31</f>
        <v>wk-hhcu5</v>
      </c>
      <c r="AC23" s="81">
        <f>EscortCoefficients!E31</f>
        <v>0.91500335799999999</v>
      </c>
      <c r="AD23" s="82">
        <f si="0" t="shared"/>
        <v>0.91500335799999999</v>
      </c>
      <c r="AE23">
        <f si="1" t="shared"/>
        <v>0</v>
      </c>
    </row>
    <row r="24" spans="1:31" x14ac:dyDescent="0.25">
      <c r="B24" s="9" t="s">
        <v>7</v>
      </c>
      <c r="C24" s="9">
        <f>transit_targets!B58</f>
        <v>283.25980699999997</v>
      </c>
      <c r="D24" s="9">
        <f>transit_targets!C58</f>
        <v>1777.3523149999999</v>
      </c>
      <c r="E24" s="9">
        <f>transit_targets!D58</f>
        <v>104.019808</v>
      </c>
      <c r="F24" s="9">
        <f>transit_targets!E58</f>
        <v>5094.9862190000003</v>
      </c>
      <c r="H24" s="9" t="s">
        <v>7</v>
      </c>
      <c r="I24" s="9">
        <f>Escort!L10</f>
        <v>1026</v>
      </c>
      <c r="J24" s="9">
        <f>Escort!O10</f>
        <v>2429</v>
      </c>
      <c r="K24" s="9">
        <f>Escort!Q10</f>
        <v>650</v>
      </c>
      <c r="L24" s="9">
        <f>Escort!R10</f>
        <v>6020</v>
      </c>
      <c r="M24" s="12"/>
      <c r="N24" s="9" t="s">
        <v>7</v>
      </c>
      <c r="O24" s="88">
        <f si="3" t="shared"/>
        <v>77</v>
      </c>
      <c r="P24" s="88">
        <f si="2" t="shared"/>
        <v>78</v>
      </c>
      <c r="Q24" s="88" t="str">
        <f si="2" t="shared"/>
        <v/>
      </c>
      <c r="R24" s="88">
        <f si="2" t="shared"/>
        <v>70</v>
      </c>
      <c r="T24" s="12"/>
      <c r="U24" s="65"/>
      <c r="V24" s="65"/>
      <c r="W24" s="65"/>
      <c r="X24" s="65"/>
      <c r="Y24" s="41"/>
      <c r="AA24" s="47">
        <f>EscortCoefficients!B32</f>
        <v>82</v>
      </c>
      <c r="AB24" s="47" t="str">
        <f>EscortCoefficients!C32</f>
        <v>wk-hh515</v>
      </c>
      <c r="AC24" s="81">
        <f>EscortCoefficients!E32</f>
        <v>-2.7232830999999999E-2</v>
      </c>
      <c r="AD24" s="82">
        <f si="0" t="shared"/>
        <v>-2.7232830999999999E-2</v>
      </c>
      <c r="AE24">
        <f si="1" t="shared"/>
        <v>0</v>
      </c>
    </row>
    <row r="25" spans="1:31" x14ac:dyDescent="0.25">
      <c r="B25" s="14" t="s">
        <v>8</v>
      </c>
      <c r="C25" s="9">
        <f>transit_targets!B59</f>
        <v>0</v>
      </c>
      <c r="D25" s="9">
        <f>transit_targets!C59</f>
        <v>0</v>
      </c>
      <c r="E25" s="9">
        <f>transit_targets!D59</f>
        <v>0</v>
      </c>
      <c r="F25" s="9">
        <f>transit_targets!E59</f>
        <v>389.56202400000001</v>
      </c>
      <c r="H25" s="14" t="s">
        <v>8</v>
      </c>
      <c r="I25" s="9">
        <f>Escort!L11</f>
        <v>0</v>
      </c>
      <c r="J25" s="9">
        <f>Escort!O11</f>
        <v>0</v>
      </c>
      <c r="K25" s="9">
        <f>Escort!Q11</f>
        <v>0</v>
      </c>
      <c r="L25" s="9">
        <f>Escort!R11</f>
        <v>0</v>
      </c>
      <c r="M25" s="12"/>
      <c r="N25" s="14" t="s">
        <v>8</v>
      </c>
      <c r="O25" s="7" t="str">
        <f si="3" t="shared"/>
        <v/>
      </c>
      <c r="P25" s="7" t="str">
        <f si="2" t="shared"/>
        <v/>
      </c>
      <c r="Q25" s="7" t="str">
        <f si="2" t="shared"/>
        <v/>
      </c>
      <c r="R25" s="7" t="str">
        <f si="2" t="shared"/>
        <v/>
      </c>
      <c r="T25" s="12"/>
      <c r="U25" s="65"/>
      <c r="V25" s="65"/>
      <c r="W25" s="65"/>
      <c r="X25" s="65"/>
      <c r="Y25" s="41"/>
      <c r="AA25" s="47">
        <f>EscortCoefficients!B33</f>
        <v>83</v>
      </c>
      <c r="AB25" s="47" t="str">
        <f>EscortCoefficients!C33</f>
        <v>wk-hhdas</v>
      </c>
      <c r="AC25" s="81">
        <f>EscortCoefficients!E33</f>
        <v>-1.4154841929999999</v>
      </c>
      <c r="AD25" s="82">
        <f si="0" t="shared"/>
        <v>-1.4154841929999999</v>
      </c>
      <c r="AE25">
        <f si="1" t="shared"/>
        <v>0</v>
      </c>
    </row>
    <row ht="15.75" r="26" spans="1:31" thickBot="1" x14ac:dyDescent="0.3">
      <c r="B26" s="66" t="s">
        <v>19</v>
      </c>
      <c r="C26" s="67">
        <f>SUM(C18:C25)</f>
        <v>1330.1693229999998</v>
      </c>
      <c r="D26" s="67">
        <f ref="D26:F26" si="4" t="shared">SUM(D18:D25)</f>
        <v>34586.457613999999</v>
      </c>
      <c r="E26" s="67">
        <f si="4" t="shared"/>
        <v>6053.0619930000003</v>
      </c>
      <c r="F26" s="67">
        <f si="4" t="shared"/>
        <v>175876.86511000004</v>
      </c>
      <c r="H26" s="66" t="s">
        <v>19</v>
      </c>
      <c r="I26" s="67">
        <f>SUM(I18:I25)</f>
        <v>7131</v>
      </c>
      <c r="J26" s="67">
        <f ref="J26:L26" si="5" t="shared">SUM(J18:J25)</f>
        <v>65751</v>
      </c>
      <c r="K26" s="67">
        <f si="5" t="shared"/>
        <v>14681</v>
      </c>
      <c r="L26" s="67">
        <f si="5" t="shared"/>
        <v>190439</v>
      </c>
      <c r="M26" s="12"/>
      <c r="T26" s="12"/>
      <c r="U26" s="65"/>
      <c r="V26" s="65"/>
      <c r="W26" s="65"/>
      <c r="X26" s="65"/>
      <c r="Y26" s="41"/>
      <c r="AA26" s="47">
        <f>EscortCoefficients!B34</f>
        <v>-1</v>
      </c>
      <c r="AB26" s="47"/>
      <c r="AC26" s="84"/>
      <c r="AD26" s="84"/>
    </row>
    <row r="27" spans="1:31" x14ac:dyDescent="0.25">
      <c r="A27" s="139" t="s">
        <v>276</v>
      </c>
      <c r="B27" s="9" t="s">
        <v>4</v>
      </c>
      <c r="C27" s="54">
        <f>Escort!B13</f>
        <v>0</v>
      </c>
      <c r="D27" s="54">
        <f>Escort!E13</f>
        <v>0</v>
      </c>
      <c r="E27" s="54">
        <f>Escort!G13</f>
        <v>0</v>
      </c>
      <c r="F27" s="54">
        <v>1</v>
      </c>
      <c r="P27" s="47"/>
      <c r="Q27" s="47"/>
      <c r="R27" s="47"/>
      <c r="T27" s="41"/>
      <c r="U27" s="41"/>
      <c r="V27" s="41"/>
      <c r="W27" s="41"/>
      <c r="X27" s="41"/>
      <c r="Y27" s="41"/>
      <c r="AA27" s="47"/>
      <c r="AB27" s="47"/>
      <c r="AC27" s="84"/>
      <c r="AD27" s="84"/>
    </row>
    <row r="28" spans="1:31" x14ac:dyDescent="0.25">
      <c r="A28" s="139"/>
      <c r="B28" s="9" t="s">
        <v>5</v>
      </c>
      <c r="C28" s="54">
        <f>Escort!B14</f>
        <v>0.36369911005635458</v>
      </c>
      <c r="D28" s="54">
        <f>Escort!E14</f>
        <v>0</v>
      </c>
      <c r="E28" s="54">
        <f>Escort!G14</f>
        <v>0</v>
      </c>
      <c r="F28" s="54">
        <v>1</v>
      </c>
      <c r="AA28" s="47"/>
      <c r="AB28" s="47"/>
      <c r="AC28" s="84"/>
      <c r="AD28" s="84"/>
    </row>
    <row ht="15.75" r="29" spans="1:31" thickBot="1" x14ac:dyDescent="0.3">
      <c r="B29" s="57" t="s">
        <v>255</v>
      </c>
      <c r="H29" s="57" t="s">
        <v>256</v>
      </c>
      <c r="N29" s="36" t="s">
        <v>244</v>
      </c>
      <c r="T29" t="s">
        <v>258</v>
      </c>
      <c r="AA29" s="47"/>
      <c r="AB29" s="47"/>
      <c r="AC29" s="84"/>
      <c r="AD29" s="84"/>
    </row>
    <row r="30" spans="1:31" x14ac:dyDescent="0.25">
      <c r="B30" s="59" t="s">
        <v>0</v>
      </c>
      <c r="C30" s="60" t="s">
        <v>239</v>
      </c>
      <c r="D30" s="60" t="s">
        <v>234</v>
      </c>
      <c r="E30" s="60" t="str">
        <f>E17</f>
        <v>cars &lt; workers</v>
      </c>
      <c r="F30" s="60" t="s">
        <v>19</v>
      </c>
      <c r="H30" s="59" t="s">
        <v>0</v>
      </c>
      <c r="I30" s="60" t="s">
        <v>239</v>
      </c>
      <c r="J30" s="60" t="s">
        <v>234</v>
      </c>
      <c r="K30" s="60" t="s">
        <v>237</v>
      </c>
      <c r="L30" s="60" t="s">
        <v>19</v>
      </c>
      <c r="M30" s="56"/>
      <c r="N30" s="59" t="s">
        <v>0</v>
      </c>
      <c r="O30" s="60" t="s">
        <v>239</v>
      </c>
      <c r="P30" s="60" t="s">
        <v>234</v>
      </c>
      <c r="Q30" s="60" t="s">
        <v>237</v>
      </c>
      <c r="R30" s="60" t="s">
        <v>240</v>
      </c>
      <c r="T30" s="60" t="s">
        <v>50</v>
      </c>
      <c r="U30" s="60" t="s">
        <v>51</v>
      </c>
      <c r="V30" s="60" t="s">
        <v>200</v>
      </c>
      <c r="AA30" s="47"/>
      <c r="AB30" s="47"/>
      <c r="AC30" s="84"/>
      <c r="AD30" s="84"/>
    </row>
    <row r="31" spans="1:31" x14ac:dyDescent="0.25">
      <c r="B31" s="9" t="s">
        <v>1</v>
      </c>
      <c r="C31" s="54">
        <f>$C18/C$26</f>
        <v>0</v>
      </c>
      <c r="D31" s="54">
        <f>$D18/D$26</f>
        <v>6.4237085936799752E-3</v>
      </c>
      <c r="E31" s="54">
        <f>$E18/E$26</f>
        <v>0</v>
      </c>
      <c r="F31" s="54">
        <f>$F18/F$26</f>
        <v>2.1672140731051032E-2</v>
      </c>
      <c r="H31" s="9" t="s">
        <v>1</v>
      </c>
      <c r="I31" s="40">
        <f>$I18/I$26</f>
        <v>0</v>
      </c>
      <c r="J31" s="40">
        <f>$J18/J$26</f>
        <v>1.0783105960365622E-2</v>
      </c>
      <c r="K31" s="40">
        <f>$K18/K$26</f>
        <v>6.0622573394182961E-3</v>
      </c>
      <c r="L31" s="40">
        <f>$L18/L$26</f>
        <v>1.8457353798329124E-2</v>
      </c>
      <c r="M31" s="42"/>
      <c r="N31" s="9" t="s">
        <v>1</v>
      </c>
      <c r="O31" s="62" t="str">
        <f ref="O31:R38" si="6" t="shared">IF(O18="","-",C31/I31)</f>
        <v>-</v>
      </c>
      <c r="P31" s="62">
        <f si="6" t="shared"/>
        <v>0.59571969498314814</v>
      </c>
      <c r="Q31" s="62" t="str">
        <f si="6" t="shared"/>
        <v>-</v>
      </c>
      <c r="R31" s="62">
        <f si="6" t="shared"/>
        <v>1.174173772028628</v>
      </c>
      <c r="T31">
        <v>30</v>
      </c>
      <c r="U31" t="str">
        <f ref="U31:U44" si="7" t="shared">VLOOKUP(T31,$AA$3:$AB$48,2,FALSE)</f>
        <v>s3-const</v>
      </c>
      <c r="V31" s="46">
        <f>R81</f>
        <v>-2.5112174031630001</v>
      </c>
      <c r="AA31" s="47"/>
      <c r="AB31" s="47"/>
      <c r="AC31" s="84"/>
      <c r="AD31" s="84"/>
    </row>
    <row r="32" spans="1:31" x14ac:dyDescent="0.25">
      <c r="B32" s="9" t="s">
        <v>2</v>
      </c>
      <c r="C32" s="54">
        <f ref="C32:C38" si="8" t="shared">$C19/C$26</f>
        <v>1.5890716794105468E-2</v>
      </c>
      <c r="D32" s="54">
        <f ref="D32:D38" si="9" t="shared">$D19/D$26</f>
        <v>0.51937282628009818</v>
      </c>
      <c r="E32" s="54">
        <f ref="E32:E39" si="10" t="shared">$E19/E$26</f>
        <v>0.685721872301994</v>
      </c>
      <c r="F32" s="54">
        <f ref="F32:F39" si="11" t="shared">$F19/F$26</f>
        <v>0.47059280260786301</v>
      </c>
      <c r="H32" s="9" t="s">
        <v>2</v>
      </c>
      <c r="I32" s="40">
        <f ref="I32:I38" si="12" t="shared">$I19/I$26</f>
        <v>0.18033936334314962</v>
      </c>
      <c r="J32" s="40">
        <f ref="J32:J38" si="13" t="shared">$J19/J$26</f>
        <v>0.50628887773569986</v>
      </c>
      <c r="K32" s="40">
        <f ref="K32:K38" si="14" t="shared">$K19/K$26</f>
        <v>0.50643689121994417</v>
      </c>
      <c r="L32" s="40">
        <f ref="L32:L39" si="15" t="shared">$L19/L$26</f>
        <v>0.47570088059693655</v>
      </c>
      <c r="M32" s="42"/>
      <c r="N32" s="9" t="s">
        <v>2</v>
      </c>
      <c r="O32" s="85">
        <f>IF(O19="","-",(C32+C33)/(I32+I33))</f>
        <v>0.93323116254431215</v>
      </c>
      <c r="P32" s="86">
        <f>IF(P19="","-",(D32)/(J32))</f>
        <v>1.0258428520154625</v>
      </c>
      <c r="Q32" s="63" t="str">
        <f si="6" t="shared"/>
        <v>-</v>
      </c>
      <c r="R32" s="63">
        <f si="6" t="shared"/>
        <v>0.98926199593605202</v>
      </c>
      <c r="T32">
        <v>36</v>
      </c>
      <c r="U32" t="str">
        <f si="7" t="shared"/>
        <v>s3-nocars</v>
      </c>
      <c r="V32" s="46">
        <f>O81</f>
        <v>1.4574897382180001</v>
      </c>
      <c r="AA32" s="47"/>
      <c r="AB32" s="47"/>
      <c r="AC32" s="84"/>
      <c r="AD32" s="84"/>
    </row>
    <row r="33" spans="2:30" x14ac:dyDescent="0.25">
      <c r="B33" s="9" t="s">
        <v>3</v>
      </c>
      <c r="C33" s="54">
        <f si="8" t="shared"/>
        <v>0.77115909551012862</v>
      </c>
      <c r="D33" s="54">
        <f si="9" t="shared"/>
        <v>0.42281478766072284</v>
      </c>
      <c r="E33" s="54">
        <f si="10" t="shared"/>
        <v>0.29709346840981543</v>
      </c>
      <c r="F33" s="54">
        <f si="11" t="shared"/>
        <v>0.47655103345502192</v>
      </c>
      <c r="H33" s="9" t="s">
        <v>3</v>
      </c>
      <c r="I33" s="40">
        <f si="12" t="shared"/>
        <v>0.66302061421960456</v>
      </c>
      <c r="J33" s="40">
        <f si="13" t="shared"/>
        <v>0.44593998570363946</v>
      </c>
      <c r="K33" s="40">
        <f si="14" t="shared"/>
        <v>0.44322593828758261</v>
      </c>
      <c r="L33" s="40">
        <f si="15" t="shared"/>
        <v>0.47372124407290522</v>
      </c>
      <c r="M33" s="42"/>
      <c r="N33" s="9" t="s">
        <v>3</v>
      </c>
      <c r="O33" s="63">
        <f si="6" t="shared"/>
        <v>1.1630997271748578</v>
      </c>
      <c r="P33" s="63">
        <f si="6" t="shared"/>
        <v>0.94814280220593394</v>
      </c>
      <c r="Q33" s="63" t="str">
        <f si="6" t="shared"/>
        <v>-</v>
      </c>
      <c r="R33" s="63">
        <f si="6" t="shared"/>
        <v>1.0059735327843586</v>
      </c>
      <c r="T33">
        <v>37</v>
      </c>
      <c r="U33" t="str">
        <f si="7" t="shared"/>
        <v>s3-carsltd</v>
      </c>
      <c r="V33" s="46">
        <f>P81</f>
        <v>-0.271572152663</v>
      </c>
      <c r="AA33" s="47"/>
      <c r="AB33" s="47"/>
      <c r="AC33" s="84"/>
      <c r="AD33" s="84"/>
    </row>
    <row r="34" spans="2:30" x14ac:dyDescent="0.25">
      <c r="B34" s="9" t="s">
        <v>4</v>
      </c>
      <c r="C34" s="54">
        <f si="8" t="shared"/>
        <v>0</v>
      </c>
      <c r="D34" s="54">
        <f si="9" t="shared"/>
        <v>0</v>
      </c>
      <c r="E34" s="54">
        <f si="10" t="shared"/>
        <v>0</v>
      </c>
      <c r="F34" s="54">
        <f si="11" t="shared"/>
        <v>0</v>
      </c>
      <c r="H34" s="9" t="s">
        <v>4</v>
      </c>
      <c r="I34" s="40">
        <f si="12" t="shared"/>
        <v>0</v>
      </c>
      <c r="J34" s="40">
        <f si="13" t="shared"/>
        <v>0</v>
      </c>
      <c r="K34" s="40">
        <f si="14" t="shared"/>
        <v>0</v>
      </c>
      <c r="L34" s="40">
        <f si="15" t="shared"/>
        <v>0</v>
      </c>
      <c r="M34" s="42"/>
      <c r="N34" s="9" t="s">
        <v>4</v>
      </c>
      <c r="O34" s="63" t="str">
        <f si="6" t="shared"/>
        <v>-</v>
      </c>
      <c r="P34" s="63" t="str">
        <f si="6" t="shared"/>
        <v>-</v>
      </c>
      <c r="Q34" s="63" t="str">
        <f si="6" t="shared"/>
        <v>-</v>
      </c>
      <c r="R34" s="63" t="str">
        <f si="6" t="shared"/>
        <v>-</v>
      </c>
      <c r="T34">
        <v>40</v>
      </c>
      <c r="U34" t="str">
        <f si="7" t="shared"/>
        <v>s2-const</v>
      </c>
      <c r="V34" s="46">
        <f>R80</f>
        <v>-1.6429440483269999</v>
      </c>
      <c r="AA34" s="47"/>
      <c r="AB34" s="47"/>
      <c r="AC34" s="84"/>
      <c r="AD34" s="84"/>
    </row>
    <row r="35" spans="2:30" x14ac:dyDescent="0.25">
      <c r="B35" s="9" t="s">
        <v>5</v>
      </c>
      <c r="C35" s="54">
        <f si="8" t="shared"/>
        <v>0</v>
      </c>
      <c r="D35" s="54">
        <f si="9" t="shared"/>
        <v>0</v>
      </c>
      <c r="E35" s="54">
        <f si="10" t="shared"/>
        <v>0</v>
      </c>
      <c r="F35" s="54">
        <f si="11" t="shared"/>
        <v>0</v>
      </c>
      <c r="H35" s="9" t="s">
        <v>5</v>
      </c>
      <c r="I35" s="40">
        <f si="12" t="shared"/>
        <v>0</v>
      </c>
      <c r="J35" s="40">
        <f si="13" t="shared"/>
        <v>0</v>
      </c>
      <c r="K35" s="40">
        <f si="14" t="shared"/>
        <v>0</v>
      </c>
      <c r="L35" s="40">
        <f si="15" t="shared"/>
        <v>0</v>
      </c>
      <c r="M35" s="42"/>
      <c r="N35" s="9" t="s">
        <v>5</v>
      </c>
      <c r="O35" s="63" t="str">
        <f si="6" t="shared"/>
        <v>-</v>
      </c>
      <c r="P35" s="63" t="str">
        <f si="6" t="shared"/>
        <v>-</v>
      </c>
      <c r="Q35" s="63" t="str">
        <f si="6" t="shared"/>
        <v>-</v>
      </c>
      <c r="R35" s="63" t="str">
        <f si="6" t="shared"/>
        <v>-</v>
      </c>
      <c r="T35">
        <v>41</v>
      </c>
      <c r="U35" t="str">
        <f si="7" t="shared"/>
        <v>sr-nocars</v>
      </c>
      <c r="V35" s="46">
        <f>O80</f>
        <v>-6.1146910156400001</v>
      </c>
      <c r="AA35" s="47"/>
      <c r="AB35" s="47"/>
      <c r="AC35" s="84"/>
      <c r="AD35" s="84"/>
    </row>
    <row r="36" spans="2:30" x14ac:dyDescent="0.25">
      <c r="B36" s="9" t="s">
        <v>6</v>
      </c>
      <c r="C36" s="54">
        <f si="8" t="shared"/>
        <v>0</v>
      </c>
      <c r="D36" s="54">
        <f si="9" t="shared"/>
        <v>0</v>
      </c>
      <c r="E36" s="54">
        <f si="10" t="shared"/>
        <v>0</v>
      </c>
      <c r="F36" s="54">
        <f si="11" t="shared"/>
        <v>0</v>
      </c>
      <c r="H36" s="9" t="s">
        <v>6</v>
      </c>
      <c r="I36" s="40">
        <f si="12" t="shared"/>
        <v>1.2761183564717431E-2</v>
      </c>
      <c r="J36" s="40">
        <f si="13" t="shared"/>
        <v>4.5626682483916596E-5</v>
      </c>
      <c r="K36" s="40">
        <f si="14" t="shared"/>
        <v>0</v>
      </c>
      <c r="L36" s="40">
        <f si="15" t="shared"/>
        <v>5.0934945048020628E-4</v>
      </c>
      <c r="M36" s="42"/>
      <c r="N36" s="9" t="s">
        <v>6</v>
      </c>
      <c r="O36" s="63">
        <f si="6" t="shared"/>
        <v>0</v>
      </c>
      <c r="P36" s="63">
        <f>IFERROR(IF(P23="","-",D36/J36),0)</f>
        <v>0</v>
      </c>
      <c r="Q36" s="63" t="str">
        <f si="6" t="shared"/>
        <v>-</v>
      </c>
      <c r="R36" s="63">
        <f si="6" t="shared"/>
        <v>0</v>
      </c>
      <c r="T36">
        <v>42</v>
      </c>
      <c r="U36" t="str">
        <f si="7" t="shared"/>
        <v>sr-carsltd</v>
      </c>
      <c r="V36" s="46">
        <f>P80</f>
        <v>0.121738261781</v>
      </c>
      <c r="AA36" s="47"/>
      <c r="AB36" s="47"/>
      <c r="AC36" s="84"/>
      <c r="AD36" s="84"/>
    </row>
    <row r="37" spans="2:30" x14ac:dyDescent="0.25">
      <c r="B37" s="9" t="s">
        <v>7</v>
      </c>
      <c r="C37" s="54">
        <f si="8" t="shared"/>
        <v>0.21295018769576601</v>
      </c>
      <c r="D37" s="54">
        <f si="9" t="shared"/>
        <v>5.138867746549905E-2</v>
      </c>
      <c r="E37" s="54">
        <f si="10" t="shared"/>
        <v>1.7184659288190442E-2</v>
      </c>
      <c r="F37" s="54">
        <f si="11" t="shared"/>
        <v>2.8969052955392417E-2</v>
      </c>
      <c r="H37" s="9" t="s">
        <v>7</v>
      </c>
      <c r="I37" s="40">
        <f si="12" t="shared"/>
        <v>0.14387883887252839</v>
      </c>
      <c r="J37" s="40">
        <f si="13" t="shared"/>
        <v>3.6942403917811138E-2</v>
      </c>
      <c r="K37" s="40">
        <f si="14" t="shared"/>
        <v>4.4274913153054971E-2</v>
      </c>
      <c r="L37" s="40">
        <f si="15" t="shared"/>
        <v>3.1611172081348886E-2</v>
      </c>
      <c r="M37" s="42"/>
      <c r="N37" s="9" t="s">
        <v>7</v>
      </c>
      <c r="O37" s="63">
        <f si="6" t="shared"/>
        <v>1.480066070622327</v>
      </c>
      <c r="P37" s="63">
        <f si="6" t="shared"/>
        <v>1.3910485516813618</v>
      </c>
      <c r="Q37" s="63" t="str">
        <f si="6" t="shared"/>
        <v>-</v>
      </c>
      <c r="R37" s="63">
        <f>IF(R24="","-",F37/L37)</f>
        <v>0.91641818534418207</v>
      </c>
      <c r="T37">
        <v>50</v>
      </c>
      <c r="U37" t="str">
        <f si="7" t="shared"/>
        <v>da-const</v>
      </c>
      <c r="V37" s="46">
        <f>R79</f>
        <v>-9.42291722515</v>
      </c>
      <c r="AA37" s="47"/>
      <c r="AB37" s="47"/>
      <c r="AC37" s="84"/>
      <c r="AD37" s="84"/>
    </row>
    <row r="38" spans="2:30" x14ac:dyDescent="0.25">
      <c r="B38" s="14" t="s">
        <v>8</v>
      </c>
      <c r="C38" s="54">
        <f si="8" t="shared"/>
        <v>0</v>
      </c>
      <c r="D38" s="54">
        <f si="9" t="shared"/>
        <v>0</v>
      </c>
      <c r="E38" s="54">
        <f si="10" t="shared"/>
        <v>0</v>
      </c>
      <c r="F38" s="54">
        <f si="11" t="shared"/>
        <v>2.2149702506714182E-3</v>
      </c>
      <c r="H38" s="14" t="s">
        <v>8</v>
      </c>
      <c r="I38" s="40">
        <f si="12" t="shared"/>
        <v>0</v>
      </c>
      <c r="J38" s="40">
        <f si="13" t="shared"/>
        <v>0</v>
      </c>
      <c r="K38" s="40">
        <f si="14" t="shared"/>
        <v>0</v>
      </c>
      <c r="L38" s="40">
        <f si="15" t="shared"/>
        <v>0</v>
      </c>
      <c r="M38" s="42"/>
      <c r="N38" s="14" t="s">
        <v>8</v>
      </c>
      <c r="O38" s="64" t="str">
        <f si="6" t="shared"/>
        <v>-</v>
      </c>
      <c r="P38" s="64" t="str">
        <f si="6" t="shared"/>
        <v>-</v>
      </c>
      <c r="Q38" s="64" t="str">
        <f si="6" t="shared"/>
        <v>-</v>
      </c>
      <c r="R38" s="64" t="str">
        <f si="6" t="shared"/>
        <v>-</v>
      </c>
      <c r="T38">
        <v>52</v>
      </c>
      <c r="U38" t="str">
        <f si="7" t="shared"/>
        <v>da-carsltd</v>
      </c>
      <c r="V38" s="46">
        <f>P79</f>
        <v>-1.2907770727600001</v>
      </c>
      <c r="AA38" s="47"/>
      <c r="AB38" s="47"/>
      <c r="AC38" s="84"/>
      <c r="AD38" s="84"/>
    </row>
    <row ht="15.75" r="39" spans="2:30" thickBot="1" x14ac:dyDescent="0.3">
      <c r="B39" s="66" t="s">
        <v>19</v>
      </c>
      <c r="C39" s="68">
        <f>SUM(C31:C38)</f>
        <v>1</v>
      </c>
      <c r="D39" s="68">
        <f ref="D39" si="16" t="shared">SUM(D31:D38)</f>
        <v>1</v>
      </c>
      <c r="E39" s="68">
        <f si="10" t="shared"/>
        <v>1</v>
      </c>
      <c r="F39" s="68">
        <f si="11" t="shared"/>
        <v>1</v>
      </c>
      <c r="H39" s="66" t="s">
        <v>19</v>
      </c>
      <c r="I39" s="69">
        <f>SUM(I31:I38)</f>
        <v>1</v>
      </c>
      <c r="J39" s="69">
        <f ref="J39:K39" si="17" t="shared">SUM(J31:J38)</f>
        <v>0.99999999999999989</v>
      </c>
      <c r="K39" s="69">
        <f si="17" t="shared"/>
        <v>1</v>
      </c>
      <c r="L39" s="69">
        <f si="15" t="shared"/>
        <v>1</v>
      </c>
      <c r="M39" s="42"/>
      <c r="N39" s="39" t="s">
        <v>260</v>
      </c>
      <c r="O39" s="41"/>
      <c r="P39" s="41"/>
      <c r="Q39" s="41"/>
      <c r="R39" s="41"/>
      <c r="T39">
        <v>60</v>
      </c>
      <c r="U39" t="str">
        <f si="7" t="shared"/>
        <v>bi-const</v>
      </c>
      <c r="V39" s="46">
        <f>R84</f>
        <v>-15</v>
      </c>
      <c r="AA39" s="47"/>
      <c r="AB39" s="47"/>
      <c r="AC39" s="84"/>
      <c r="AD39" s="84"/>
    </row>
    <row r="40" spans="2:30" x14ac:dyDescent="0.25">
      <c r="T40">
        <v>67</v>
      </c>
      <c r="U40" t="str">
        <f si="7" t="shared"/>
        <v>bi-nocars</v>
      </c>
      <c r="V40" s="46">
        <f>O84</f>
        <v>0</v>
      </c>
      <c r="AA40" s="47"/>
      <c r="AB40" s="47"/>
      <c r="AC40" s="84"/>
      <c r="AD40" s="84"/>
    </row>
    <row r="41" spans="2:30" x14ac:dyDescent="0.25">
      <c r="T41">
        <v>68</v>
      </c>
      <c r="U41" t="str">
        <f si="7" t="shared"/>
        <v>bi-carsltd</v>
      </c>
      <c r="V41" s="46">
        <f>P84</f>
        <v>0</v>
      </c>
      <c r="Y41" s="41"/>
      <c r="AA41" s="47"/>
      <c r="AB41" s="47"/>
      <c r="AC41" s="84"/>
      <c r="AD41" s="84"/>
    </row>
    <row ht="15.75" r="42" spans="2:30" thickBot="1" x14ac:dyDescent="0.3">
      <c r="N42" s="36" t="s">
        <v>257</v>
      </c>
      <c r="T42">
        <v>70</v>
      </c>
      <c r="U42" t="str">
        <f si="7" t="shared"/>
        <v>wk-const</v>
      </c>
      <c r="V42" s="46">
        <f>R85</f>
        <v>-7.2110841533E-2</v>
      </c>
      <c r="Y42" s="41"/>
      <c r="AA42" s="47"/>
      <c r="AB42" s="47"/>
      <c r="AC42" s="84"/>
      <c r="AD42" s="84"/>
    </row>
    <row r="43" spans="2:30" x14ac:dyDescent="0.25">
      <c r="N43" s="59" t="s">
        <v>0</v>
      </c>
      <c r="O43" s="60" t="s">
        <v>239</v>
      </c>
      <c r="P43" s="60" t="s">
        <v>234</v>
      </c>
      <c r="Q43" s="60" t="s">
        <v>237</v>
      </c>
      <c r="R43" s="60" t="s">
        <v>240</v>
      </c>
      <c r="T43">
        <v>77</v>
      </c>
      <c r="U43" t="str">
        <f si="7" t="shared"/>
        <v>wk-nocars</v>
      </c>
      <c r="V43" s="46">
        <f>O85</f>
        <v>1.2149093918210001</v>
      </c>
      <c r="Y43" s="41"/>
      <c r="AA43" s="47"/>
      <c r="AB43" s="47"/>
      <c r="AC43" s="84"/>
      <c r="AD43" s="84"/>
    </row>
    <row r="44" spans="2:30" x14ac:dyDescent="0.25">
      <c r="B44" s="41"/>
      <c r="C44" s="41"/>
      <c r="D44" s="41"/>
      <c r="E44" s="41"/>
      <c r="N44" s="9" t="s">
        <v>1</v>
      </c>
      <c r="O44" s="76" t="str">
        <f ref="O44:R51" si="18" t="shared">IF(O18="","-",IF(O31&gt;0,LN(O31),0))</f>
        <v>-</v>
      </c>
      <c r="P44" s="76">
        <f si="18" t="shared"/>
        <v>-0.51798503297838605</v>
      </c>
      <c r="Q44" s="76" t="str">
        <f si="18" t="shared"/>
        <v>-</v>
      </c>
      <c r="R44" s="76">
        <f si="18" t="shared"/>
        <v>0.16056472751262069</v>
      </c>
      <c r="T44" s="6">
        <v>78</v>
      </c>
      <c r="U44" s="6" t="str">
        <f si="7" t="shared"/>
        <v>wk-carsltd</v>
      </c>
      <c r="V44" s="80">
        <f>P85</f>
        <v>1.650016479871</v>
      </c>
      <c r="Y44" s="41"/>
      <c r="AA44" s="47"/>
      <c r="AB44" s="47"/>
      <c r="AC44" s="84"/>
      <c r="AD44" s="84"/>
    </row>
    <row r="45" spans="2:30" x14ac:dyDescent="0.25">
      <c r="B45" s="70"/>
      <c r="C45" s="41"/>
      <c r="D45" s="41"/>
      <c r="E45" s="41"/>
      <c r="N45" s="9" t="s">
        <v>2</v>
      </c>
      <c r="O45" s="77">
        <f si="18" t="shared"/>
        <v>-6.9102346181609861E-2</v>
      </c>
      <c r="P45" s="77">
        <f si="18" t="shared"/>
        <v>2.551456934058053E-2</v>
      </c>
      <c r="Q45" s="77" t="str">
        <f si="18" t="shared"/>
        <v>-</v>
      </c>
      <c r="R45" s="77">
        <f si="18" t="shared"/>
        <v>-1.0796072496416891E-2</v>
      </c>
      <c r="Y45" s="41"/>
      <c r="AA45" s="47"/>
      <c r="AB45" s="47"/>
      <c r="AC45" s="84"/>
      <c r="AD45" s="84"/>
    </row>
    <row r="46" spans="2:30" x14ac:dyDescent="0.25">
      <c r="B46" s="41"/>
      <c r="C46" s="88"/>
      <c r="D46" s="88"/>
      <c r="E46" s="88"/>
      <c r="N46" s="9" t="s">
        <v>3</v>
      </c>
      <c r="O46" s="77">
        <f si="18" t="shared"/>
        <v>0.15108861979560112</v>
      </c>
      <c r="P46" s="77">
        <f si="18" t="shared"/>
        <v>-5.3250152833136589E-2</v>
      </c>
      <c r="Q46" s="77" t="str">
        <f si="18" t="shared"/>
        <v>-</v>
      </c>
      <c r="R46" s="77">
        <f si="18" t="shared"/>
        <v>5.9557619719657392E-3</v>
      </c>
      <c r="Y46" s="41"/>
      <c r="AA46" s="47"/>
      <c r="AB46" s="47"/>
      <c r="AC46" s="84"/>
      <c r="AD46" s="84"/>
    </row>
    <row r="47" spans="2:30" x14ac:dyDescent="0.25">
      <c r="B47" s="12"/>
      <c r="C47" s="55"/>
      <c r="D47" s="55"/>
      <c r="E47" s="55"/>
      <c r="N47" s="9" t="s">
        <v>4</v>
      </c>
      <c r="O47" s="77" t="str">
        <f si="18" t="shared"/>
        <v>-</v>
      </c>
      <c r="P47" s="77" t="str">
        <f si="18" t="shared"/>
        <v>-</v>
      </c>
      <c r="Q47" s="77" t="str">
        <f si="18" t="shared"/>
        <v>-</v>
      </c>
      <c r="R47" s="77" t="str">
        <f si="18" t="shared"/>
        <v>-</v>
      </c>
      <c r="Y47" s="41"/>
      <c r="AA47" s="47"/>
      <c r="AB47" s="47"/>
      <c r="AC47" s="84"/>
      <c r="AD47" s="84"/>
    </row>
    <row r="48" spans="2:30" x14ac:dyDescent="0.25">
      <c r="B48" s="12"/>
      <c r="C48" s="55"/>
      <c r="D48" s="55"/>
      <c r="E48" s="55"/>
      <c r="N48" s="9" t="s">
        <v>5</v>
      </c>
      <c r="O48" s="77" t="str">
        <f si="18" t="shared"/>
        <v>-</v>
      </c>
      <c r="P48" s="77" t="str">
        <f si="18" t="shared"/>
        <v>-</v>
      </c>
      <c r="Q48" s="77" t="str">
        <f si="18" t="shared"/>
        <v>-</v>
      </c>
      <c r="R48" s="77" t="str">
        <f si="18" t="shared"/>
        <v>-</v>
      </c>
      <c r="Y48" s="41"/>
      <c r="AA48" s="47"/>
      <c r="AB48" s="47"/>
      <c r="AC48" s="84"/>
      <c r="AD48" s="84"/>
    </row>
    <row r="49" spans="2:30" x14ac:dyDescent="0.25">
      <c r="B49" s="12"/>
      <c r="C49" s="55"/>
      <c r="D49" s="55"/>
      <c r="E49" s="55"/>
      <c r="N49" s="9" t="s">
        <v>6</v>
      </c>
      <c r="O49" s="77">
        <f si="18" t="shared"/>
        <v>0</v>
      </c>
      <c r="P49" s="77">
        <f si="18" t="shared"/>
        <v>0</v>
      </c>
      <c r="Q49" s="77" t="str">
        <f si="18" t="shared"/>
        <v>-</v>
      </c>
      <c r="R49" s="77">
        <f si="18" t="shared"/>
        <v>0</v>
      </c>
      <c r="Y49" s="41"/>
      <c r="AA49" s="47"/>
      <c r="AB49" s="47"/>
      <c r="AC49" s="47"/>
      <c r="AD49" s="47"/>
    </row>
    <row r="50" spans="2:30" x14ac:dyDescent="0.25">
      <c r="B50" s="12"/>
      <c r="C50" s="55"/>
      <c r="D50" s="55"/>
      <c r="E50" s="55"/>
      <c r="N50" s="9" t="s">
        <v>7</v>
      </c>
      <c r="O50" s="77">
        <f si="18" t="shared"/>
        <v>0.3920867290919684</v>
      </c>
      <c r="P50" s="77">
        <f si="18" t="shared"/>
        <v>0.33005781648843291</v>
      </c>
      <c r="Q50" s="77" t="str">
        <f si="18" t="shared"/>
        <v>-</v>
      </c>
      <c r="R50" s="77">
        <f si="18" t="shared"/>
        <v>-8.7282484269507132E-2</v>
      </c>
      <c r="Y50" s="41"/>
    </row>
    <row r="51" spans="2:30" x14ac:dyDescent="0.25">
      <c r="B51" s="12"/>
      <c r="C51" s="55"/>
      <c r="D51" s="55"/>
      <c r="E51" s="55"/>
      <c r="N51" s="14" t="s">
        <v>8</v>
      </c>
      <c r="O51" s="78" t="str">
        <f si="18" t="shared"/>
        <v>-</v>
      </c>
      <c r="P51" s="78" t="str">
        <f si="18" t="shared"/>
        <v>-</v>
      </c>
      <c r="Q51" s="78" t="str">
        <f si="18" t="shared"/>
        <v>-</v>
      </c>
      <c r="R51" s="78" t="str">
        <f si="18" t="shared"/>
        <v>-</v>
      </c>
      <c r="Y51" s="41"/>
    </row>
    <row r="52" spans="2:30" x14ac:dyDescent="0.25">
      <c r="B52" s="12"/>
      <c r="C52" s="55"/>
      <c r="D52" s="55"/>
      <c r="E52" s="55"/>
      <c r="N52" s="41"/>
      <c r="O52" s="41"/>
      <c r="P52" s="41"/>
      <c r="Q52" s="41"/>
      <c r="R52" s="41"/>
    </row>
    <row r="53" spans="2:30" x14ac:dyDescent="0.25">
      <c r="B53" s="12"/>
      <c r="C53" s="55"/>
      <c r="D53" s="55"/>
      <c r="E53" s="55"/>
      <c r="P53" t="s">
        <v>246</v>
      </c>
      <c r="Q53" s="47"/>
    </row>
    <row ht="15.75" r="54" spans="2:30" thickBot="1" x14ac:dyDescent="0.3">
      <c r="B54" s="39"/>
      <c r="C54" s="41"/>
      <c r="D54" s="41"/>
      <c r="E54" s="41"/>
      <c r="N54" s="36" t="s">
        <v>198</v>
      </c>
      <c r="O54" s="79">
        <v>0</v>
      </c>
      <c r="P54" s="79">
        <v>0</v>
      </c>
      <c r="Q54" s="79">
        <v>0</v>
      </c>
      <c r="R54" s="79">
        <v>0</v>
      </c>
    </row>
    <row r="55" spans="2:30" x14ac:dyDescent="0.25">
      <c r="B55" s="70"/>
      <c r="C55" s="41"/>
      <c r="D55" s="41"/>
      <c r="E55" s="41"/>
      <c r="N55" s="2" t="s">
        <v>0</v>
      </c>
      <c r="O55" s="92" t="str">
        <f>O43</f>
        <v>nocars</v>
      </c>
      <c r="P55" s="92" t="str">
        <f>P43</f>
        <v>cars &lt; adults</v>
      </c>
      <c r="Q55" s="92" t="str">
        <f>Q43</f>
        <v>cars &lt; workers</v>
      </c>
      <c r="R55" s="92" t="str">
        <f>R43</f>
        <v>constant</v>
      </c>
    </row>
    <row r="56" spans="2:30" x14ac:dyDescent="0.25">
      <c r="B56" s="41"/>
      <c r="C56" s="88"/>
      <c r="D56" s="88"/>
      <c r="E56" s="88"/>
      <c r="N56" s="9" t="s">
        <v>1</v>
      </c>
      <c r="O56" s="72" t="str">
        <f>IF(O18="","-",IF($R18="",$O$54*O44,$O$54*(O44)))</f>
        <v>-</v>
      </c>
      <c r="P56" s="72">
        <f ref="P56:P63" si="19" t="shared">IF(P18="","-",IF($R18="",$P$54*P44,$P$54*(P44)))</f>
        <v>0</v>
      </c>
      <c r="Q56" s="72" t="str">
        <f ref="Q56:Q63" si="20" t="shared">IF(Q18="","-",IF($R18="",$Q$54*Q44,$Q$54*(Q44)))</f>
        <v>-</v>
      </c>
      <c r="R56" s="72">
        <f ref="R56:R63" si="21" t="shared">IF(R18="","-",$R$54*R44)</f>
        <v>0</v>
      </c>
    </row>
    <row r="57" spans="2:30" x14ac:dyDescent="0.25">
      <c r="B57" s="12"/>
      <c r="C57" s="55"/>
      <c r="D57" s="55"/>
      <c r="E57" s="55"/>
      <c r="N57" s="9" t="s">
        <v>2</v>
      </c>
      <c r="O57" s="73">
        <f>IF(O19="","-",IF($R19="",$O$54*O45,$O$54*(O45)))</f>
        <v>0</v>
      </c>
      <c r="P57" s="73">
        <f si="19" t="shared"/>
        <v>0</v>
      </c>
      <c r="Q57" s="73" t="str">
        <f si="20" t="shared"/>
        <v>-</v>
      </c>
      <c r="R57" s="73">
        <f si="21" t="shared"/>
        <v>0</v>
      </c>
    </row>
    <row r="58" spans="2:30" x14ac:dyDescent="0.25">
      <c r="B58" s="12"/>
      <c r="C58" s="71"/>
      <c r="D58" s="71"/>
      <c r="E58" s="71"/>
      <c r="N58" s="9" t="s">
        <v>3</v>
      </c>
      <c r="O58" s="73">
        <f>IF(O20="","-",IF($R20="",$O$54*O46,$O$54*(O46-O57)))</f>
        <v>0</v>
      </c>
      <c r="P58" s="73">
        <f si="19" t="shared"/>
        <v>0</v>
      </c>
      <c r="Q58" s="73" t="str">
        <f si="20" t="shared"/>
        <v>-</v>
      </c>
      <c r="R58" s="73">
        <f si="21" t="shared"/>
        <v>0</v>
      </c>
    </row>
    <row r="59" spans="2:30" x14ac:dyDescent="0.25">
      <c r="B59" s="12"/>
      <c r="C59" s="71"/>
      <c r="D59" s="71"/>
      <c r="E59" s="71"/>
      <c r="N59" s="9" t="s">
        <v>4</v>
      </c>
      <c r="O59" s="73" t="str">
        <f>IF(O21="","-",IF($R21="",$O$54*O47,$O$54*(O47)))</f>
        <v>-</v>
      </c>
      <c r="P59" s="73" t="str">
        <f si="19" t="shared"/>
        <v>-</v>
      </c>
      <c r="Q59" s="73" t="str">
        <f si="20" t="shared"/>
        <v>-</v>
      </c>
      <c r="R59" s="73" t="str">
        <f si="21" t="shared"/>
        <v>-</v>
      </c>
    </row>
    <row r="60" spans="2:30" x14ac:dyDescent="0.25">
      <c r="B60" s="12"/>
      <c r="C60" s="55"/>
      <c r="D60" s="55"/>
      <c r="E60" s="55"/>
      <c r="N60" s="9" t="s">
        <v>5</v>
      </c>
      <c r="O60" s="73" t="str">
        <f>IF(O22="","-",IF($R22="",$O$54*O48,$O$54*(O48)))</f>
        <v>-</v>
      </c>
      <c r="P60" s="73" t="str">
        <f si="19" t="shared"/>
        <v>-</v>
      </c>
      <c r="Q60" s="73" t="str">
        <f si="20" t="shared"/>
        <v>-</v>
      </c>
      <c r="R60" s="73" t="str">
        <f si="21" t="shared"/>
        <v>-</v>
      </c>
    </row>
    <row r="61" spans="2:30" x14ac:dyDescent="0.25">
      <c r="B61" s="12"/>
      <c r="C61" s="55"/>
      <c r="D61" s="55"/>
      <c r="E61" s="55"/>
      <c r="N61" s="9" t="s">
        <v>6</v>
      </c>
      <c r="O61" s="73">
        <f>IF(O23="","-",IF($R23="",$O$54*O49,$O$54*(O49)))</f>
        <v>0</v>
      </c>
      <c r="P61" s="73">
        <f si="19" t="shared"/>
        <v>0</v>
      </c>
      <c r="Q61" s="73" t="str">
        <f si="20" t="shared"/>
        <v>-</v>
      </c>
      <c r="R61" s="73">
        <f si="21" t="shared"/>
        <v>0</v>
      </c>
    </row>
    <row r="62" spans="2:30" x14ac:dyDescent="0.25">
      <c r="B62" s="12"/>
      <c r="C62" s="55"/>
      <c r="D62" s="55"/>
      <c r="E62" s="55"/>
      <c r="N62" s="9" t="s">
        <v>7</v>
      </c>
      <c r="O62" s="73">
        <f>IF(O24="","-",IF($R24="",$O$54*O50,$O$54*(O50)))</f>
        <v>0</v>
      </c>
      <c r="P62" s="73">
        <f si="19" t="shared"/>
        <v>0</v>
      </c>
      <c r="Q62" s="73" t="str">
        <f si="20" t="shared"/>
        <v>-</v>
      </c>
      <c r="R62" s="73">
        <f si="21" t="shared"/>
        <v>0</v>
      </c>
    </row>
    <row r="63" spans="2:30" x14ac:dyDescent="0.25">
      <c r="B63" s="12"/>
      <c r="C63" s="55"/>
      <c r="D63" s="55"/>
      <c r="E63" s="55"/>
      <c r="N63" s="14" t="s">
        <v>8</v>
      </c>
      <c r="O63" s="74" t="str">
        <f>IF(O25="","-",IF($R25="",$O$54*O51,$O$54*(O51)))</f>
        <v>-</v>
      </c>
      <c r="P63" s="74" t="str">
        <f si="19" t="shared"/>
        <v>-</v>
      </c>
      <c r="Q63" s="74" t="str">
        <f si="20" t="shared"/>
        <v>-</v>
      </c>
      <c r="R63" s="74" t="str">
        <f si="21" t="shared"/>
        <v>-</v>
      </c>
      <c r="S63" s="41"/>
    </row>
    <row r="64" spans="2:30" x14ac:dyDescent="0.25">
      <c r="B64" s="12"/>
      <c r="C64" s="55"/>
      <c r="D64" s="55"/>
      <c r="E64" s="55"/>
      <c r="N64" s="39" t="s">
        <v>261</v>
      </c>
    </row>
    <row r="65" spans="2:18" x14ac:dyDescent="0.25">
      <c r="B65" s="12"/>
      <c r="C65" s="55"/>
      <c r="D65" s="55"/>
      <c r="E65" s="55"/>
    </row>
    <row ht="15.75" r="66" spans="2:18" thickBot="1" x14ac:dyDescent="0.3">
      <c r="B66" s="41"/>
      <c r="C66" s="41"/>
      <c r="D66" s="41"/>
      <c r="E66" s="41"/>
      <c r="N66" s="57" t="s">
        <v>199</v>
      </c>
      <c r="O66" s="41"/>
      <c r="P66" s="41"/>
      <c r="Q66" s="41"/>
      <c r="R66" s="41"/>
    </row>
    <row r="67" spans="2:18" x14ac:dyDescent="0.25">
      <c r="B67" s="70"/>
      <c r="C67" s="41"/>
      <c r="D67" s="41"/>
      <c r="E67" s="41"/>
      <c r="N67" s="2" t="s">
        <v>0</v>
      </c>
      <c r="O67" s="60" t="str">
        <f>O43</f>
        <v>nocars</v>
      </c>
      <c r="P67" s="60" t="str">
        <f>P43</f>
        <v>cars &lt; adults</v>
      </c>
      <c r="Q67" s="60" t="str">
        <f>Q43</f>
        <v>cars &lt; workers</v>
      </c>
      <c r="R67" s="60" t="str">
        <f>R43</f>
        <v>constant</v>
      </c>
    </row>
    <row r="68" spans="2:18" x14ac:dyDescent="0.25">
      <c r="B68" s="41"/>
      <c r="C68" s="88"/>
      <c r="D68" s="88"/>
      <c r="E68" s="88"/>
      <c r="N68" s="9" t="s">
        <v>1</v>
      </c>
      <c r="O68" s="72" t="str">
        <f ref="O68:R75" si="22" t="shared">IFERROR(VLOOKUP(O18,$AA$3:$AC$48,3,FALSE),"-")</f>
        <v>-</v>
      </c>
      <c r="P68" s="72">
        <f si="22" t="shared"/>
        <v>-1.2907770727600001</v>
      </c>
      <c r="Q68" s="72" t="str">
        <f si="22" t="shared"/>
        <v>-</v>
      </c>
      <c r="R68" s="72">
        <f si="22" t="shared"/>
        <v>-9.42291722515</v>
      </c>
    </row>
    <row r="69" spans="2:18" x14ac:dyDescent="0.25">
      <c r="B69" s="12"/>
      <c r="C69" s="55"/>
      <c r="D69" s="55"/>
      <c r="E69" s="55"/>
      <c r="N69" s="9" t="s">
        <v>2</v>
      </c>
      <c r="O69" s="73">
        <f si="22" t="shared"/>
        <v>-6.1146910156400001</v>
      </c>
      <c r="P69" s="73">
        <f si="22" t="shared"/>
        <v>0.121738261781</v>
      </c>
      <c r="Q69" s="73" t="str">
        <f si="22" t="shared"/>
        <v>-</v>
      </c>
      <c r="R69" s="73">
        <f si="22" t="shared"/>
        <v>-1.6429440483269999</v>
      </c>
    </row>
    <row r="70" spans="2:18" x14ac:dyDescent="0.25">
      <c r="B70" s="12"/>
      <c r="C70" s="71"/>
      <c r="D70" s="55"/>
      <c r="E70" s="55"/>
      <c r="N70" s="9" t="s">
        <v>3</v>
      </c>
      <c r="O70" s="73">
        <f si="22" t="shared"/>
        <v>1.4574897382180001</v>
      </c>
      <c r="P70" s="73">
        <f si="22" t="shared"/>
        <v>-0.271572152663</v>
      </c>
      <c r="Q70" s="73" t="str">
        <f si="22" t="shared"/>
        <v>-</v>
      </c>
      <c r="R70" s="73">
        <f si="22" t="shared"/>
        <v>-2.5112174031630001</v>
      </c>
    </row>
    <row r="71" spans="2:18" x14ac:dyDescent="0.25">
      <c r="B71" s="12"/>
      <c r="C71" s="71"/>
      <c r="D71" s="55"/>
      <c r="E71" s="55"/>
      <c r="N71" s="9" t="s">
        <v>4</v>
      </c>
      <c r="O71" s="73" t="str">
        <f si="22" t="shared"/>
        <v>-</v>
      </c>
      <c r="P71" s="73" t="str">
        <f si="22" t="shared"/>
        <v>-</v>
      </c>
      <c r="Q71" s="73" t="str">
        <f si="22" t="shared"/>
        <v>-</v>
      </c>
      <c r="R71" s="73" t="str">
        <f si="22" t="shared"/>
        <v>-</v>
      </c>
    </row>
    <row r="72" spans="2:18" x14ac:dyDescent="0.25">
      <c r="B72" s="12"/>
      <c r="C72" s="55"/>
      <c r="D72" s="55"/>
      <c r="E72" s="55"/>
      <c r="N72" s="9" t="s">
        <v>5</v>
      </c>
      <c r="O72" s="73" t="str">
        <f si="22" t="shared"/>
        <v>-</v>
      </c>
      <c r="P72" s="73" t="str">
        <f si="22" t="shared"/>
        <v>-</v>
      </c>
      <c r="Q72" s="73" t="str">
        <f si="22" t="shared"/>
        <v>-</v>
      </c>
      <c r="R72" s="73" t="str">
        <f si="22" t="shared"/>
        <v>-</v>
      </c>
    </row>
    <row r="73" spans="2:18" x14ac:dyDescent="0.25">
      <c r="B73" s="12"/>
      <c r="C73" s="55"/>
      <c r="D73" s="55"/>
      <c r="E73" s="55"/>
      <c r="N73" s="9" t="s">
        <v>6</v>
      </c>
      <c r="O73" s="73">
        <f si="22" t="shared"/>
        <v>0</v>
      </c>
      <c r="P73" s="73">
        <f si="22" t="shared"/>
        <v>0</v>
      </c>
      <c r="Q73" s="73" t="str">
        <f si="22" t="shared"/>
        <v>-</v>
      </c>
      <c r="R73" s="73">
        <f si="22" t="shared"/>
        <v>-15</v>
      </c>
    </row>
    <row r="74" spans="2:18" x14ac:dyDescent="0.25">
      <c r="B74" s="12"/>
      <c r="C74" s="55"/>
      <c r="D74" s="55"/>
      <c r="E74" s="55"/>
      <c r="N74" s="9" t="s">
        <v>7</v>
      </c>
      <c r="O74" s="73">
        <f si="22" t="shared"/>
        <v>1.2149093918210001</v>
      </c>
      <c r="P74" s="73">
        <f si="22" t="shared"/>
        <v>1.650016479871</v>
      </c>
      <c r="Q74" s="73" t="str">
        <f si="22" t="shared"/>
        <v>-</v>
      </c>
      <c r="R74" s="73">
        <f si="22" t="shared"/>
        <v>-7.2110841533E-2</v>
      </c>
    </row>
    <row r="75" spans="2:18" x14ac:dyDescent="0.25">
      <c r="B75" s="12"/>
      <c r="C75" s="55"/>
      <c r="D75" s="55"/>
      <c r="E75" s="55"/>
      <c r="N75" s="14" t="s">
        <v>8</v>
      </c>
      <c r="O75" s="74" t="str">
        <f si="22" t="shared"/>
        <v>-</v>
      </c>
      <c r="P75" s="74" t="str">
        <f si="22" t="shared"/>
        <v>-</v>
      </c>
      <c r="Q75" s="74" t="str">
        <f si="22" t="shared"/>
        <v>-</v>
      </c>
      <c r="R75" s="74" t="str">
        <f si="22" t="shared"/>
        <v>-</v>
      </c>
    </row>
    <row r="76" spans="2:18" x14ac:dyDescent="0.25">
      <c r="B76" s="12"/>
      <c r="C76" s="55"/>
      <c r="D76" s="55"/>
      <c r="E76" s="55"/>
      <c r="N76" s="41"/>
      <c r="O76" s="41"/>
      <c r="P76" s="41"/>
      <c r="Q76" s="41"/>
      <c r="R76" s="41"/>
    </row>
    <row ht="15.75" r="77" spans="2:18" thickBot="1" x14ac:dyDescent="0.3">
      <c r="B77" s="39"/>
      <c r="C77" s="41"/>
      <c r="D77" s="41"/>
      <c r="E77" s="41"/>
      <c r="H77" s="61" t="s">
        <v>223</v>
      </c>
      <c r="N77" s="57" t="s">
        <v>200</v>
      </c>
    </row>
    <row r="78" spans="2:18" x14ac:dyDescent="0.25">
      <c r="B78" s="41"/>
      <c r="C78" s="41"/>
      <c r="D78" s="41"/>
      <c r="E78" s="41"/>
      <c r="H78" s="59" t="s">
        <v>0</v>
      </c>
      <c r="I78" s="60" t="s">
        <v>239</v>
      </c>
      <c r="J78" s="60" t="s">
        <v>234</v>
      </c>
      <c r="K78" s="60" t="s">
        <v>237</v>
      </c>
      <c r="L78" s="60" t="s">
        <v>240</v>
      </c>
      <c r="N78" s="2" t="s">
        <v>0</v>
      </c>
      <c r="O78" s="60" t="str">
        <f>O67</f>
        <v>nocars</v>
      </c>
      <c r="P78" s="60" t="str">
        <f>P67</f>
        <v>cars &lt; adults</v>
      </c>
      <c r="Q78" s="60" t="str">
        <f>Q67</f>
        <v>cars &lt; workers</v>
      </c>
      <c r="R78" s="60" t="str">
        <f>R67</f>
        <v>constant</v>
      </c>
    </row>
    <row r="79" spans="2:18" x14ac:dyDescent="0.25">
      <c r="B79" s="41"/>
      <c r="C79" s="41"/>
      <c r="D79" s="41"/>
      <c r="E79" s="41"/>
      <c r="H79" s="9" t="s">
        <v>1</v>
      </c>
      <c r="I79" s="58" t="str">
        <f ref="I79:L86" si="23" t="shared">IF(ISBLANK(O18),"",O18)</f>
        <v/>
      </c>
      <c r="J79" s="58">
        <f si="23" t="shared"/>
        <v>52</v>
      </c>
      <c r="K79" s="58" t="str">
        <f si="23" t="shared"/>
        <v/>
      </c>
      <c r="L79" s="58">
        <f si="23" t="shared"/>
        <v>50</v>
      </c>
      <c r="N79" s="9" t="s">
        <v>1</v>
      </c>
      <c r="O79" s="73" t="str">
        <f ref="O79:R86" si="24" t="shared">IF(O18="","-",O56+O68)</f>
        <v>-</v>
      </c>
      <c r="P79" s="73">
        <f si="24" t="shared"/>
        <v>-1.2907770727600001</v>
      </c>
      <c r="Q79" s="73" t="str">
        <f si="24" t="shared"/>
        <v>-</v>
      </c>
      <c r="R79" s="73">
        <f si="24" t="shared"/>
        <v>-9.42291722515</v>
      </c>
    </row>
    <row r="80" spans="2:18" x14ac:dyDescent="0.25">
      <c r="H80" s="9" t="s">
        <v>2</v>
      </c>
      <c r="I80" s="58">
        <f si="23" t="shared"/>
        <v>41</v>
      </c>
      <c r="J80" s="58">
        <f si="23" t="shared"/>
        <v>42</v>
      </c>
      <c r="K80" s="58" t="str">
        <f si="23" t="shared"/>
        <v/>
      </c>
      <c r="L80" s="58">
        <f si="23" t="shared"/>
        <v>40</v>
      </c>
      <c r="N80" s="9" t="s">
        <v>2</v>
      </c>
      <c r="O80" s="73">
        <f si="24" t="shared"/>
        <v>-6.1146910156400001</v>
      </c>
      <c r="P80" s="73">
        <f si="24" t="shared"/>
        <v>0.121738261781</v>
      </c>
      <c r="Q80" s="73" t="str">
        <f si="24" t="shared"/>
        <v>-</v>
      </c>
      <c r="R80" s="73">
        <f si="24" t="shared"/>
        <v>-1.6429440483269999</v>
      </c>
    </row>
    <row r="81" spans="8:18" x14ac:dyDescent="0.25">
      <c r="H81" s="9" t="s">
        <v>3</v>
      </c>
      <c r="I81" s="58">
        <f si="23" t="shared"/>
        <v>36</v>
      </c>
      <c r="J81" s="58">
        <f si="23" t="shared"/>
        <v>37</v>
      </c>
      <c r="K81" s="58" t="str">
        <f si="23" t="shared"/>
        <v/>
      </c>
      <c r="L81" s="58">
        <f si="23" t="shared"/>
        <v>30</v>
      </c>
      <c r="N81" s="9" t="s">
        <v>3</v>
      </c>
      <c r="O81" s="73">
        <f si="24" t="shared"/>
        <v>1.4574897382180001</v>
      </c>
      <c r="P81" s="73">
        <f si="24" t="shared"/>
        <v>-0.271572152663</v>
      </c>
      <c r="Q81" s="73" t="str">
        <f si="24" t="shared"/>
        <v>-</v>
      </c>
      <c r="R81" s="73">
        <f si="24" t="shared"/>
        <v>-2.5112174031630001</v>
      </c>
    </row>
    <row r="82" spans="8:18" x14ac:dyDescent="0.25">
      <c r="H82" s="9" t="s">
        <v>4</v>
      </c>
      <c r="I82" s="58" t="str">
        <f si="23" t="shared"/>
        <v/>
      </c>
      <c r="J82" s="58" t="str">
        <f si="23" t="shared"/>
        <v/>
      </c>
      <c r="K82" s="58" t="str">
        <f si="23" t="shared"/>
        <v/>
      </c>
      <c r="L82" s="58" t="str">
        <f si="23" t="shared"/>
        <v/>
      </c>
      <c r="N82" s="9" t="s">
        <v>4</v>
      </c>
      <c r="O82" s="73" t="str">
        <f si="24" t="shared"/>
        <v>-</v>
      </c>
      <c r="P82" s="73" t="str">
        <f si="24" t="shared"/>
        <v>-</v>
      </c>
      <c r="Q82" s="73" t="str">
        <f si="24" t="shared"/>
        <v>-</v>
      </c>
      <c r="R82" s="73" t="str">
        <f si="24" t="shared"/>
        <v>-</v>
      </c>
    </row>
    <row r="83" spans="8:18" x14ac:dyDescent="0.25">
      <c r="H83" s="9" t="s">
        <v>5</v>
      </c>
      <c r="I83" s="58" t="str">
        <f si="23" t="shared"/>
        <v/>
      </c>
      <c r="J83" s="58" t="str">
        <f si="23" t="shared"/>
        <v/>
      </c>
      <c r="K83" s="58" t="str">
        <f si="23" t="shared"/>
        <v/>
      </c>
      <c r="L83" s="58" t="str">
        <f si="23" t="shared"/>
        <v/>
      </c>
      <c r="N83" s="9" t="s">
        <v>5</v>
      </c>
      <c r="O83" s="73" t="str">
        <f si="24" t="shared"/>
        <v>-</v>
      </c>
      <c r="P83" s="73" t="str">
        <f si="24" t="shared"/>
        <v>-</v>
      </c>
      <c r="Q83" s="73" t="str">
        <f si="24" t="shared"/>
        <v>-</v>
      </c>
      <c r="R83" s="73" t="str">
        <f si="24" t="shared"/>
        <v>-</v>
      </c>
    </row>
    <row r="84" spans="8:18" x14ac:dyDescent="0.25">
      <c r="H84" s="9" t="s">
        <v>6</v>
      </c>
      <c r="I84" s="58">
        <f si="23" t="shared"/>
        <v>67</v>
      </c>
      <c r="J84" s="58">
        <f si="23" t="shared"/>
        <v>68</v>
      </c>
      <c r="K84" s="58" t="str">
        <f si="23" t="shared"/>
        <v/>
      </c>
      <c r="L84" s="58">
        <f si="23" t="shared"/>
        <v>60</v>
      </c>
      <c r="N84" s="9" t="s">
        <v>6</v>
      </c>
      <c r="O84" s="73">
        <f si="24" t="shared"/>
        <v>0</v>
      </c>
      <c r="P84" s="73">
        <f si="24" t="shared"/>
        <v>0</v>
      </c>
      <c r="Q84" s="73" t="str">
        <f si="24" t="shared"/>
        <v>-</v>
      </c>
      <c r="R84" s="73">
        <f si="24" t="shared"/>
        <v>-15</v>
      </c>
    </row>
    <row r="85" spans="8:18" x14ac:dyDescent="0.25">
      <c r="H85" s="9" t="s">
        <v>7</v>
      </c>
      <c r="I85" s="58">
        <f si="23" t="shared"/>
        <v>77</v>
      </c>
      <c r="J85" s="58">
        <f si="23" t="shared"/>
        <v>78</v>
      </c>
      <c r="K85" s="58" t="str">
        <f si="23" t="shared"/>
        <v/>
      </c>
      <c r="L85" s="58">
        <f si="23" t="shared"/>
        <v>70</v>
      </c>
      <c r="N85" s="9" t="s">
        <v>7</v>
      </c>
      <c r="O85" s="73">
        <f si="24" t="shared"/>
        <v>1.2149093918210001</v>
      </c>
      <c r="P85" s="73">
        <f si="24" t="shared"/>
        <v>1.650016479871</v>
      </c>
      <c r="Q85" s="73" t="str">
        <f si="24" t="shared"/>
        <v>-</v>
      </c>
      <c r="R85" s="73">
        <f si="24" t="shared"/>
        <v>-7.2110841533E-2</v>
      </c>
    </row>
    <row r="86" spans="8:18" x14ac:dyDescent="0.25">
      <c r="H86" s="14" t="s">
        <v>8</v>
      </c>
      <c r="I86" s="7" t="str">
        <f si="23" t="shared"/>
        <v/>
      </c>
      <c r="J86" s="7" t="str">
        <f si="23" t="shared"/>
        <v/>
      </c>
      <c r="K86" s="7" t="str">
        <f si="23" t="shared"/>
        <v/>
      </c>
      <c r="L86" s="7" t="str">
        <f si="23" t="shared"/>
        <v/>
      </c>
      <c r="N86" s="14" t="s">
        <v>8</v>
      </c>
      <c r="O86" s="74" t="str">
        <f si="24" t="shared"/>
        <v>-</v>
      </c>
      <c r="P86" s="74" t="str">
        <f si="24" t="shared"/>
        <v>-</v>
      </c>
      <c r="Q86" s="74" t="str">
        <f si="24" t="shared"/>
        <v>-</v>
      </c>
      <c r="R86" s="74" t="str">
        <f si="24" t="shared"/>
        <v>-</v>
      </c>
    </row>
    <row r="87" spans="8:18" x14ac:dyDescent="0.25">
      <c r="H87" s="41"/>
      <c r="I87" s="41"/>
      <c r="J87" s="41"/>
      <c r="K87" s="41"/>
      <c r="L87" s="41"/>
    </row>
  </sheetData>
  <mergeCells count="3">
    <mergeCell ref="B15:F15"/>
    <mergeCell ref="H15:L15"/>
    <mergeCell ref="A27:A28"/>
  </mergeCells>
  <conditionalFormatting sqref="AE3:AE25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xl/worksheets/sheet2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F87"/>
  <sheetViews>
    <sheetView topLeftCell="V18" workbookViewId="0">
      <selection activeCell="AD3" sqref="AD3:AD56"/>
    </sheetView>
  </sheetViews>
  <sheetFormatPr defaultRowHeight="15" x14ac:dyDescent="0.25"/>
  <cols>
    <col min="2" max="2" bestFit="true" customWidth="true" width="14.140625" collapsed="true"/>
    <col min="4" max="4" bestFit="true" customWidth="true" width="11.7109375" collapsed="true"/>
    <col min="5" max="5" bestFit="true" customWidth="true" width="13.5703125" collapsed="true"/>
    <col min="6" max="6" bestFit="true" customWidth="true" width="9.140625" collapsed="true"/>
    <col min="8" max="8" bestFit="true" customWidth="true" width="14.140625" collapsed="true"/>
    <col min="10" max="10" bestFit="true" customWidth="true" width="11.7109375" collapsed="true"/>
    <col min="11" max="11" bestFit="true" customWidth="true" width="13.5703125" collapsed="true"/>
    <col min="12" max="12" bestFit="true" customWidth="true" width="7.5703125" collapsed="true"/>
    <col min="13" max="13" style="41" width="9.140625" collapsed="true"/>
    <col min="14" max="14" bestFit="true" customWidth="true" width="14.140625" collapsed="true"/>
    <col min="15" max="15" bestFit="true" customWidth="true" width="9.28515625" collapsed="true"/>
    <col min="16" max="16" bestFit="true" customWidth="true" width="12.0" collapsed="true"/>
    <col min="17" max="17" bestFit="true" customWidth="true" width="13.85546875" collapsed="true"/>
    <col min="18" max="18" bestFit="true" customWidth="true" width="9.28515625" collapsed="true"/>
    <col min="20" max="20" customWidth="true" width="5.5703125" collapsed="true"/>
    <col min="21" max="21" customWidth="true" width="12.85546875" collapsed="true"/>
    <col min="22" max="22" bestFit="true" customWidth="true" width="11.7109375" collapsed="true"/>
    <col min="23" max="23" bestFit="true" customWidth="true" width="13.5703125" collapsed="true"/>
    <col min="28" max="28" bestFit="true" customWidth="true" width="11.0" collapsed="true"/>
    <col min="29" max="29" bestFit="true" customWidth="true" width="15.42578125" collapsed="true"/>
    <col min="30" max="30" bestFit="true" customWidth="true" style="47" width="15.42578125" collapsed="true"/>
  </cols>
  <sheetData>
    <row r="1" spans="2:31" x14ac:dyDescent="0.25">
      <c r="T1" s="36" t="s">
        <v>291</v>
      </c>
      <c r="U1" s="49"/>
      <c r="V1" s="49"/>
      <c r="W1" s="49"/>
      <c r="X1" s="49"/>
      <c r="AA1" s="36" t="s">
        <v>291</v>
      </c>
      <c r="AD1"/>
    </row>
    <row r="2" spans="2:31" x14ac:dyDescent="0.25">
      <c r="T2" s="49"/>
      <c r="U2" s="36" t="s">
        <v>224</v>
      </c>
      <c r="W2" s="49"/>
      <c r="X2" s="49"/>
      <c r="AC2" s="44" t="s">
        <v>221</v>
      </c>
      <c r="AD2" s="44" t="s">
        <v>222</v>
      </c>
      <c r="AE2" s="44" t="s">
        <v>319</v>
      </c>
    </row>
    <row ht="15.75" r="3" spans="2:31" thickBot="1" x14ac:dyDescent="0.3">
      <c r="B3" s="36" t="s">
        <v>268</v>
      </c>
      <c r="T3">
        <v>1</v>
      </c>
      <c r="U3" s="50" t="s">
        <v>309</v>
      </c>
      <c r="W3" s="49"/>
      <c r="X3" s="49"/>
      <c r="AA3" s="47">
        <f>OtherCoefficients!B11</f>
        <v>1</v>
      </c>
      <c r="AB3" s="47" t="str">
        <f>OtherCoefficients!C11</f>
        <v>costutil</v>
      </c>
      <c r="AC3" s="81">
        <f>OtherCoefficients!E11</f>
        <v>0.37910550300000001</v>
      </c>
      <c r="AD3" s="82">
        <f>_xlfn.IFNA(VLOOKUP(AA3,$T$31:$V$47,3,FALSE),AC3)</f>
        <v>0.37910550300000001</v>
      </c>
      <c r="AE3">
        <f>IF(AC3=AD3,0,1)</f>
        <v>0</v>
      </c>
    </row>
    <row r="4" spans="2:31" x14ac:dyDescent="0.25">
      <c r="B4" s="59" t="s">
        <v>0</v>
      </c>
      <c r="C4" s="60" t="s">
        <v>239</v>
      </c>
      <c r="D4" s="60" t="s">
        <v>234</v>
      </c>
      <c r="E4" s="60" t="s">
        <v>237</v>
      </c>
      <c r="F4" s="60" t="s">
        <v>240</v>
      </c>
      <c r="T4">
        <v>2</v>
      </c>
      <c r="U4" s="50" t="s">
        <v>307</v>
      </c>
      <c r="W4" s="49"/>
      <c r="X4" s="49"/>
      <c r="AA4" s="47">
        <f>OtherCoefficients!B12</f>
        <v>2</v>
      </c>
      <c r="AB4" s="47" t="str">
        <f>OtherCoefficients!C12</f>
        <v>timeutil</v>
      </c>
      <c r="AC4" s="81">
        <f>OtherCoefficients!E12</f>
        <v>2.0186908849999998</v>
      </c>
      <c r="AD4" s="82">
        <f ref="AD4:AD56" si="0" t="shared">_xlfn.IFNA(VLOOKUP(AA4,$T$31:$V$47,3,FALSE),AC4)</f>
        <v>2.0186908849999998</v>
      </c>
      <c r="AE4">
        <f ref="AE4:AE56" si="1" t="shared">IF(AC4=AD4,0,1)</f>
        <v>0</v>
      </c>
    </row>
    <row r="5" spans="2:31" x14ac:dyDescent="0.25">
      <c r="B5" s="9" t="s">
        <v>1</v>
      </c>
      <c r="C5" s="58"/>
      <c r="D5" s="58">
        <v>52</v>
      </c>
      <c r="E5" s="58"/>
      <c r="F5" s="52">
        <v>50</v>
      </c>
      <c r="J5" s="9"/>
      <c r="N5" s="9"/>
      <c r="P5" s="9"/>
      <c r="T5">
        <v>3</v>
      </c>
      <c r="U5" s="49" t="s">
        <v>232</v>
      </c>
      <c r="V5" s="49"/>
      <c r="W5" s="49"/>
      <c r="X5" s="49"/>
      <c r="AA5" s="47">
        <f>OtherCoefficients!B13</f>
        <v>20</v>
      </c>
      <c r="AB5" s="47" t="str">
        <f>OtherCoefficients!C13</f>
        <v>wt-const</v>
      </c>
      <c r="AC5" s="81">
        <f>OtherCoefficients!E13</f>
        <v>-6.9987311616990002</v>
      </c>
      <c r="AD5" s="82">
        <f si="0" t="shared"/>
        <v>-6.9987311616990002</v>
      </c>
      <c r="AE5">
        <f si="1" t="shared"/>
        <v>0</v>
      </c>
    </row>
    <row r="6" spans="2:31" x14ac:dyDescent="0.25">
      <c r="B6" s="9" t="s">
        <v>2</v>
      </c>
      <c r="C6" s="58">
        <v>41</v>
      </c>
      <c r="D6" s="58"/>
      <c r="E6" s="58">
        <v>43</v>
      </c>
      <c r="F6" s="52">
        <v>40</v>
      </c>
      <c r="T6">
        <v>4</v>
      </c>
      <c r="U6" s="49" t="s">
        <v>225</v>
      </c>
      <c r="V6" s="49"/>
      <c r="W6" s="49"/>
      <c r="X6" s="49"/>
      <c r="AA6" s="47">
        <f>OtherCoefficients!B14</f>
        <v>21</v>
      </c>
      <c r="AB6" s="47" t="str">
        <f>OtherCoefficients!C14</f>
        <v>wt-nocars</v>
      </c>
      <c r="AC6" s="81">
        <f>OtherCoefficients!E14</f>
        <v>4.28413294936</v>
      </c>
      <c r="AD6" s="82">
        <f si="0" t="shared"/>
        <v>4.0065310419976345</v>
      </c>
      <c r="AE6">
        <f si="1" t="shared"/>
        <v>1</v>
      </c>
    </row>
    <row r="7" spans="2:31" x14ac:dyDescent="0.25">
      <c r="B7" s="9" t="s">
        <v>3</v>
      </c>
      <c r="C7" s="58" t="s">
        <v>241</v>
      </c>
      <c r="E7" s="58" t="s">
        <v>264</v>
      </c>
      <c r="F7" s="52">
        <v>30</v>
      </c>
      <c r="T7" s="49">
        <v>5</v>
      </c>
      <c r="U7" s="49" t="s">
        <v>226</v>
      </c>
      <c r="V7" s="49"/>
      <c r="W7" s="49"/>
      <c r="X7" s="49"/>
      <c r="AA7" s="47">
        <f>OtherCoefficients!B15</f>
        <v>22</v>
      </c>
      <c r="AB7" s="47" t="str">
        <f>OtherCoefficients!C15</f>
        <v>wt-carsltd</v>
      </c>
      <c r="AC7" s="81">
        <f>OtherCoefficients!E15</f>
        <v>8.4805857060999995E-2</v>
      </c>
      <c r="AD7" s="82">
        <f si="0" t="shared"/>
        <v>8.4805857060999995E-2</v>
      </c>
      <c r="AE7">
        <f si="1" t="shared"/>
        <v>0</v>
      </c>
    </row>
    <row r="8" spans="2:31" x14ac:dyDescent="0.25">
      <c r="B8" s="9" t="s">
        <v>4</v>
      </c>
      <c r="C8" s="58"/>
      <c r="D8" s="58"/>
      <c r="E8" s="58"/>
      <c r="F8" s="52"/>
      <c r="T8" s="49"/>
      <c r="U8" s="49"/>
      <c r="V8" s="49"/>
      <c r="W8" s="49"/>
      <c r="X8" s="49"/>
      <c r="AA8" s="47">
        <f>OtherCoefficients!B16</f>
        <v>30</v>
      </c>
      <c r="AB8" s="47" t="str">
        <f>OtherCoefficients!C16</f>
        <v>s3-const</v>
      </c>
      <c r="AC8" s="81">
        <f>OtherCoefficients!E16</f>
        <v>-3.4435911421090002</v>
      </c>
      <c r="AD8" s="82">
        <f si="0" t="shared"/>
        <v>-3.4435911421090002</v>
      </c>
      <c r="AE8">
        <f si="1" t="shared"/>
        <v>0</v>
      </c>
    </row>
    <row r="9" spans="2:31" x14ac:dyDescent="0.25">
      <c r="B9" s="9" t="s">
        <v>5</v>
      </c>
      <c r="C9" s="58">
        <v>21</v>
      </c>
      <c r="D9" s="58">
        <v>22</v>
      </c>
      <c r="E9" s="58"/>
      <c r="F9" s="52">
        <v>20</v>
      </c>
      <c r="T9" s="49"/>
      <c r="U9" s="51" t="s">
        <v>227</v>
      </c>
      <c r="V9" s="49"/>
      <c r="W9" s="49"/>
      <c r="X9" s="49"/>
      <c r="AA9" s="47">
        <f>OtherCoefficients!B17</f>
        <v>31</v>
      </c>
      <c r="AB9" s="47" t="str">
        <f>OtherCoefficients!C17</f>
        <v>sr-hhcu5</v>
      </c>
      <c r="AC9" s="81">
        <f>OtherCoefficients!E17</f>
        <v>0.59818794900000005</v>
      </c>
      <c r="AD9" s="82">
        <f si="0" t="shared"/>
        <v>0.59818794900000005</v>
      </c>
      <c r="AE9">
        <f si="1" t="shared"/>
        <v>0</v>
      </c>
    </row>
    <row r="10" spans="2:31" x14ac:dyDescent="0.25">
      <c r="B10" s="9" t="s">
        <v>6</v>
      </c>
      <c r="C10" s="58">
        <v>67</v>
      </c>
      <c r="D10" s="58">
        <v>68</v>
      </c>
      <c r="E10" s="58"/>
      <c r="F10" s="52">
        <v>60</v>
      </c>
      <c r="T10" s="49">
        <v>1</v>
      </c>
      <c r="U10" s="50" t="s">
        <v>309</v>
      </c>
      <c r="V10" s="49"/>
      <c r="W10" s="49"/>
      <c r="X10" s="49"/>
      <c r="AA10" s="47">
        <f>OtherCoefficients!B18</f>
        <v>32</v>
      </c>
      <c r="AB10" s="47" t="str">
        <f>OtherCoefficients!C18</f>
        <v>sr-hh515</v>
      </c>
      <c r="AC10" s="81">
        <f>OtherCoefficients!E18</f>
        <v>0.12634611800000001</v>
      </c>
      <c r="AD10" s="82">
        <f si="0" t="shared"/>
        <v>0.12634611800000001</v>
      </c>
      <c r="AE10">
        <f si="1" t="shared"/>
        <v>0</v>
      </c>
    </row>
    <row r="11" spans="2:31" x14ac:dyDescent="0.25">
      <c r="B11" s="9" t="s">
        <v>7</v>
      </c>
      <c r="C11" s="58">
        <v>77</v>
      </c>
      <c r="D11" s="58">
        <v>78</v>
      </c>
      <c r="E11" s="58"/>
      <c r="F11" s="58">
        <v>70</v>
      </c>
      <c r="T11" s="49">
        <v>2</v>
      </c>
      <c r="U11" s="49" t="s">
        <v>228</v>
      </c>
      <c r="V11" s="49"/>
      <c r="W11" s="49"/>
      <c r="X11" s="49"/>
      <c r="AA11" s="47">
        <f>OtherCoefficients!B19</f>
        <v>34</v>
      </c>
      <c r="AB11" s="47" t="str">
        <f>OtherCoefficients!C19</f>
        <v>sr-hhnwa</v>
      </c>
      <c r="AC11" s="81">
        <f>OtherCoefficients!E19</f>
        <v>0.18245742700000001</v>
      </c>
      <c r="AD11" s="82">
        <f si="0" t="shared"/>
        <v>0.18245742700000001</v>
      </c>
      <c r="AE11">
        <f si="1" t="shared"/>
        <v>0</v>
      </c>
    </row>
    <row r="12" spans="2:31" x14ac:dyDescent="0.25">
      <c r="B12" s="14" t="s">
        <v>8</v>
      </c>
      <c r="C12" s="58"/>
      <c r="D12" s="58"/>
      <c r="E12" s="7"/>
      <c r="F12" s="7"/>
      <c r="T12" s="49">
        <v>3</v>
      </c>
      <c r="U12" s="49" t="s">
        <v>229</v>
      </c>
      <c r="V12" s="49"/>
      <c r="W12" s="49"/>
      <c r="X12" s="49"/>
      <c r="AA12" s="47">
        <f>OtherCoefficients!B20</f>
        <v>35</v>
      </c>
      <c r="AB12" s="47" t="str">
        <f>OtherCoefficients!C20</f>
        <v>sr-lndist</v>
      </c>
      <c r="AC12" s="81">
        <f>OtherCoefficients!E20</f>
        <v>0.225107115</v>
      </c>
      <c r="AD12" s="82">
        <f si="0" t="shared"/>
        <v>0.225107115</v>
      </c>
      <c r="AE12">
        <f si="1" t="shared"/>
        <v>0</v>
      </c>
    </row>
    <row r="13" spans="2:31" x14ac:dyDescent="0.25">
      <c r="C13" s="38"/>
      <c r="D13" s="38"/>
      <c r="E13" s="41"/>
      <c r="F13" s="41"/>
      <c r="T13" s="49">
        <v>4</v>
      </c>
      <c r="U13" s="49" t="s">
        <v>230</v>
      </c>
      <c r="V13" s="49"/>
      <c r="W13" s="49"/>
      <c r="X13" s="49"/>
      <c r="AA13" s="47">
        <f>OtherCoefficients!B21</f>
        <v>36</v>
      </c>
      <c r="AB13" s="47" t="str">
        <f>OtherCoefficients!C21</f>
        <v>s3-nocars</v>
      </c>
      <c r="AC13" s="81">
        <f>OtherCoefficients!E21</f>
        <v>-0.25563032823999998</v>
      </c>
      <c r="AD13" s="82">
        <f si="0" t="shared"/>
        <v>-0.31010245280996657</v>
      </c>
      <c r="AE13">
        <f si="1" t="shared"/>
        <v>1</v>
      </c>
    </row>
    <row r="14" spans="2:31" x14ac:dyDescent="0.25">
      <c r="B14" s="57"/>
      <c r="T14" s="49">
        <v>5</v>
      </c>
      <c r="U14" s="50" t="s">
        <v>308</v>
      </c>
      <c r="V14" s="49"/>
      <c r="W14" s="49"/>
      <c r="X14" s="49"/>
      <c r="AA14" s="47">
        <f>OtherCoefficients!B22</f>
        <v>37</v>
      </c>
      <c r="AB14" s="47" t="str">
        <f>OtherCoefficients!C22</f>
        <v>s3-carsltw</v>
      </c>
      <c r="AC14" s="81">
        <f>OtherCoefficients!E22</f>
        <v>-2.1027532788780001</v>
      </c>
      <c r="AD14" s="82">
        <f si="0" t="shared"/>
        <v>-2.5497656950655756</v>
      </c>
      <c r="AE14">
        <f si="1" t="shared"/>
        <v>1</v>
      </c>
    </row>
    <row r="15" spans="2:31" x14ac:dyDescent="0.25">
      <c r="B15" s="138" t="s">
        <v>269</v>
      </c>
      <c r="C15" s="138"/>
      <c r="D15" s="138"/>
      <c r="E15" s="138"/>
      <c r="F15" s="138"/>
      <c r="H15" s="137" t="s">
        <v>33</v>
      </c>
      <c r="I15" s="137"/>
      <c r="J15" s="137"/>
      <c r="K15" s="137"/>
      <c r="L15" s="137"/>
      <c r="T15" s="49">
        <v>6</v>
      </c>
      <c r="U15" s="49" t="s">
        <v>233</v>
      </c>
      <c r="V15" s="49"/>
      <c r="W15" s="49"/>
      <c r="X15" s="49"/>
      <c r="AA15" s="47">
        <f>OtherCoefficients!B23</f>
        <v>38</v>
      </c>
      <c r="AB15" s="47" t="str">
        <f>OtherCoefficients!C23</f>
        <v>s3-onephh</v>
      </c>
      <c r="AC15" s="81">
        <f>OtherCoefficients!E23</f>
        <v>-3.644945651</v>
      </c>
      <c r="AD15" s="82">
        <f si="0" t="shared"/>
        <v>-3.644945651</v>
      </c>
      <c r="AE15">
        <f si="1" t="shared"/>
        <v>0</v>
      </c>
    </row>
    <row ht="15.75" r="16" spans="2:31" thickBot="1" x14ac:dyDescent="0.3">
      <c r="B16" s="61" t="s">
        <v>245</v>
      </c>
      <c r="H16" s="61" t="str">
        <f>B16</f>
        <v>Frequency</v>
      </c>
      <c r="N16" s="61" t="s">
        <v>259</v>
      </c>
      <c r="T16" s="49">
        <v>7</v>
      </c>
      <c r="U16" s="49" t="s">
        <v>225</v>
      </c>
      <c r="V16" s="49"/>
      <c r="W16" s="49"/>
      <c r="X16" s="49"/>
      <c r="AA16" s="47">
        <f>OtherCoefficients!B24</f>
        <v>39</v>
      </c>
      <c r="AB16" s="47" t="str">
        <f>OtherCoefficients!C24</f>
        <v>s3-twophh</v>
      </c>
      <c r="AC16" s="81">
        <f>OtherCoefficients!E24</f>
        <v>-2.0456438239999999</v>
      </c>
      <c r="AD16" s="82">
        <f si="0" t="shared"/>
        <v>-2.0456438239999999</v>
      </c>
      <c r="AE16">
        <f si="1" t="shared"/>
        <v>0</v>
      </c>
    </row>
    <row r="17" spans="1:31" x14ac:dyDescent="0.25">
      <c r="B17" s="59" t="s">
        <v>0</v>
      </c>
      <c r="C17" s="60" t="s">
        <v>239</v>
      </c>
      <c r="D17" s="60" t="s">
        <v>234</v>
      </c>
      <c r="E17" s="60" t="s">
        <v>237</v>
      </c>
      <c r="F17" s="60" t="s">
        <v>19</v>
      </c>
      <c r="H17" s="59" t="s">
        <v>0</v>
      </c>
      <c r="I17" s="60" t="s">
        <v>239</v>
      </c>
      <c r="J17" s="60" t="s">
        <v>234</v>
      </c>
      <c r="K17" s="60" t="s">
        <v>237</v>
      </c>
      <c r="L17" s="60" t="s">
        <v>19</v>
      </c>
      <c r="M17" s="56"/>
      <c r="N17" s="59" t="s">
        <v>0</v>
      </c>
      <c r="O17" s="60" t="s">
        <v>239</v>
      </c>
      <c r="P17" s="60" t="s">
        <v>234</v>
      </c>
      <c r="Q17" s="60" t="s">
        <v>237</v>
      </c>
      <c r="R17" s="60" t="s">
        <v>240</v>
      </c>
      <c r="T17" s="49">
        <v>8</v>
      </c>
      <c r="U17" s="49" t="s">
        <v>231</v>
      </c>
      <c r="V17" s="49"/>
      <c r="W17" s="49"/>
      <c r="X17" s="49"/>
      <c r="AA17" s="47">
        <f>OtherCoefficients!B25</f>
        <v>40</v>
      </c>
      <c r="AB17" s="47" t="str">
        <f>OtherCoefficients!C25</f>
        <v>s2-const</v>
      </c>
      <c r="AC17" s="81">
        <f>OtherCoefficients!E25</f>
        <v>-3.5042557326249999</v>
      </c>
      <c r="AD17" s="82">
        <f si="0" t="shared"/>
        <v>-3.5042557326249999</v>
      </c>
      <c r="AE17">
        <f si="1" t="shared"/>
        <v>0</v>
      </c>
    </row>
    <row r="18" spans="1:31" x14ac:dyDescent="0.25">
      <c r="B18" s="9" t="s">
        <v>1</v>
      </c>
      <c r="C18" s="9">
        <f>transit_targets!B76</f>
        <v>0</v>
      </c>
      <c r="D18" s="9">
        <f>transit_targets!C76</f>
        <v>0</v>
      </c>
      <c r="E18" s="9">
        <f>transit_targets!D76</f>
        <v>5800.4072177933585</v>
      </c>
      <c r="F18" s="9">
        <f>transit_targets!E76*($L$26-SUM(transit_targets!$E$79:$E$80))/(transit_targets!$E$84-SUM(transit_targets!$E$79:$E$80))</f>
        <v>275997.9309145002</v>
      </c>
      <c r="H18" s="9" t="s">
        <v>1</v>
      </c>
      <c r="I18" s="9">
        <f>Personal_Business!L4+Shop!L4+Meal!L4+SocRec!L4</f>
        <v>0</v>
      </c>
      <c r="J18" s="9">
        <f>Personal_Business!O4+Shop!O4+Meal!O4+SocRec!O4</f>
        <v>49049</v>
      </c>
      <c r="K18" s="9">
        <f>Personal_Business!Q4+Shop!Q4+Meal!Q4+SocRec!Q4</f>
        <v>11176</v>
      </c>
      <c r="L18" s="9">
        <f>Personal_Business!R4+Shop!R4+Meal!R4+SocRec!R4</f>
        <v>278508</v>
      </c>
      <c r="M18" s="12"/>
      <c r="N18" s="9" t="s">
        <v>1</v>
      </c>
      <c r="O18" s="75" t="str">
        <f>IF(ISBLANK(C5),"",C5)</f>
        <v/>
      </c>
      <c r="P18" s="75">
        <f ref="P18:R25" si="2" t="shared">IF(ISBLANK(D5),"",D5)</f>
        <v>52</v>
      </c>
      <c r="Q18" s="75" t="str">
        <f si="2" t="shared"/>
        <v/>
      </c>
      <c r="R18" s="75">
        <f si="2" t="shared"/>
        <v>50</v>
      </c>
      <c r="T18" s="41"/>
      <c r="U18" s="41"/>
      <c r="V18" s="41"/>
      <c r="W18" s="41"/>
      <c r="X18" s="41"/>
      <c r="Y18" s="41"/>
      <c r="AA18" s="47">
        <f>OtherCoefficients!B26</f>
        <v>41</v>
      </c>
      <c r="AB18" s="47" t="str">
        <f>OtherCoefficients!C26</f>
        <v>sr-nocars</v>
      </c>
      <c r="AC18" s="81">
        <f>OtherCoefficients!E26</f>
        <v>-1.2019776677280001</v>
      </c>
      <c r="AD18" s="82">
        <f si="0" t="shared"/>
        <v>-1.2398764106530222</v>
      </c>
      <c r="AE18">
        <f si="1" t="shared"/>
        <v>1</v>
      </c>
    </row>
    <row r="19" spans="1:31" x14ac:dyDescent="0.25">
      <c r="B19" s="9" t="s">
        <v>2</v>
      </c>
      <c r="C19" s="9">
        <f>transit_targets!B77</f>
        <v>9957.6933678415135</v>
      </c>
      <c r="D19" s="9">
        <f>transit_targets!C77</f>
        <v>0</v>
      </c>
      <c r="E19" s="9">
        <f>transit_targets!D77</f>
        <v>11243.460870362649</v>
      </c>
      <c r="F19" s="9">
        <f>transit_targets!E77*($L$26-SUM(transit_targets!$E$79:$E$80))/(transit_targets!$E$84-SUM(transit_targets!$E$79:$E$80))</f>
        <v>229446.22616817686</v>
      </c>
      <c r="H19" s="9" t="s">
        <v>2</v>
      </c>
      <c r="I19" s="9">
        <f>Personal_Business!L5+Shop!L5+Meal!L5+SocRec!L5</f>
        <v>11359</v>
      </c>
      <c r="J19" s="9">
        <f>Personal_Business!O5+Shop!O5+Meal!O5+SocRec!O5</f>
        <v>68338</v>
      </c>
      <c r="K19" s="9">
        <f>Personal_Business!Q5+Shop!Q5+Meal!Q5+SocRec!Q5</f>
        <v>15431</v>
      </c>
      <c r="L19" s="9">
        <f>Personal_Business!R5+Shop!R5+Meal!R5+SocRec!R5</f>
        <v>230754</v>
      </c>
      <c r="M19" s="12"/>
      <c r="N19" s="9" t="s">
        <v>2</v>
      </c>
      <c r="O19" s="88">
        <f ref="O19:O25" si="3" t="shared">IF(ISBLANK(C6),"",C6)</f>
        <v>41</v>
      </c>
      <c r="P19" s="88" t="str">
        <f si="2" t="shared"/>
        <v/>
      </c>
      <c r="Q19" s="88">
        <f si="2" t="shared"/>
        <v>43</v>
      </c>
      <c r="R19" s="88">
        <f si="2" t="shared"/>
        <v>40</v>
      </c>
      <c r="T19" s="12"/>
      <c r="U19" s="65"/>
      <c r="V19" s="65"/>
      <c r="W19" s="65"/>
      <c r="X19" s="65"/>
      <c r="Y19" s="41"/>
      <c r="AA19" s="47">
        <f>OtherCoefficients!B27</f>
        <v>43</v>
      </c>
      <c r="AB19" s="47" t="str">
        <f>OtherCoefficients!C27</f>
        <v>sr-carsltw</v>
      </c>
      <c r="AC19" s="81">
        <f>OtherCoefficients!E27</f>
        <v>-0.23165764769700001</v>
      </c>
      <c r="AD19" s="82">
        <f si="0" t="shared"/>
        <v>-0.18345831477884605</v>
      </c>
      <c r="AE19">
        <f si="1" t="shared"/>
        <v>1</v>
      </c>
    </row>
    <row r="20" spans="1:31" x14ac:dyDescent="0.25">
      <c r="B20" s="9" t="s">
        <v>3</v>
      </c>
      <c r="C20" s="9">
        <f>transit_targets!B78</f>
        <v>3232.5780114576687</v>
      </c>
      <c r="D20" s="9">
        <f>transit_targets!C78</f>
        <v>0</v>
      </c>
      <c r="E20" s="9">
        <f>transit_targets!D78</f>
        <v>1491.3363843644729</v>
      </c>
      <c r="F20" s="9">
        <f>transit_targets!E78*($L$26-SUM(transit_targets!$E$79:$E$80))/(transit_targets!$E$84-SUM(transit_targets!$E$79:$E$80))</f>
        <v>139938.27005971831</v>
      </c>
      <c r="H20" s="9" t="s">
        <v>3</v>
      </c>
      <c r="I20" s="9">
        <f>Personal_Business!L6+Shop!L6+Meal!L6+SocRec!L6</f>
        <v>3966</v>
      </c>
      <c r="J20" s="9">
        <f>Personal_Business!O6+Shop!O6+Meal!O6+SocRec!O6</f>
        <v>47753</v>
      </c>
      <c r="K20" s="9">
        <f>Personal_Business!Q6+Shop!Q6+Meal!Q6+SocRec!Q6</f>
        <v>3459</v>
      </c>
      <c r="L20" s="9">
        <f>Personal_Business!R6+Shop!R6+Meal!R6+SocRec!R6</f>
        <v>140523</v>
      </c>
      <c r="M20" s="12"/>
      <c r="N20" s="9" t="s">
        <v>3</v>
      </c>
      <c r="O20" s="88">
        <v>36</v>
      </c>
      <c r="P20" s="88"/>
      <c r="Q20" s="88">
        <v>37</v>
      </c>
      <c r="R20" s="88">
        <f si="2" t="shared"/>
        <v>30</v>
      </c>
      <c r="T20" s="12"/>
      <c r="U20" s="65"/>
      <c r="V20" s="65"/>
      <c r="W20" s="65"/>
      <c r="X20" s="65"/>
      <c r="Y20" s="41"/>
      <c r="AA20" s="47">
        <f>OtherCoefficients!B28</f>
        <v>48</v>
      </c>
      <c r="AB20" s="47" t="str">
        <f>OtherCoefficients!C28</f>
        <v>s2-onephh</v>
      </c>
      <c r="AC20" s="81">
        <f>OtherCoefficients!E28</f>
        <v>-2.1236838850000002</v>
      </c>
      <c r="AD20" s="82">
        <f si="0" t="shared"/>
        <v>-2.1236838850000002</v>
      </c>
      <c r="AE20">
        <f si="1" t="shared"/>
        <v>0</v>
      </c>
    </row>
    <row r="21" spans="1:31" x14ac:dyDescent="0.25">
      <c r="B21" s="9" t="s">
        <v>4</v>
      </c>
      <c r="C21" s="9">
        <f>transit_targets!B79</f>
        <v>0</v>
      </c>
      <c r="D21" s="9">
        <f>transit_targets!C79</f>
        <v>0</v>
      </c>
      <c r="E21" s="9">
        <f>transit_targets!D79</f>
        <v>0</v>
      </c>
      <c r="F21" s="9">
        <f>transit_targets!E79</f>
        <v>0</v>
      </c>
      <c r="H21" s="9" t="s">
        <v>4</v>
      </c>
      <c r="I21" s="9">
        <f>Personal_Business!L7+Shop!L7+Meal!L7+SocRec!L7</f>
        <v>0</v>
      </c>
      <c r="J21" s="9">
        <f>Personal_Business!O7+Shop!O7+Meal!O7+SocRec!O7</f>
        <v>0</v>
      </c>
      <c r="K21" s="9">
        <f>Personal_Business!Q7+Shop!Q7+Meal!Q7+SocRec!Q7</f>
        <v>0</v>
      </c>
      <c r="L21" s="9">
        <f>Personal_Business!R7+Shop!R7+Meal!R7+SocRec!R7</f>
        <v>0</v>
      </c>
      <c r="M21" s="12"/>
      <c r="N21" s="9" t="s">
        <v>4</v>
      </c>
      <c r="O21" s="88" t="str">
        <f si="3" t="shared"/>
        <v/>
      </c>
      <c r="P21" s="88" t="str">
        <f si="2" t="shared"/>
        <v/>
      </c>
      <c r="Q21" s="88" t="str">
        <f si="2" t="shared"/>
        <v/>
      </c>
      <c r="R21" s="88" t="str">
        <f si="2" t="shared"/>
        <v/>
      </c>
      <c r="T21" s="12"/>
      <c r="U21" s="65"/>
      <c r="V21" s="65"/>
      <c r="W21" s="65"/>
      <c r="X21" s="65"/>
      <c r="Y21" s="41"/>
      <c r="AA21" s="47">
        <f>OtherCoefficients!B29</f>
        <v>50</v>
      </c>
      <c r="AB21" s="47" t="str">
        <f>OtherCoefficients!C29</f>
        <v>da-const</v>
      </c>
      <c r="AC21" s="81">
        <f>OtherCoefficients!E29</f>
        <v>-1.7357729912290001</v>
      </c>
      <c r="AD21" s="82">
        <f si="0" t="shared"/>
        <v>-1.7357729912290001</v>
      </c>
      <c r="AE21">
        <f si="1" t="shared"/>
        <v>0</v>
      </c>
    </row>
    <row r="22" spans="1:31" x14ac:dyDescent="0.25">
      <c r="B22" s="9" t="s">
        <v>5</v>
      </c>
      <c r="C22" s="9">
        <f>transit_targets!B80</f>
        <v>3055.0921422831348</v>
      </c>
      <c r="D22" s="9">
        <f>transit_targets!C80</f>
        <v>0</v>
      </c>
      <c r="E22" s="9">
        <f>transit_targets!D80</f>
        <v>735.07865532555206</v>
      </c>
      <c r="F22" s="9">
        <f>transit_targets!E80</f>
        <v>4848.5450880556346</v>
      </c>
      <c r="H22" s="9" t="s">
        <v>5</v>
      </c>
      <c r="I22" s="9">
        <f>Personal_Business!L8+Shop!L8+Meal!L8+SocRec!L8</f>
        <v>4511</v>
      </c>
      <c r="J22" s="9">
        <f>Personal_Business!O8+Shop!O8+Meal!O8+SocRec!O8</f>
        <v>297</v>
      </c>
      <c r="K22" s="9">
        <f>Personal_Business!Q8+Shop!Q8+Meal!Q8+SocRec!Q8</f>
        <v>74</v>
      </c>
      <c r="L22" s="9">
        <f>Personal_Business!R8+Shop!R8+Meal!R8+SocRec!R8</f>
        <v>5317</v>
      </c>
      <c r="M22" s="12"/>
      <c r="N22" s="9" t="s">
        <v>5</v>
      </c>
      <c r="O22" s="88">
        <f si="3" t="shared"/>
        <v>21</v>
      </c>
      <c r="P22" s="88">
        <f si="2" t="shared"/>
        <v>22</v>
      </c>
      <c r="Q22" s="88" t="str">
        <f si="2" t="shared"/>
        <v/>
      </c>
      <c r="R22" s="88">
        <f si="2" t="shared"/>
        <v>20</v>
      </c>
      <c r="T22" s="12"/>
      <c r="U22" s="65"/>
      <c r="V22" s="65"/>
      <c r="W22" s="65"/>
      <c r="X22" s="65"/>
      <c r="Y22" s="41"/>
      <c r="AA22" s="47">
        <f>OtherCoefficients!B30</f>
        <v>52</v>
      </c>
      <c r="AB22" s="47" t="str">
        <f>OtherCoefficients!C30</f>
        <v>da-carsltd</v>
      </c>
      <c r="AC22" s="81">
        <f>OtherCoefficients!E30</f>
        <v>-0.64206868482799995</v>
      </c>
      <c r="AD22" s="82">
        <f si="0" t="shared"/>
        <v>-0.64206868482799995</v>
      </c>
      <c r="AE22">
        <f si="1" t="shared"/>
        <v>0</v>
      </c>
    </row>
    <row r="23" spans="1:31" x14ac:dyDescent="0.25">
      <c r="B23" s="9" t="s">
        <v>6</v>
      </c>
      <c r="C23" s="9">
        <f>transit_targets!B81</f>
        <v>423.83316166637627</v>
      </c>
      <c r="D23" s="9">
        <f>transit_targets!C81</f>
        <v>0</v>
      </c>
      <c r="E23" s="9">
        <f>transit_targets!D81</f>
        <v>0</v>
      </c>
      <c r="F23" s="9">
        <f>transit_targets!E81*($L$26-SUM(transit_targets!$E$79:$E$80))/(transit_targets!$E$84-SUM(transit_targets!$E$79:$E$80))</f>
        <v>4794.799704547594</v>
      </c>
      <c r="H23" s="9" t="s">
        <v>6</v>
      </c>
      <c r="I23" s="9">
        <f>Personal_Business!L9+Shop!L9+Meal!L9+SocRec!L9</f>
        <v>660</v>
      </c>
      <c r="J23" s="9">
        <f>Personal_Business!O9+Shop!O9+Meal!O9+SocRec!O9</f>
        <v>1434</v>
      </c>
      <c r="K23" s="9">
        <f>Personal_Business!Q9+Shop!Q9+Meal!Q9+SocRec!Q9</f>
        <v>415</v>
      </c>
      <c r="L23" s="9">
        <f>Personal_Business!R9+Shop!R9+Meal!R9+SocRec!R9</f>
        <v>4777</v>
      </c>
      <c r="M23" s="12"/>
      <c r="N23" s="9" t="s">
        <v>6</v>
      </c>
      <c r="O23" s="88">
        <f si="3" t="shared"/>
        <v>67</v>
      </c>
      <c r="P23" s="88">
        <f si="2" t="shared"/>
        <v>68</v>
      </c>
      <c r="Q23" s="88" t="str">
        <f si="2" t="shared"/>
        <v/>
      </c>
      <c r="R23" s="88">
        <f si="2" t="shared"/>
        <v>60</v>
      </c>
      <c r="T23" s="12"/>
      <c r="U23" s="65"/>
      <c r="V23" s="65"/>
      <c r="W23" s="65"/>
      <c r="X23" s="65"/>
      <c r="Y23" s="41"/>
      <c r="AA23" s="47">
        <f>OtherCoefficients!B31</f>
        <v>54</v>
      </c>
      <c r="AB23" s="47" t="str">
        <f>OtherCoefficients!C31</f>
        <v>inc0to25k</v>
      </c>
      <c r="AC23" s="81">
        <f>OtherCoefficients!E31</f>
        <v>0.114530954</v>
      </c>
      <c r="AD23" s="82">
        <f si="0" t="shared"/>
        <v>0.114530954</v>
      </c>
      <c r="AE23">
        <f si="1" t="shared"/>
        <v>0</v>
      </c>
    </row>
    <row r="24" spans="1:31" x14ac:dyDescent="0.25">
      <c r="B24" s="9" t="s">
        <v>7</v>
      </c>
      <c r="C24" s="9">
        <f>transit_targets!B82</f>
        <v>5329.0861123902787</v>
      </c>
      <c r="D24" s="9">
        <f>transit_targets!C82</f>
        <v>0</v>
      </c>
      <c r="E24" s="9">
        <f>transit_targets!D82</f>
        <v>2025.7054184207036</v>
      </c>
      <c r="F24" s="9">
        <f>transit_targets!E82*($L$26-SUM(transit_targets!$E$79:$E$80))/(transit_targets!$E$84-SUM(transit_targets!$E$79:$E$80))</f>
        <v>36921.361805907778</v>
      </c>
      <c r="H24" s="9" t="s">
        <v>7</v>
      </c>
      <c r="I24" s="9">
        <f>Personal_Business!L10+Shop!L10+Meal!L10+SocRec!L10</f>
        <v>4112</v>
      </c>
      <c r="J24" s="9">
        <f>Personal_Business!O10+Shop!O10+Meal!O10+SocRec!O10</f>
        <v>10782</v>
      </c>
      <c r="K24" s="9">
        <f>Personal_Business!Q10+Shop!Q10+Meal!Q10+SocRec!Q10</f>
        <v>2594</v>
      </c>
      <c r="L24" s="9">
        <f>Personal_Business!R10+Shop!R10+Meal!R10+SocRec!R10</f>
        <v>35073</v>
      </c>
      <c r="M24" s="12"/>
      <c r="N24" s="9" t="s">
        <v>7</v>
      </c>
      <c r="O24" s="88">
        <f si="3" t="shared"/>
        <v>77</v>
      </c>
      <c r="P24" s="88">
        <f si="2" t="shared"/>
        <v>78</v>
      </c>
      <c r="Q24" s="88" t="str">
        <f si="2" t="shared"/>
        <v/>
      </c>
      <c r="R24" s="88">
        <f si="2" t="shared"/>
        <v>70</v>
      </c>
      <c r="T24" s="12"/>
      <c r="U24" s="65"/>
      <c r="V24" s="65"/>
      <c r="W24" s="65"/>
      <c r="X24" s="65"/>
      <c r="Y24" s="41"/>
      <c r="AA24" s="47">
        <f>OtherCoefficients!B32</f>
        <v>60</v>
      </c>
      <c r="AB24" s="47" t="str">
        <f>OtherCoefficients!C32</f>
        <v>bi-const</v>
      </c>
      <c r="AC24" s="81">
        <f>OtherCoefficients!E32</f>
        <v>-7.5193251396859999</v>
      </c>
      <c r="AD24" s="82">
        <f si="0" t="shared"/>
        <v>-7.5193251396859999</v>
      </c>
      <c r="AE24">
        <f si="1" t="shared"/>
        <v>0</v>
      </c>
    </row>
    <row r="25" spans="1:31" x14ac:dyDescent="0.25">
      <c r="B25" s="14" t="s">
        <v>8</v>
      </c>
      <c r="C25" s="9">
        <f>transit_targets!B83</f>
        <v>0</v>
      </c>
      <c r="D25" s="9">
        <f>transit_targets!C83</f>
        <v>0</v>
      </c>
      <c r="E25" s="9">
        <f>transit_targets!D83</f>
        <v>0</v>
      </c>
      <c r="F25" s="9">
        <f>transit_targets!E83*($L$26-SUM(transit_targets!$E$79:$E$80))/(transit_targets!$E$84-SUM(transit_targets!$E$79:$E$80))</f>
        <v>3004.8662590935583</v>
      </c>
      <c r="H25" s="14" t="s">
        <v>8</v>
      </c>
      <c r="I25" s="9">
        <f>Personal_Business!L11+Shop!L11+Meal!L11+SocRec!L11</f>
        <v>0</v>
      </c>
      <c r="J25" s="9">
        <f>Personal_Business!O11+Shop!O11+Meal!O11+SocRec!O11</f>
        <v>0</v>
      </c>
      <c r="K25" s="9">
        <f>Personal_Business!Q11+Shop!Q11+Meal!Q11+SocRec!Q11</f>
        <v>0</v>
      </c>
      <c r="L25" s="9">
        <f>Personal_Business!R11+Shop!R11+Meal!R11+SocRec!R11</f>
        <v>0</v>
      </c>
      <c r="M25" s="12"/>
      <c r="N25" s="14" t="s">
        <v>8</v>
      </c>
      <c r="O25" s="7" t="str">
        <f si="3" t="shared"/>
        <v/>
      </c>
      <c r="P25" s="7" t="str">
        <f si="2" t="shared"/>
        <v/>
      </c>
      <c r="Q25" s="7" t="str">
        <f si="2" t="shared"/>
        <v/>
      </c>
      <c r="R25" s="7" t="str">
        <f si="2" t="shared"/>
        <v/>
      </c>
      <c r="T25" s="12"/>
      <c r="U25" s="65"/>
      <c r="V25" s="65"/>
      <c r="W25" s="65"/>
      <c r="X25" s="65"/>
      <c r="Y25" s="41"/>
      <c r="AA25" s="47">
        <f>OtherCoefficients!B33</f>
        <v>61</v>
      </c>
      <c r="AB25" s="47" t="str">
        <f>OtherCoefficients!C33</f>
        <v>bi-male</v>
      </c>
      <c r="AC25" s="81">
        <f>OtherCoefficients!E33</f>
        <v>1.0360071209999999</v>
      </c>
      <c r="AD25" s="82">
        <f si="0" t="shared"/>
        <v>1.0360071209999999</v>
      </c>
      <c r="AE25">
        <f si="1" t="shared"/>
        <v>0</v>
      </c>
    </row>
    <row ht="15.75" r="26" spans="1:31" thickBot="1" x14ac:dyDescent="0.3">
      <c r="B26" s="66" t="s">
        <v>19</v>
      </c>
      <c r="C26" s="67">
        <f>SUM(C18:C25)</f>
        <v>21998.28279563897</v>
      </c>
      <c r="D26" s="67">
        <f ref="D26:F26" si="4" t="shared">SUM(D18:D25)</f>
        <v>0</v>
      </c>
      <c r="E26" s="67">
        <f si="4" t="shared"/>
        <v>21295.988546266737</v>
      </c>
      <c r="F26" s="67">
        <f si="4" t="shared"/>
        <v>694952</v>
      </c>
      <c r="H26" s="66" t="s">
        <v>19</v>
      </c>
      <c r="I26" s="67">
        <f>SUM(I18:I25)</f>
        <v>24608</v>
      </c>
      <c r="J26" s="67">
        <f ref="J26:L26" si="5" t="shared">SUM(J18:J25)</f>
        <v>177653</v>
      </c>
      <c r="K26" s="67">
        <f si="5" t="shared"/>
        <v>33149</v>
      </c>
      <c r="L26" s="67">
        <f si="5" t="shared"/>
        <v>694952</v>
      </c>
      <c r="M26" s="12"/>
      <c r="T26" s="12"/>
      <c r="U26" s="65"/>
      <c r="V26" s="65"/>
      <c r="W26" s="65"/>
      <c r="X26" s="65"/>
      <c r="Y26" s="41"/>
      <c r="AA26" s="47">
        <f>OtherCoefficients!B34</f>
        <v>63</v>
      </c>
      <c r="AB26" s="47" t="str">
        <f>OtherCoefficients!C34</f>
        <v>bi-ageo50</v>
      </c>
      <c r="AC26" s="81">
        <f>OtherCoefficients!E34</f>
        <v>-0.76682515699999998</v>
      </c>
      <c r="AD26" s="82">
        <f si="0" t="shared"/>
        <v>-0.76682515699999998</v>
      </c>
      <c r="AE26">
        <f si="1" t="shared"/>
        <v>0</v>
      </c>
    </row>
    <row r="27" spans="1:31" x14ac:dyDescent="0.25">
      <c r="A27" s="139" t="s">
        <v>276</v>
      </c>
      <c r="B27" s="9" t="s">
        <v>4</v>
      </c>
      <c r="C27" s="54">
        <f>(Personal_Business!$B7+Shop!$B7+Meal!$B7+SocRec!$B7)/(SUM(Personal_Business!$B$7:$C$7)+SUM(Shop!$B$7:$C$7)+SUM(Meal!$B$7:$C$7)+SUM(SocRec!$B$7:$C$7))</f>
        <v>0.22600751730023691</v>
      </c>
      <c r="D27" s="54">
        <f>(Personal_Business!$E7+Shop!$E7+Meal!$E7+SocRec!$E7)/(SUM(Personal_Business!$B$7:$C$7)+SUM(Shop!$B$7:$C$7)+SUM(Meal!$B$7:$C$7)+SUM(SocRec!$B$7:$C$7))</f>
        <v>0.1431379229290653</v>
      </c>
      <c r="E27" s="54">
        <f>(Personal_Business!$G7+Shop!$G7+Meal!$G7+SocRec!$G7)/(SUM(Personal_Business!$B$7:$C$7)+SUM(Shop!$B$7:$C$7)+SUM(Meal!$B$7:$C$7)+SUM(SocRec!$B$7:$C$7))</f>
        <v>0.1431379229290653</v>
      </c>
      <c r="F27" s="54">
        <v>1</v>
      </c>
      <c r="P27" s="47"/>
      <c r="Q27" s="47"/>
      <c r="R27" s="47"/>
      <c r="T27" s="41"/>
      <c r="U27" s="41"/>
      <c r="V27" s="41"/>
      <c r="W27" s="41"/>
      <c r="X27" s="41"/>
      <c r="Y27" s="41"/>
      <c r="AA27" s="47">
        <f>OtherCoefficients!B35</f>
        <v>67</v>
      </c>
      <c r="AB27" s="47" t="str">
        <f>OtherCoefficients!C35</f>
        <v>bi-nocars</v>
      </c>
      <c r="AC27" s="81">
        <f>OtherCoefficients!E35</f>
        <v>-1.2341875453940001</v>
      </c>
      <c r="AD27" s="82">
        <f si="0" t="shared"/>
        <v>-1.5649802914995683</v>
      </c>
      <c r="AE27">
        <f si="1" t="shared"/>
        <v>1</v>
      </c>
    </row>
    <row r="28" spans="1:31" x14ac:dyDescent="0.25">
      <c r="A28" s="139"/>
      <c r="B28" s="9" t="s">
        <v>5</v>
      </c>
      <c r="C28" s="54">
        <f>(Personal_Business!$B8+Shop!$B8+Meal!$B8+SocRec!$B8)/(SUM(Personal_Business!$B$8:$C$8)+SUM(Shop!$B$8:$C$8)+SUM(Meal!$B$8:$C$8)+SUM(SocRec!$B$8:$C$8))</f>
        <v>0.86712924124524637</v>
      </c>
      <c r="D28" s="54">
        <f>(Personal_Business!$E8+Shop!$E8+Meal!$E8+SocRec!$E8)/(SUM(Personal_Business!$B$8:$C$8)+SUM(Shop!$B$8:$C$8)+SUM(Meal!$B$8:$C$8)+SUM(SocRec!$B$8:$C$8))</f>
        <v>6.1986414684380098E-2</v>
      </c>
      <c r="E28" s="54">
        <f>(Personal_Business!$G8+Shop!$G8+Meal!$G8+SocRec!$G8)/(SUM(Personal_Business!$B$8:$C$8)+SUM(Shop!$B$8:$C$8)+SUM(Meal!$B$8:$C$8)+SUM(SocRec!$B$8:$C$8))</f>
        <v>8.5032718408309897E-3</v>
      </c>
      <c r="F28" s="54">
        <v>1</v>
      </c>
      <c r="AA28" s="47">
        <f>OtherCoefficients!B36</f>
        <v>68</v>
      </c>
      <c r="AB28" s="47" t="str">
        <f>OtherCoefficients!C36</f>
        <v>bi-carsltd</v>
      </c>
      <c r="AC28" s="81">
        <f>OtherCoefficients!E36</f>
        <v>0.44391216245499998</v>
      </c>
      <c r="AD28" s="82">
        <f si="0" t="shared"/>
        <v>0.44391216245499998</v>
      </c>
      <c r="AE28">
        <f si="1" t="shared"/>
        <v>0</v>
      </c>
    </row>
    <row ht="15.75" r="29" spans="1:31" thickBot="1" x14ac:dyDescent="0.3">
      <c r="B29" s="57" t="s">
        <v>255</v>
      </c>
      <c r="H29" s="57" t="s">
        <v>256</v>
      </c>
      <c r="N29" s="36" t="s">
        <v>244</v>
      </c>
      <c r="T29" t="s">
        <v>258</v>
      </c>
      <c r="AA29" s="47">
        <f>OtherCoefficients!B37</f>
        <v>70</v>
      </c>
      <c r="AB29" s="47" t="str">
        <f>OtherCoefficients!C37</f>
        <v>wk-const</v>
      </c>
      <c r="AC29" s="81">
        <f>OtherCoefficients!E37</f>
        <v>0</v>
      </c>
      <c r="AD29" s="82">
        <f si="0" t="shared"/>
        <v>0</v>
      </c>
      <c r="AE29">
        <f si="1" t="shared"/>
        <v>0</v>
      </c>
    </row>
    <row r="30" spans="1:31" x14ac:dyDescent="0.25">
      <c r="B30" s="59" t="s">
        <v>0</v>
      </c>
      <c r="C30" s="60" t="s">
        <v>239</v>
      </c>
      <c r="D30" s="60" t="s">
        <v>234</v>
      </c>
      <c r="E30" s="60" t="str">
        <f>E17</f>
        <v>cars &lt; workers</v>
      </c>
      <c r="F30" s="60" t="s">
        <v>19</v>
      </c>
      <c r="H30" s="59" t="s">
        <v>0</v>
      </c>
      <c r="I30" s="60" t="s">
        <v>239</v>
      </c>
      <c r="J30" s="60" t="s">
        <v>234</v>
      </c>
      <c r="K30" s="60" t="s">
        <v>237</v>
      </c>
      <c r="L30" s="60" t="s">
        <v>19</v>
      </c>
      <c r="M30" s="56"/>
      <c r="N30" s="59" t="s">
        <v>0</v>
      </c>
      <c r="O30" s="60" t="s">
        <v>239</v>
      </c>
      <c r="P30" s="60" t="s">
        <v>234</v>
      </c>
      <c r="Q30" s="60" t="s">
        <v>237</v>
      </c>
      <c r="R30" s="60" t="s">
        <v>240</v>
      </c>
      <c r="T30" s="60" t="s">
        <v>50</v>
      </c>
      <c r="U30" s="60" t="s">
        <v>51</v>
      </c>
      <c r="V30" s="60" t="s">
        <v>200</v>
      </c>
      <c r="AA30" s="47">
        <f>OtherCoefficients!B38</f>
        <v>73</v>
      </c>
      <c r="AB30" s="47" t="str">
        <f>OtherCoefficients!C38</f>
        <v>wk-ageo50</v>
      </c>
      <c r="AC30" s="81">
        <f>OtherCoefficients!E38</f>
        <v>-0.36705005200000002</v>
      </c>
      <c r="AD30" s="82">
        <f si="0" t="shared"/>
        <v>-0.36705005200000002</v>
      </c>
      <c r="AE30">
        <f si="1" t="shared"/>
        <v>0</v>
      </c>
    </row>
    <row r="31" spans="1:31" x14ac:dyDescent="0.25">
      <c r="B31" s="9" t="s">
        <v>1</v>
      </c>
      <c r="C31" s="54">
        <f>$C18/C$26</f>
        <v>0</v>
      </c>
      <c r="D31" s="54"/>
      <c r="E31" s="54">
        <f>$E18/E$26</f>
        <v>0.27237088361461342</v>
      </c>
      <c r="F31" s="54">
        <f>$F18/F$26</f>
        <v>0.39714675389739179</v>
      </c>
      <c r="H31" s="9" t="s">
        <v>1</v>
      </c>
      <c r="I31" s="40">
        <f>$I18/I$26</f>
        <v>0</v>
      </c>
      <c r="J31" s="40">
        <f>$J18/J$26</f>
        <v>0.27609440876315061</v>
      </c>
      <c r="K31" s="40">
        <f>$K18/K$26</f>
        <v>0.33714440857944433</v>
      </c>
      <c r="L31" s="40">
        <f>$L18/L$26</f>
        <v>0.40075861354453257</v>
      </c>
      <c r="M31" s="42"/>
      <c r="N31" s="9" t="s">
        <v>1</v>
      </c>
      <c r="O31" s="62" t="str">
        <f ref="O31:R38" si="6" t="shared">IF(O18="","-",C31/I31)</f>
        <v>-</v>
      </c>
      <c r="P31" s="62">
        <f si="6" t="shared"/>
        <v>0</v>
      </c>
      <c r="Q31" s="62" t="str">
        <f si="6" t="shared"/>
        <v>-</v>
      </c>
      <c r="R31" s="62">
        <f si="6" t="shared"/>
        <v>0.9909874435007261</v>
      </c>
      <c r="T31">
        <v>20</v>
      </c>
      <c r="U31" t="str">
        <f ref="U31:U33" si="7" t="shared">VLOOKUP(T31,$AA$3:$AB$48,2,FALSE)</f>
        <v>wt-const</v>
      </c>
      <c r="V31" s="46">
        <f>R83</f>
        <v>-6.9987311616990002</v>
      </c>
      <c r="AA31" s="47">
        <f>OtherCoefficients!B39</f>
        <v>77</v>
      </c>
      <c r="AB31" s="47" t="str">
        <f>OtherCoefficients!C39</f>
        <v>wk-nocars</v>
      </c>
      <c r="AC31" s="81">
        <f>OtherCoefficients!E39</f>
        <v>1.3681286549630001</v>
      </c>
      <c r="AD31" s="82">
        <f si="0" t="shared"/>
        <v>1.7395060869517831</v>
      </c>
      <c r="AE31">
        <f si="1" t="shared"/>
        <v>1</v>
      </c>
    </row>
    <row r="32" spans="1:31" x14ac:dyDescent="0.25">
      <c r="B32" s="9" t="s">
        <v>2</v>
      </c>
      <c r="C32" s="54">
        <f ref="C32:C38" si="8" t="shared">$C19/C$26</f>
        <v>0.45265775789624668</v>
      </c>
      <c r="D32" s="54"/>
      <c r="E32" s="54">
        <f ref="E32:E39" si="9" t="shared">$E19/E$26</f>
        <v>0.52796144428494574</v>
      </c>
      <c r="F32" s="54">
        <f ref="F32:F39" si="10" t="shared">$F19/F$26</f>
        <v>0.33016125742234981</v>
      </c>
      <c r="H32" s="9" t="s">
        <v>2</v>
      </c>
      <c r="I32" s="40">
        <f ref="I32:I38" si="11" t="shared">$I19/I$26</f>
        <v>0.4615978543563069</v>
      </c>
      <c r="J32" s="40">
        <f ref="J32:J38" si="12" t="shared">$J19/J$26</f>
        <v>0.38467124112736628</v>
      </c>
      <c r="K32" s="40">
        <f ref="K32:K38" si="13" t="shared">$K19/K$26</f>
        <v>0.46550423843856525</v>
      </c>
      <c r="L32" s="40">
        <f ref="L32:L39" si="14" t="shared">$L19/L$26</f>
        <v>0.33204307635635266</v>
      </c>
      <c r="M32" s="42"/>
      <c r="N32" s="9" t="s">
        <v>2</v>
      </c>
      <c r="O32" s="89">
        <f>IF(O19="","-",(C32+C33)/(I32+I33))</f>
        <v>0.96281042732314959</v>
      </c>
      <c r="P32" s="63" t="str">
        <f>IF(P19="","-",(D32+D33)/(J32+J33))</f>
        <v>-</v>
      </c>
      <c r="Q32" s="89">
        <f>IF(Q19="","-",(E32+E33)/(K32+K33))</f>
        <v>1.0493798104178929</v>
      </c>
      <c r="R32" s="63">
        <f si="6" t="shared"/>
        <v>0.99433260601409656</v>
      </c>
      <c r="T32">
        <v>21</v>
      </c>
      <c r="U32" t="str">
        <f si="7" t="shared"/>
        <v>wt-nocars</v>
      </c>
      <c r="V32" s="46">
        <f>O83</f>
        <v>4.0065310419976345</v>
      </c>
      <c r="AA32" s="47">
        <f>OtherCoefficients!B40</f>
        <v>78</v>
      </c>
      <c r="AB32" s="47" t="str">
        <f>OtherCoefficients!C40</f>
        <v>wk-carsltd</v>
      </c>
      <c r="AC32" s="81">
        <f>OtherCoefficients!E40</f>
        <v>0.72433533718200005</v>
      </c>
      <c r="AD32" s="82">
        <f si="0" t="shared"/>
        <v>0.72433533718200005</v>
      </c>
      <c r="AE32">
        <f si="1" t="shared"/>
        <v>0</v>
      </c>
    </row>
    <row r="33" spans="2:31" x14ac:dyDescent="0.25">
      <c r="B33" s="9" t="s">
        <v>3</v>
      </c>
      <c r="C33" s="54">
        <f si="8" t="shared"/>
        <v>0.14694683405463393</v>
      </c>
      <c r="D33" s="54"/>
      <c r="E33" s="54">
        <f si="9" t="shared"/>
        <v>7.0028981332538778E-2</v>
      </c>
      <c r="F33" s="54">
        <f si="10" t="shared"/>
        <v>0.2013639360124416</v>
      </c>
      <c r="H33" s="9" t="s">
        <v>3</v>
      </c>
      <c r="I33" s="40">
        <f si="11" t="shared"/>
        <v>0.16116710013003901</v>
      </c>
      <c r="J33" s="40">
        <f si="12" t="shared"/>
        <v>0.26879928850061635</v>
      </c>
      <c r="K33" s="40">
        <f si="13" t="shared"/>
        <v>0.10434703912636882</v>
      </c>
      <c r="L33" s="40">
        <f si="14" t="shared"/>
        <v>0.2022053321668259</v>
      </c>
      <c r="M33" s="42"/>
      <c r="N33" s="9" t="s">
        <v>3</v>
      </c>
      <c r="O33" s="63">
        <f si="6" t="shared"/>
        <v>0.91176694211206044</v>
      </c>
      <c r="P33" s="63" t="str">
        <f si="6" t="shared"/>
        <v>-</v>
      </c>
      <c r="Q33" s="63">
        <f si="6" t="shared"/>
        <v>0.67111613246381263</v>
      </c>
      <c r="R33" s="63">
        <f si="6" t="shared"/>
        <v>0.99583890224175631</v>
      </c>
      <c r="T33">
        <v>22</v>
      </c>
      <c r="U33" t="str">
        <f si="7" t="shared"/>
        <v>wt-carsltd</v>
      </c>
      <c r="V33" s="46">
        <f>P83</f>
        <v>8.4805857060999995E-2</v>
      </c>
      <c r="AA33" s="47">
        <f>OtherCoefficients!B41</f>
        <v>120</v>
      </c>
      <c r="AB33" s="47" t="str">
        <f>OtherCoefficients!C41</f>
        <v>tr-shop</v>
      </c>
      <c r="AC33" s="81">
        <f>OtherCoefficients!E41</f>
        <v>-1.373931861</v>
      </c>
      <c r="AD33" s="82">
        <f si="0" t="shared"/>
        <v>-1.373931861</v>
      </c>
      <c r="AE33">
        <f si="1" t="shared"/>
        <v>0</v>
      </c>
    </row>
    <row r="34" spans="2:31" x14ac:dyDescent="0.25">
      <c r="B34" s="9" t="s">
        <v>4</v>
      </c>
      <c r="C34" s="54">
        <f si="8" t="shared"/>
        <v>0</v>
      </c>
      <c r="D34" s="54"/>
      <c r="E34" s="54">
        <f si="9" t="shared"/>
        <v>0</v>
      </c>
      <c r="F34" s="54">
        <f si="10" t="shared"/>
        <v>0</v>
      </c>
      <c r="H34" s="9" t="s">
        <v>4</v>
      </c>
      <c r="I34" s="40">
        <f si="11" t="shared"/>
        <v>0</v>
      </c>
      <c r="J34" s="40">
        <f si="12" t="shared"/>
        <v>0</v>
      </c>
      <c r="K34" s="40">
        <f si="13" t="shared"/>
        <v>0</v>
      </c>
      <c r="L34" s="40">
        <f si="14" t="shared"/>
        <v>0</v>
      </c>
      <c r="M34" s="42"/>
      <c r="N34" s="9" t="s">
        <v>4</v>
      </c>
      <c r="O34" s="63" t="str">
        <f si="6" t="shared"/>
        <v>-</v>
      </c>
      <c r="P34" s="63" t="str">
        <f si="6" t="shared"/>
        <v>-</v>
      </c>
      <c r="Q34" s="63" t="str">
        <f si="6" t="shared"/>
        <v>-</v>
      </c>
      <c r="R34" s="63" t="str">
        <f si="6" t="shared"/>
        <v>-</v>
      </c>
      <c r="T34">
        <v>30</v>
      </c>
      <c r="U34" t="str">
        <f>VLOOKUP(T34,$AA$3:$AB$48,2,FALSE)</f>
        <v>s3-const</v>
      </c>
      <c r="V34" s="46">
        <f>R81</f>
        <v>-3.4435911421090002</v>
      </c>
      <c r="AA34" s="47">
        <f>OtherCoefficients!B42</f>
        <v>124</v>
      </c>
      <c r="AB34" s="47" t="str">
        <f>OtherCoefficients!C42</f>
        <v>tr-omixed</v>
      </c>
      <c r="AC34" s="81">
        <f>OtherCoefficients!E42</f>
        <v>1.9854496230000001</v>
      </c>
      <c r="AD34" s="82">
        <f si="0" t="shared"/>
        <v>1.9854496230000001</v>
      </c>
      <c r="AE34">
        <f si="1" t="shared"/>
        <v>0</v>
      </c>
    </row>
    <row r="35" spans="2:31" x14ac:dyDescent="0.25">
      <c r="B35" s="9" t="s">
        <v>5</v>
      </c>
      <c r="C35" s="54">
        <f si="8" t="shared"/>
        <v>0.13887866478781646</v>
      </c>
      <c r="D35" s="54"/>
      <c r="E35" s="54">
        <f si="9" t="shared"/>
        <v>3.4517235662883276E-2</v>
      </c>
      <c r="F35" s="114">
        <f si="10" t="shared"/>
        <v>6.9768057190361847E-3</v>
      </c>
      <c r="G35" s="115"/>
      <c r="H35" s="115" t="s">
        <v>5</v>
      </c>
      <c r="I35" s="115">
        <f si="11" t="shared"/>
        <v>0.18331436931079323</v>
      </c>
      <c r="J35" s="115">
        <f si="12" t="shared"/>
        <v>1.671798393497436E-3</v>
      </c>
      <c r="K35" s="115">
        <f si="13" t="shared"/>
        <v>2.2323448671151469E-3</v>
      </c>
      <c r="L35" s="115">
        <f si="14" t="shared"/>
        <v>7.6508881188916645E-3</v>
      </c>
      <c r="M35" s="42"/>
      <c r="N35" s="9" t="s">
        <v>5</v>
      </c>
      <c r="O35" s="63">
        <f si="6" t="shared"/>
        <v>0.75759835581879575</v>
      </c>
      <c r="P35" s="63">
        <f si="6" t="shared"/>
        <v>0</v>
      </c>
      <c r="Q35" s="63" t="str">
        <f si="6" t="shared"/>
        <v>-</v>
      </c>
      <c r="R35" s="63">
        <f>IF(R22="","-",F35/L35)</f>
        <v>0.91189488208682234</v>
      </c>
      <c r="T35">
        <v>36</v>
      </c>
      <c r="U35" t="str">
        <f ref="U35:U36" si="15" t="shared">VLOOKUP(T35,$AA$3:$AB$48,2,FALSE)</f>
        <v>s3-nocars</v>
      </c>
      <c r="V35" s="46">
        <f>O81</f>
        <v>-0.31010245280996657</v>
      </c>
      <c r="AA35" s="47">
        <f>OtherCoefficients!B43</f>
        <v>128</v>
      </c>
      <c r="AB35" s="47" t="str">
        <f>OtherCoefficients!C43</f>
        <v>tr-dempdn</v>
      </c>
      <c r="AC35" s="81">
        <f>OtherCoefficients!E43</f>
        <v>1.5630799999999999E-4</v>
      </c>
      <c r="AD35" s="82">
        <f si="0" t="shared"/>
        <v>1.5630799999999999E-4</v>
      </c>
      <c r="AE35">
        <f si="1" t="shared"/>
        <v>0</v>
      </c>
    </row>
    <row r="36" spans="2:31" x14ac:dyDescent="0.25">
      <c r="B36" s="9" t="s">
        <v>6</v>
      </c>
      <c r="C36" s="54">
        <f si="8" t="shared"/>
        <v>1.9266647565345359E-2</v>
      </c>
      <c r="D36" s="54"/>
      <c r="E36" s="54">
        <f si="9" t="shared"/>
        <v>0</v>
      </c>
      <c r="F36" s="54">
        <f si="10" t="shared"/>
        <v>6.8994688907256822E-3</v>
      </c>
      <c r="H36" s="9" t="s">
        <v>6</v>
      </c>
      <c r="I36" s="40">
        <f si="11" t="shared"/>
        <v>2.6820546163849154E-2</v>
      </c>
      <c r="J36" s="40">
        <f si="12" t="shared"/>
        <v>8.0719154756744883E-3</v>
      </c>
      <c r="K36" s="40">
        <f si="13" t="shared"/>
        <v>1.2519231349361972E-2</v>
      </c>
      <c r="L36" s="40">
        <f si="14" t="shared"/>
        <v>6.8738560361003348E-3</v>
      </c>
      <c r="M36" s="42"/>
      <c r="N36" s="9" t="s">
        <v>6</v>
      </c>
      <c r="O36" s="63">
        <f si="6" t="shared"/>
        <v>0.71835403528487662</v>
      </c>
      <c r="P36" s="63">
        <f si="6" t="shared"/>
        <v>0</v>
      </c>
      <c r="Q36" s="63" t="str">
        <f si="6" t="shared"/>
        <v>-</v>
      </c>
      <c r="R36" s="63">
        <f>IF(R23="","-",F36/L36)</f>
        <v>1.0037261261351464</v>
      </c>
      <c r="T36">
        <v>37</v>
      </c>
      <c r="U36" t="str">
        <f si="15" t="shared"/>
        <v>s3-carsltw</v>
      </c>
      <c r="V36" s="46">
        <f>Q81</f>
        <v>-2.5497656950655756</v>
      </c>
      <c r="AA36" s="47">
        <f>OtherCoefficients!B44</f>
        <v>131</v>
      </c>
      <c r="AB36" s="47" t="str">
        <f>OtherCoefficients!C44</f>
        <v>da-escsptr</v>
      </c>
      <c r="AC36" s="81">
        <f>OtherCoefficients!E44</f>
        <v>-0.48853505699999999</v>
      </c>
      <c r="AD36" s="82">
        <f si="0" t="shared"/>
        <v>-0.48853505699999999</v>
      </c>
      <c r="AE36">
        <f si="1" t="shared"/>
        <v>0</v>
      </c>
    </row>
    <row r="37" spans="2:31" x14ac:dyDescent="0.25">
      <c r="B37" s="9" t="s">
        <v>7</v>
      </c>
      <c r="C37" s="54">
        <f si="8" t="shared"/>
        <v>0.24225009569595762</v>
      </c>
      <c r="D37" s="54"/>
      <c r="E37" s="54">
        <f si="9" t="shared"/>
        <v>9.5121455105018682E-2</v>
      </c>
      <c r="F37" s="54">
        <f si="10" t="shared"/>
        <v>5.3127930858401409E-2</v>
      </c>
      <c r="H37" s="9" t="s">
        <v>7</v>
      </c>
      <c r="I37" s="40">
        <f si="11" t="shared"/>
        <v>0.1671001300390117</v>
      </c>
      <c r="J37" s="40">
        <f si="12" t="shared"/>
        <v>6.0691347739694798E-2</v>
      </c>
      <c r="K37" s="40">
        <f si="13" t="shared"/>
        <v>7.8252737639144462E-2</v>
      </c>
      <c r="L37" s="40">
        <f si="14" t="shared"/>
        <v>5.0468233777296846E-2</v>
      </c>
      <c r="M37" s="42"/>
      <c r="N37" s="9" t="s">
        <v>7</v>
      </c>
      <c r="O37" s="63">
        <f si="6" t="shared"/>
        <v>1.4497301446707505</v>
      </c>
      <c r="P37" s="63">
        <f si="6" t="shared"/>
        <v>0</v>
      </c>
      <c r="Q37" s="63" t="str">
        <f si="6" t="shared"/>
        <v>-</v>
      </c>
      <c r="R37" s="63">
        <f>IF(R24="","-",F37/L37)</f>
        <v>1.0527004192942657</v>
      </c>
      <c r="T37">
        <v>40</v>
      </c>
      <c r="U37" t="str">
        <f ref="U37:U47" si="16" t="shared">VLOOKUP(T37,$AA$3:$AB$48,2,FALSE)</f>
        <v>s2-const</v>
      </c>
      <c r="V37" s="46">
        <f>R80</f>
        <v>-3.5042557326249999</v>
      </c>
      <c r="AA37" s="47">
        <f>OtherCoefficients!B45</f>
        <v>132</v>
      </c>
      <c r="AB37" s="47" t="str">
        <f>OtherCoefficients!C45</f>
        <v>da-othsptr</v>
      </c>
      <c r="AC37" s="81">
        <f>OtherCoefficients!E45</f>
        <v>0.231801804</v>
      </c>
      <c r="AD37" s="82">
        <f si="0" t="shared"/>
        <v>0.231801804</v>
      </c>
      <c r="AE37">
        <f si="1" t="shared"/>
        <v>0</v>
      </c>
    </row>
    <row r="38" spans="2:31" x14ac:dyDescent="0.25">
      <c r="B38" s="14" t="s">
        <v>8</v>
      </c>
      <c r="C38" s="54">
        <f si="8" t="shared"/>
        <v>0</v>
      </c>
      <c r="D38" s="54"/>
      <c r="E38" s="54">
        <f si="9" t="shared"/>
        <v>0</v>
      </c>
      <c r="F38" s="54">
        <f si="10" t="shared"/>
        <v>4.3238471996534409E-3</v>
      </c>
      <c r="H38" s="14" t="s">
        <v>8</v>
      </c>
      <c r="I38" s="40">
        <f si="11" t="shared"/>
        <v>0</v>
      </c>
      <c r="J38" s="40">
        <f si="12" t="shared"/>
        <v>0</v>
      </c>
      <c r="K38" s="40">
        <f si="13" t="shared"/>
        <v>0</v>
      </c>
      <c r="L38" s="40">
        <f si="14" t="shared"/>
        <v>0</v>
      </c>
      <c r="M38" s="42"/>
      <c r="N38" s="14" t="s">
        <v>8</v>
      </c>
      <c r="O38" s="64" t="str">
        <f si="6" t="shared"/>
        <v>-</v>
      </c>
      <c r="P38" s="64" t="str">
        <f si="6" t="shared"/>
        <v>-</v>
      </c>
      <c r="Q38" s="64" t="str">
        <f si="6" t="shared"/>
        <v>-</v>
      </c>
      <c r="R38" s="64" t="str">
        <f si="6" t="shared"/>
        <v>-</v>
      </c>
      <c r="T38">
        <v>41</v>
      </c>
      <c r="U38" t="str">
        <f si="16" t="shared"/>
        <v>sr-nocars</v>
      </c>
      <c r="V38" s="46">
        <f>O80</f>
        <v>-1.2398764106530222</v>
      </c>
      <c r="AA38" s="47">
        <f>OtherCoefficients!B46</f>
        <v>133</v>
      </c>
      <c r="AB38" s="47" t="str">
        <f>OtherCoefficients!C46</f>
        <v>sr-escsptr</v>
      </c>
      <c r="AC38" s="81">
        <f>OtherCoefficients!E46</f>
        <v>-0.44898267400000003</v>
      </c>
      <c r="AD38" s="82">
        <f si="0" t="shared"/>
        <v>-0.44898267400000003</v>
      </c>
      <c r="AE38">
        <f si="1" t="shared"/>
        <v>0</v>
      </c>
    </row>
    <row ht="15.75" r="39" spans="2:31" thickBot="1" x14ac:dyDescent="0.3">
      <c r="B39" s="66" t="s">
        <v>19</v>
      </c>
      <c r="C39" s="68">
        <f>SUM(C31:C38)</f>
        <v>1</v>
      </c>
      <c r="D39" s="68">
        <f ref="D39" si="17" t="shared">SUM(D31:D38)</f>
        <v>0</v>
      </c>
      <c r="E39" s="68">
        <f si="9" t="shared"/>
        <v>1</v>
      </c>
      <c r="F39" s="68">
        <f si="10" t="shared"/>
        <v>1</v>
      </c>
      <c r="H39" s="66" t="s">
        <v>19</v>
      </c>
      <c r="I39" s="69">
        <f>SUM(I31:I38)</f>
        <v>1</v>
      </c>
      <c r="J39" s="69">
        <f ref="J39:K39" si="18" t="shared">SUM(J31:J38)</f>
        <v>1</v>
      </c>
      <c r="K39" s="69">
        <f si="18" t="shared"/>
        <v>0.99999999999999989</v>
      </c>
      <c r="L39" s="69">
        <f si="14" t="shared"/>
        <v>1</v>
      </c>
      <c r="M39" s="42"/>
      <c r="N39" s="39" t="s">
        <v>260</v>
      </c>
      <c r="O39" s="41"/>
      <c r="P39" s="41"/>
      <c r="Q39" s="41"/>
      <c r="R39" s="41"/>
      <c r="T39">
        <v>43</v>
      </c>
      <c r="U39" t="str">
        <f si="16" t="shared"/>
        <v>sr-carsltw</v>
      </c>
      <c r="V39" s="46">
        <f>Q80</f>
        <v>-0.18345831477884605</v>
      </c>
      <c r="AA39" s="47">
        <f>OtherCoefficients!B47</f>
        <v>134</v>
      </c>
      <c r="AB39" s="47" t="str">
        <f>OtherCoefficients!C47</f>
        <v>sr-othsptr</v>
      </c>
      <c r="AC39" s="81">
        <f>OtherCoefficients!E47</f>
        <v>0.33715357200000001</v>
      </c>
      <c r="AD39" s="82">
        <f si="0" t="shared"/>
        <v>0.33715357200000001</v>
      </c>
      <c r="AE39">
        <f si="1" t="shared"/>
        <v>0</v>
      </c>
    </row>
    <row r="40" spans="2:31" x14ac:dyDescent="0.25">
      <c r="T40">
        <v>50</v>
      </c>
      <c r="U40" t="str">
        <f si="16" t="shared"/>
        <v>da-const</v>
      </c>
      <c r="V40" s="46">
        <f>R79</f>
        <v>-1.7357729912290001</v>
      </c>
      <c r="AA40" s="47">
        <f>OtherCoefficients!B48</f>
        <v>136</v>
      </c>
      <c r="AB40" s="47" t="str">
        <f>OtherCoefficients!C48</f>
        <v>sr-shop</v>
      </c>
      <c r="AC40" s="81">
        <f>OtherCoefficients!E48</f>
        <v>7.2810588999999995E-2</v>
      </c>
      <c r="AD40" s="82">
        <f si="0" t="shared"/>
        <v>7.2810588999999995E-2</v>
      </c>
      <c r="AE40">
        <f si="1" t="shared"/>
        <v>0</v>
      </c>
    </row>
    <row r="41" spans="2:31" x14ac:dyDescent="0.25">
      <c r="T41" s="41">
        <v>52</v>
      </c>
      <c r="U41" s="41" t="str">
        <f si="16" t="shared"/>
        <v>da-carsltd</v>
      </c>
      <c r="V41" s="90">
        <f>P79</f>
        <v>-0.64206868482799995</v>
      </c>
      <c r="Y41" s="41"/>
      <c r="AA41" s="47">
        <f>OtherCoefficients!B49</f>
        <v>137</v>
      </c>
      <c r="AB41" s="47" t="str">
        <f>OtherCoefficients!C49</f>
        <v>sr-meal</v>
      </c>
      <c r="AC41" s="81">
        <f>OtherCoefficients!E49</f>
        <v>2.1739211389999999</v>
      </c>
      <c r="AD41" s="82">
        <f si="0" t="shared"/>
        <v>2.1739211389999999</v>
      </c>
      <c r="AE41">
        <f si="1" t="shared"/>
        <v>0</v>
      </c>
    </row>
    <row ht="15.75" r="42" spans="2:31" thickBot="1" x14ac:dyDescent="0.3">
      <c r="K42" s="116"/>
      <c r="N42" s="36" t="s">
        <v>257</v>
      </c>
      <c r="T42" s="41">
        <v>60</v>
      </c>
      <c r="U42" s="41" t="str">
        <f si="16" t="shared"/>
        <v>bi-const</v>
      </c>
      <c r="V42" s="90">
        <f>R84</f>
        <v>-7.5193251396859999</v>
      </c>
      <c r="Y42" s="41"/>
      <c r="AA42" s="47">
        <f>OtherCoefficients!B50</f>
        <v>138</v>
      </c>
      <c r="AB42" s="47" t="str">
        <f>OtherCoefficients!C50</f>
        <v>sr-socrec</v>
      </c>
      <c r="AC42" s="81">
        <f>OtherCoefficients!E50</f>
        <v>0.54895052200000005</v>
      </c>
      <c r="AD42" s="82">
        <f si="0" t="shared"/>
        <v>0.54895052200000005</v>
      </c>
      <c r="AE42">
        <f si="1" t="shared"/>
        <v>0</v>
      </c>
    </row>
    <row r="43" spans="2:31" x14ac:dyDescent="0.25">
      <c r="N43" s="59" t="s">
        <v>0</v>
      </c>
      <c r="O43" s="60" t="s">
        <v>239</v>
      </c>
      <c r="P43" s="60" t="s">
        <v>234</v>
      </c>
      <c r="Q43" s="60" t="s">
        <v>237</v>
      </c>
      <c r="R43" s="60" t="s">
        <v>240</v>
      </c>
      <c r="T43" s="127">
        <v>67</v>
      </c>
      <c r="U43" s="127" t="str">
        <f si="16" t="shared"/>
        <v>bi-nocars</v>
      </c>
      <c r="V43" s="90">
        <f>O84</f>
        <v>-1.5649802914995683</v>
      </c>
      <c r="Y43" s="41"/>
      <c r="AA43" s="47">
        <f>OtherCoefficients!B51</f>
        <v>160</v>
      </c>
      <c r="AB43" s="47" t="str">
        <f>OtherCoefficients!C51</f>
        <v>bi-socrec</v>
      </c>
      <c r="AC43" s="81">
        <f>OtherCoefficients!E51</f>
        <v>0.97577037600000005</v>
      </c>
      <c r="AD43" s="82">
        <f si="0" t="shared"/>
        <v>0.97577037600000005</v>
      </c>
      <c r="AE43">
        <f si="1" t="shared"/>
        <v>0</v>
      </c>
    </row>
    <row r="44" spans="2:31" x14ac:dyDescent="0.25">
      <c r="B44" s="41"/>
      <c r="C44" s="41"/>
      <c r="D44" s="41"/>
      <c r="E44" s="41"/>
      <c r="N44" s="9" t="s">
        <v>1</v>
      </c>
      <c r="O44" s="76" t="str">
        <f ref="O44:R51" si="19" t="shared">IF(O18="","-",IF(O31&gt;0,LN(O31),0))</f>
        <v>-</v>
      </c>
      <c r="P44" s="76">
        <f si="19" t="shared"/>
        <v>0</v>
      </c>
      <c r="Q44" s="76" t="str">
        <f si="19" t="shared"/>
        <v>-</v>
      </c>
      <c r="R44" s="76">
        <f si="19" t="shared"/>
        <v>-9.0534152665015886E-3</v>
      </c>
      <c r="T44" s="127">
        <v>68</v>
      </c>
      <c r="U44" s="127" t="str">
        <f si="16" t="shared"/>
        <v>bi-carsltd</v>
      </c>
      <c r="V44" s="90">
        <f>P84</f>
        <v>0.44391216245499998</v>
      </c>
      <c r="Y44" s="41"/>
      <c r="AA44" s="47">
        <f>OtherCoefficients!B52</f>
        <v>161</v>
      </c>
      <c r="AB44" s="47" t="str">
        <f>OtherCoefficients!C52</f>
        <v>bi-class1</v>
      </c>
      <c r="AC44" s="81">
        <f>OtherCoefficients!E52</f>
        <v>0.73068915300000004</v>
      </c>
      <c r="AD44" s="82">
        <f si="0" t="shared"/>
        <v>0.73068915300000004</v>
      </c>
      <c r="AE44">
        <f si="1" t="shared"/>
        <v>0</v>
      </c>
    </row>
    <row r="45" spans="2:31" x14ac:dyDescent="0.25">
      <c r="B45" s="70"/>
      <c r="C45" s="41"/>
      <c r="D45" s="41"/>
      <c r="E45" s="41"/>
      <c r="N45" s="9" t="s">
        <v>2</v>
      </c>
      <c r="O45" s="77">
        <f si="19" t="shared"/>
        <v>-3.7898742925022245E-2</v>
      </c>
      <c r="P45" s="77" t="str">
        <f si="19" t="shared"/>
        <v>-</v>
      </c>
      <c r="Q45" s="77">
        <f si="19" t="shared"/>
        <v>4.8199332918153953E-2</v>
      </c>
      <c r="R45" s="77">
        <f si="19" t="shared"/>
        <v>-5.6835145999663177E-3</v>
      </c>
      <c r="T45" s="127">
        <v>70</v>
      </c>
      <c r="U45" s="127" t="str">
        <f si="16" t="shared"/>
        <v>wk-const</v>
      </c>
      <c r="V45" s="90">
        <f>R85</f>
        <v>0</v>
      </c>
      <c r="Y45" s="41"/>
      <c r="AA45" s="47">
        <f>OtherCoefficients!B53</f>
        <v>162</v>
      </c>
      <c r="AB45" s="47" t="str">
        <f>OtherCoefficients!C53</f>
        <v>bi-class2</v>
      </c>
      <c r="AC45" s="81">
        <f>OtherCoefficients!E53</f>
        <v>0.91913294499999998</v>
      </c>
      <c r="AD45" s="82">
        <f si="0" t="shared"/>
        <v>0.91913294499999998</v>
      </c>
      <c r="AE45">
        <f si="1" t="shared"/>
        <v>0</v>
      </c>
    </row>
    <row r="46" spans="2:31" x14ac:dyDescent="0.25">
      <c r="B46" s="41"/>
      <c r="C46" s="88"/>
      <c r="D46" s="88"/>
      <c r="E46" s="88"/>
      <c r="N46" s="9" t="s">
        <v>3</v>
      </c>
      <c r="O46" s="77">
        <f si="19" t="shared"/>
        <v>-9.2370867494988823E-2</v>
      </c>
      <c r="P46" s="77" t="str">
        <f si="19" t="shared"/>
        <v>-</v>
      </c>
      <c r="Q46" s="77">
        <f si="19" t="shared"/>
        <v>-0.39881308326942178</v>
      </c>
      <c r="R46" s="77">
        <f si="19" t="shared"/>
        <v>-4.1697792168219443E-3</v>
      </c>
      <c r="T46" s="127">
        <v>77</v>
      </c>
      <c r="U46" s="127" t="str">
        <f si="16" t="shared"/>
        <v>wk-nocars</v>
      </c>
      <c r="V46" s="46">
        <f>O85</f>
        <v>1.7395060869517831</v>
      </c>
      <c r="Y46" s="41"/>
      <c r="AA46" s="47">
        <f>OtherCoefficients!B54</f>
        <v>163</v>
      </c>
      <c r="AB46" s="47" t="str">
        <f>OtherCoefficients!C54</f>
        <v>bi-gauntl</v>
      </c>
      <c r="AC46" s="81">
        <f>OtherCoefficients!E54</f>
        <v>-0.88337105100000002</v>
      </c>
      <c r="AD46" s="82">
        <f si="0" t="shared"/>
        <v>-0.88337105100000002</v>
      </c>
      <c r="AE46">
        <f si="1" t="shared"/>
        <v>0</v>
      </c>
    </row>
    <row ht="15.75" r="47" spans="2:31" thickBot="1" x14ac:dyDescent="0.3">
      <c r="B47" s="12"/>
      <c r="C47" s="55"/>
      <c r="D47" s="55"/>
      <c r="E47" s="55"/>
      <c r="N47" s="9" t="s">
        <v>4</v>
      </c>
      <c r="O47" s="77" t="str">
        <f si="19" t="shared"/>
        <v>-</v>
      </c>
      <c r="P47" s="77" t="str">
        <f si="19" t="shared"/>
        <v>-</v>
      </c>
      <c r="Q47" s="77" t="str">
        <f si="19" t="shared"/>
        <v>-</v>
      </c>
      <c r="R47" s="77" t="str">
        <f si="19" t="shared"/>
        <v>-</v>
      </c>
      <c r="T47" s="128">
        <v>78</v>
      </c>
      <c r="U47" s="128" t="str">
        <f si="16" t="shared"/>
        <v>wk-carsltd</v>
      </c>
      <c r="V47" s="126">
        <f>P85</f>
        <v>0.72433533718200005</v>
      </c>
      <c r="Y47" s="41"/>
      <c r="AA47" s="47">
        <f>OtherCoefficients!B55</f>
        <v>164</v>
      </c>
      <c r="AB47" s="47" t="str">
        <f>OtherCoefficients!C55</f>
        <v>bi-omixed</v>
      </c>
      <c r="AC47" s="81">
        <f>OtherCoefficients!E55</f>
        <v>2.868961434</v>
      </c>
      <c r="AD47" s="82">
        <f si="0" t="shared"/>
        <v>2.868961434</v>
      </c>
      <c r="AE47">
        <f si="1" t="shared"/>
        <v>0</v>
      </c>
    </row>
    <row r="48" spans="2:31" x14ac:dyDescent="0.25">
      <c r="B48" s="12"/>
      <c r="C48" s="55"/>
      <c r="D48" s="55"/>
      <c r="E48" s="55"/>
      <c r="N48" s="9" t="s">
        <v>5</v>
      </c>
      <c r="O48" s="77">
        <f si="19" t="shared"/>
        <v>-0.27760190736236517</v>
      </c>
      <c r="P48" s="77">
        <f si="19" t="shared"/>
        <v>0</v>
      </c>
      <c r="Q48" s="77" t="str">
        <f si="19" t="shared"/>
        <v>-</v>
      </c>
      <c r="R48" s="77">
        <f si="19" t="shared"/>
        <v>-9.2230556420562507E-2</v>
      </c>
      <c r="Y48" s="41"/>
      <c r="AA48" s="47">
        <f>OtherCoefficients!B56</f>
        <v>165</v>
      </c>
      <c r="AB48" s="47" t="str">
        <f>OtherCoefficients!C56</f>
        <v>bi-ohhddn</v>
      </c>
      <c r="AC48" s="81">
        <f>OtherCoefficients!E56</f>
        <v>8.0969099999999997E-4</v>
      </c>
      <c r="AD48" s="82">
        <f si="0" t="shared"/>
        <v>8.0969099999999997E-4</v>
      </c>
      <c r="AE48">
        <f si="1" t="shared"/>
        <v>0</v>
      </c>
    </row>
    <row r="49" spans="2:31" x14ac:dyDescent="0.25">
      <c r="B49" s="12"/>
      <c r="C49" s="55"/>
      <c r="D49" s="55"/>
      <c r="E49" s="55"/>
      <c r="N49" s="9" t="s">
        <v>6</v>
      </c>
      <c r="O49" s="77">
        <f si="19" t="shared"/>
        <v>-0.33079274610556814</v>
      </c>
      <c r="P49" s="77">
        <f si="19" t="shared"/>
        <v>0</v>
      </c>
      <c r="Q49" s="77" t="str">
        <f si="19" t="shared"/>
        <v>-</v>
      </c>
      <c r="R49" s="77">
        <f si="19" t="shared"/>
        <v>3.7192013236422646E-3</v>
      </c>
      <c r="Y49" s="41"/>
      <c r="AA49" s="47">
        <f>OtherCoefficients!B57</f>
        <v>168</v>
      </c>
      <c r="AB49" s="47" t="str">
        <f>OtherCoefficients!C57</f>
        <v>bi-dempdn</v>
      </c>
      <c r="AC49" s="81">
        <f>OtherCoefficients!E57</f>
        <v>5.64362E-5</v>
      </c>
      <c r="AD49" s="82">
        <f si="0" t="shared"/>
        <v>5.64362E-5</v>
      </c>
      <c r="AE49">
        <f si="1" t="shared"/>
        <v>0</v>
      </c>
    </row>
    <row r="50" spans="2:31" x14ac:dyDescent="0.25">
      <c r="B50" s="12"/>
      <c r="C50" s="55"/>
      <c r="D50" s="55"/>
      <c r="E50" s="55"/>
      <c r="N50" s="9" t="s">
        <v>7</v>
      </c>
      <c r="O50" s="77">
        <f si="19" t="shared"/>
        <v>0.37137743198878298</v>
      </c>
      <c r="P50" s="77">
        <f si="19" t="shared"/>
        <v>0</v>
      </c>
      <c r="Q50" s="77" t="str">
        <f si="19" t="shared"/>
        <v>-</v>
      </c>
      <c r="R50" s="77">
        <f si="19" t="shared"/>
        <v>5.1358690578725448E-2</v>
      </c>
      <c r="Y50" s="41"/>
      <c r="AA50" s="47">
        <f>OtherCoefficients!B58</f>
        <v>169</v>
      </c>
      <c r="AB50" s="47" t="str">
        <f>OtherCoefficients!C58</f>
        <v>bi-dmixed</v>
      </c>
      <c r="AC50" s="81">
        <f>OtherCoefficients!E58</f>
        <v>1.043010376</v>
      </c>
      <c r="AD50" s="82">
        <f si="0" t="shared"/>
        <v>1.043010376</v>
      </c>
      <c r="AE50">
        <f si="1" t="shared"/>
        <v>0</v>
      </c>
    </row>
    <row r="51" spans="2:31" x14ac:dyDescent="0.25">
      <c r="B51" s="12"/>
      <c r="C51" s="55"/>
      <c r="D51" s="55"/>
      <c r="E51" s="55"/>
      <c r="N51" s="14" t="s">
        <v>8</v>
      </c>
      <c r="O51" s="78" t="str">
        <f si="19" t="shared"/>
        <v>-</v>
      </c>
      <c r="P51" s="78" t="str">
        <f si="19" t="shared"/>
        <v>-</v>
      </c>
      <c r="Q51" s="78" t="str">
        <f si="19" t="shared"/>
        <v>-</v>
      </c>
      <c r="R51" s="78" t="str">
        <f si="19" t="shared"/>
        <v>-</v>
      </c>
      <c r="Y51" s="41"/>
      <c r="AA51" s="47">
        <f>OtherCoefficients!B59</f>
        <v>171</v>
      </c>
      <c r="AB51" s="47" t="str">
        <f>OtherCoefficients!C59</f>
        <v>wk-meal</v>
      </c>
      <c r="AC51" s="81">
        <f>OtherCoefficients!E59</f>
        <v>1.238277402</v>
      </c>
      <c r="AD51" s="82">
        <f si="0" t="shared"/>
        <v>1.238277402</v>
      </c>
      <c r="AE51">
        <f si="1" t="shared"/>
        <v>0</v>
      </c>
    </row>
    <row r="52" spans="2:31" x14ac:dyDescent="0.25">
      <c r="B52" s="12"/>
      <c r="C52" s="55"/>
      <c r="D52" s="55"/>
      <c r="E52" s="55"/>
      <c r="N52" s="41"/>
      <c r="O52" s="41"/>
      <c r="P52" s="41"/>
      <c r="Q52" s="41"/>
      <c r="R52" s="41"/>
      <c r="AA52" s="47">
        <f>OtherCoefficients!B60</f>
        <v>172</v>
      </c>
      <c r="AB52" s="47" t="str">
        <f>OtherCoefficients!C60</f>
        <v>wk-socrec</v>
      </c>
      <c r="AC52" s="81">
        <f>OtherCoefficients!E60</f>
        <v>1.3528226169999999</v>
      </c>
      <c r="AD52" s="82">
        <f si="0" t="shared"/>
        <v>1.3528226169999999</v>
      </c>
      <c r="AE52">
        <f si="1" t="shared"/>
        <v>0</v>
      </c>
    </row>
    <row r="53" spans="2:31" x14ac:dyDescent="0.25">
      <c r="B53" s="12"/>
      <c r="C53" s="55"/>
      <c r="D53" s="55"/>
      <c r="E53" s="55"/>
      <c r="P53" t="s">
        <v>246</v>
      </c>
      <c r="Q53" s="47"/>
      <c r="AA53" s="47">
        <f>OtherCoefficients!B61</f>
        <v>175</v>
      </c>
      <c r="AB53" s="47" t="str">
        <f>OtherCoefficients!C61</f>
        <v>wk-ohhddn</v>
      </c>
      <c r="AC53" s="81">
        <f>OtherCoefficients!E61</f>
        <v>8.3440800000000002E-4</v>
      </c>
      <c r="AD53" s="82">
        <f si="0" t="shared"/>
        <v>8.3440800000000002E-4</v>
      </c>
      <c r="AE53">
        <f si="1" t="shared"/>
        <v>0</v>
      </c>
    </row>
    <row ht="15.75" r="54" spans="2:31" thickBot="1" x14ac:dyDescent="0.3">
      <c r="B54" s="39"/>
      <c r="C54" s="41"/>
      <c r="D54" s="41"/>
      <c r="E54" s="41"/>
      <c r="N54" s="36" t="s">
        <v>198</v>
      </c>
      <c r="O54" s="79">
        <v>1</v>
      </c>
      <c r="P54" s="79">
        <v>0</v>
      </c>
      <c r="Q54" s="79">
        <v>1</v>
      </c>
      <c r="R54" s="79">
        <v>0</v>
      </c>
      <c r="AA54" s="47">
        <f>OtherCoefficients!B62</f>
        <v>178</v>
      </c>
      <c r="AB54" s="47" t="str">
        <f>OtherCoefficients!C62</f>
        <v>wk-dempdn</v>
      </c>
      <c r="AC54" s="81">
        <f>OtherCoefficients!E62</f>
        <v>1.08743E-5</v>
      </c>
      <c r="AD54" s="82">
        <f si="0" t="shared"/>
        <v>1.08743E-5</v>
      </c>
      <c r="AE54">
        <f si="1" t="shared"/>
        <v>0</v>
      </c>
    </row>
    <row r="55" spans="2:31" x14ac:dyDescent="0.25">
      <c r="B55" s="70"/>
      <c r="C55" s="41"/>
      <c r="D55" s="41"/>
      <c r="E55" s="41"/>
      <c r="N55" s="2" t="s">
        <v>0</v>
      </c>
      <c r="O55" s="92" t="str">
        <f>O43</f>
        <v>nocars</v>
      </c>
      <c r="P55" s="92" t="str">
        <f>P43</f>
        <v>cars &lt; adults</v>
      </c>
      <c r="Q55" s="92" t="str">
        <f>Q43</f>
        <v>cars &lt; workers</v>
      </c>
      <c r="R55" s="92" t="str">
        <f>R43</f>
        <v>constant</v>
      </c>
      <c r="AA55" s="47">
        <f>OtherCoefficients!B63</f>
        <v>180</v>
      </c>
      <c r="AB55" s="47" t="str">
        <f>OtherCoefficients!C63</f>
        <v>wt-univtr</v>
      </c>
      <c r="AC55" s="81">
        <f>OtherCoefficients!E63</f>
        <v>-5.9573940959999998</v>
      </c>
      <c r="AD55" s="82">
        <f si="0" t="shared"/>
        <v>-5.9573940959999998</v>
      </c>
      <c r="AE55">
        <f si="1" t="shared"/>
        <v>0</v>
      </c>
    </row>
    <row r="56" spans="2:31" x14ac:dyDescent="0.25">
      <c r="B56" s="41"/>
      <c r="C56" s="88"/>
      <c r="D56" s="88"/>
      <c r="E56" s="88"/>
      <c r="N56" s="9" t="s">
        <v>1</v>
      </c>
      <c r="O56" s="72" t="str">
        <f>IF(O18="","-",IF($R18="",$O$54*O44,$O$54*(O44)))</f>
        <v>-</v>
      </c>
      <c r="P56" s="72">
        <f ref="P56:P63" si="20" t="shared">IF(P18="","-",IF($R18="",$P$54*P44,$P$54*(P44)))</f>
        <v>0</v>
      </c>
      <c r="Q56" s="72" t="str">
        <f>IF(Q18="","-",IF($R18="",$Q$54*Q44,$Q$54*(Q44)))</f>
        <v>-</v>
      </c>
      <c r="R56" s="72">
        <f>IF(R18="","-",$R$54*(R44-$R$50))</f>
        <v>0</v>
      </c>
      <c r="AA56" s="47">
        <f>OtherCoefficients!B64</f>
        <v>99</v>
      </c>
      <c r="AB56" s="47" t="str">
        <f>OtherCoefficients!C64</f>
        <v>modenest</v>
      </c>
      <c r="AC56" s="81">
        <f>OtherCoefficients!E64</f>
        <v>0.78390199500000002</v>
      </c>
      <c r="AD56" s="82">
        <f si="0" t="shared"/>
        <v>0.78390199500000002</v>
      </c>
      <c r="AE56">
        <f si="1" t="shared"/>
        <v>0</v>
      </c>
    </row>
    <row r="57" spans="2:31" x14ac:dyDescent="0.25">
      <c r="B57" s="12"/>
      <c r="C57" s="55"/>
      <c r="D57" s="55"/>
      <c r="E57" s="55"/>
      <c r="N57" s="9" t="s">
        <v>2</v>
      </c>
      <c r="O57" s="73">
        <f>IF(O19="","-",IF($R19="",$O$54*O45,$O$54*(O45)))</f>
        <v>-3.7898742925022245E-2</v>
      </c>
      <c r="P57" s="73" t="str">
        <f si="20" t="shared"/>
        <v>-</v>
      </c>
      <c r="Q57" s="73">
        <f>IF(Q19="","-",IF($R19="",$Q$54*Q45,$Q$54*(Q45)))</f>
        <v>4.8199332918153953E-2</v>
      </c>
      <c r="R57" s="73">
        <f ref="R57:R63" si="21" t="shared">IF(R19="","-",$R$54*(R45-$R$50))</f>
        <v>0</v>
      </c>
      <c r="AA57" s="47">
        <f>OtherCoefficients!B65</f>
        <v>-1</v>
      </c>
      <c r="AB57" s="47"/>
      <c r="AC57" s="84"/>
      <c r="AD57" s="84"/>
      <c r="AE57" s="47"/>
    </row>
    <row r="58" spans="2:31" x14ac:dyDescent="0.25">
      <c r="B58" s="12"/>
      <c r="C58" s="71"/>
      <c r="D58" s="71"/>
      <c r="E58" s="71"/>
      <c r="N58" s="9" t="s">
        <v>3</v>
      </c>
      <c r="O58" s="73">
        <f>IF(O20="","-",IF($R20="",$O$54*O46,$O$54*(O46-O57)))</f>
        <v>-5.4472124569966578E-2</v>
      </c>
      <c r="P58" s="73" t="str">
        <f si="20" t="shared"/>
        <v>-</v>
      </c>
      <c r="Q58" s="73">
        <f>IF(Q20="","-",IF($R20="",$Q$54*Q46,$Q$54*(Q46-Q57)))</f>
        <v>-0.4470124161875757</v>
      </c>
      <c r="R58" s="73">
        <f si="21" t="shared"/>
        <v>0</v>
      </c>
      <c r="AA58" s="47"/>
      <c r="AB58" s="47"/>
      <c r="AC58" s="84"/>
      <c r="AD58" s="84"/>
      <c r="AE58" s="47"/>
    </row>
    <row r="59" spans="2:31" x14ac:dyDescent="0.25">
      <c r="B59" s="12"/>
      <c r="C59" s="71"/>
      <c r="D59" s="71"/>
      <c r="E59" s="71"/>
      <c r="N59" s="9" t="s">
        <v>4</v>
      </c>
      <c r="O59" s="73" t="str">
        <f>IF(O21="","-",IF($R21="",$O$54*O47,$O$54*(O47)))</f>
        <v>-</v>
      </c>
      <c r="P59" s="73" t="str">
        <f si="20" t="shared"/>
        <v>-</v>
      </c>
      <c r="Q59" s="73" t="str">
        <f>IF(Q21="","-",IF($R21="",$Q$54*Q47,$Q$54*(Q47)))</f>
        <v>-</v>
      </c>
      <c r="R59" s="73" t="str">
        <f si="21" t="shared"/>
        <v>-</v>
      </c>
      <c r="AA59" s="47"/>
      <c r="AB59" s="47"/>
      <c r="AC59" s="81"/>
    </row>
    <row r="60" spans="2:31" x14ac:dyDescent="0.25">
      <c r="B60" s="12"/>
      <c r="C60" s="55"/>
      <c r="D60" s="55"/>
      <c r="E60" s="55"/>
      <c r="N60" s="9" t="s">
        <v>5</v>
      </c>
      <c r="O60" s="73">
        <f>IF(O22="","-",IF($R22="",$O$54*O48,$O$54*(O48)))</f>
        <v>-0.27760190736236517</v>
      </c>
      <c r="P60" s="73">
        <f si="20" t="shared"/>
        <v>0</v>
      </c>
      <c r="Q60" s="73" t="str">
        <f>IF(Q22="","-",IF($R22="",$Q$54*Q48,$Q$54*(Q48)))</f>
        <v>-</v>
      </c>
      <c r="R60" s="73">
        <f si="21" t="shared"/>
        <v>0</v>
      </c>
    </row>
    <row r="61" spans="2:31" x14ac:dyDescent="0.25">
      <c r="B61" s="12"/>
      <c r="C61" s="55"/>
      <c r="D61" s="55"/>
      <c r="E61" s="55"/>
      <c r="N61" s="9" t="s">
        <v>6</v>
      </c>
      <c r="O61" s="73">
        <f>IF(O23="","-",IF($R23="",$O$54*O49,$O$54*(O49)))</f>
        <v>-0.33079274610556814</v>
      </c>
      <c r="P61" s="73">
        <f si="20" t="shared"/>
        <v>0</v>
      </c>
      <c r="Q61" s="73" t="str">
        <f>IF(Q23="","-",IF($R23="",$Q$54*Q49,$Q$54*(Q49)))</f>
        <v>-</v>
      </c>
      <c r="R61" s="73">
        <f si="21" t="shared"/>
        <v>0</v>
      </c>
    </row>
    <row r="62" spans="2:31" x14ac:dyDescent="0.25">
      <c r="B62" s="12"/>
      <c r="C62" s="55"/>
      <c r="D62" s="55"/>
      <c r="E62" s="55"/>
      <c r="N62" s="9" t="s">
        <v>7</v>
      </c>
      <c r="O62" s="73">
        <f>IF(O24="","-",IF($R24="",$O$54*O50,$O$54*(O50)))</f>
        <v>0.37137743198878298</v>
      </c>
      <c r="P62" s="73">
        <f si="20" t="shared"/>
        <v>0</v>
      </c>
      <c r="Q62" s="73" t="str">
        <f>IF(Q24="","-",IF($R24="",$Q$54*Q50,$Q$54*(Q50)))</f>
        <v>-</v>
      </c>
      <c r="R62" s="73">
        <f si="21" t="shared"/>
        <v>0</v>
      </c>
    </row>
    <row r="63" spans="2:31" x14ac:dyDescent="0.25">
      <c r="B63" s="12"/>
      <c r="C63" s="55"/>
      <c r="D63" s="55"/>
      <c r="E63" s="55"/>
      <c r="N63" s="14" t="s">
        <v>8</v>
      </c>
      <c r="O63" s="74" t="str">
        <f>IF(O25="","-",IF($R25="",$O$54*O51,$O$54*(O51)))</f>
        <v>-</v>
      </c>
      <c r="P63" s="74" t="str">
        <f si="20" t="shared"/>
        <v>-</v>
      </c>
      <c r="Q63" s="74" t="str">
        <f>IF(Q25="","-",IF($R25="",$Q$54*Q51,$Q$54*(Q51)))</f>
        <v>-</v>
      </c>
      <c r="R63" s="74" t="str">
        <f si="21" t="shared"/>
        <v>-</v>
      </c>
      <c r="S63" s="41"/>
    </row>
    <row r="64" spans="2:31" x14ac:dyDescent="0.25">
      <c r="B64" s="12"/>
      <c r="C64" s="55"/>
      <c r="D64" s="55"/>
      <c r="E64" s="55"/>
      <c r="N64" s="39" t="s">
        <v>261</v>
      </c>
    </row>
    <row r="65" spans="2:18" x14ac:dyDescent="0.25">
      <c r="B65" s="12"/>
      <c r="C65" s="55"/>
      <c r="D65" s="55"/>
      <c r="E65" s="55"/>
    </row>
    <row ht="15.75" r="66" spans="2:18" thickBot="1" x14ac:dyDescent="0.3">
      <c r="B66" s="41"/>
      <c r="C66" s="41"/>
      <c r="D66" s="41"/>
      <c r="E66" s="41"/>
      <c r="N66" s="57" t="s">
        <v>199</v>
      </c>
      <c r="O66" s="41"/>
      <c r="P66" s="41"/>
      <c r="Q66" s="41"/>
      <c r="R66" s="41"/>
    </row>
    <row r="67" spans="2:18" x14ac:dyDescent="0.25">
      <c r="B67" s="70"/>
      <c r="C67" s="41"/>
      <c r="D67" s="41"/>
      <c r="E67" s="41"/>
      <c r="N67" s="2" t="s">
        <v>0</v>
      </c>
      <c r="O67" s="60" t="str">
        <f>O43</f>
        <v>nocars</v>
      </c>
      <c r="P67" s="60" t="str">
        <f>P43</f>
        <v>cars &lt; adults</v>
      </c>
      <c r="Q67" s="60" t="str">
        <f>Q43</f>
        <v>cars &lt; workers</v>
      </c>
      <c r="R67" s="60" t="str">
        <f>R43</f>
        <v>constant</v>
      </c>
    </row>
    <row r="68" spans="2:18" x14ac:dyDescent="0.25">
      <c r="B68" s="41"/>
      <c r="C68" s="88"/>
      <c r="D68" s="88"/>
      <c r="E68" s="88"/>
      <c r="N68" s="9" t="s">
        <v>1</v>
      </c>
      <c r="O68" s="72" t="str">
        <f ref="O68:R75" si="22" t="shared">IFERROR(VLOOKUP(O18,$AA$3:$AC$48,3,FALSE),"-")</f>
        <v>-</v>
      </c>
      <c r="P68" s="72">
        <f si="22" t="shared"/>
        <v>-0.64206868482799995</v>
      </c>
      <c r="Q68" s="72" t="str">
        <f si="22" t="shared"/>
        <v>-</v>
      </c>
      <c r="R68" s="72">
        <f si="22" t="shared"/>
        <v>-1.7357729912290001</v>
      </c>
    </row>
    <row r="69" spans="2:18" x14ac:dyDescent="0.25">
      <c r="B69" s="12"/>
      <c r="C69" s="55"/>
      <c r="D69" s="55"/>
      <c r="E69" s="55"/>
      <c r="N69" s="9" t="s">
        <v>2</v>
      </c>
      <c r="O69" s="73">
        <f si="22" t="shared"/>
        <v>-1.2019776677280001</v>
      </c>
      <c r="P69" s="73" t="str">
        <f si="22" t="shared"/>
        <v>-</v>
      </c>
      <c r="Q69" s="73">
        <f si="22" t="shared"/>
        <v>-0.23165764769700001</v>
      </c>
      <c r="R69" s="73">
        <f si="22" t="shared"/>
        <v>-3.5042557326249999</v>
      </c>
    </row>
    <row r="70" spans="2:18" x14ac:dyDescent="0.25">
      <c r="B70" s="12"/>
      <c r="C70" s="71"/>
      <c r="D70" s="55"/>
      <c r="E70" s="55"/>
      <c r="N70" s="9" t="s">
        <v>3</v>
      </c>
      <c r="O70" s="73">
        <f si="22" t="shared"/>
        <v>-0.25563032823999998</v>
      </c>
      <c r="P70" s="73" t="str">
        <f si="22" t="shared"/>
        <v>-</v>
      </c>
      <c r="Q70" s="73">
        <f si="22" t="shared"/>
        <v>-2.1027532788780001</v>
      </c>
      <c r="R70" s="73">
        <f si="22" t="shared"/>
        <v>-3.4435911421090002</v>
      </c>
    </row>
    <row r="71" spans="2:18" x14ac:dyDescent="0.25">
      <c r="B71" s="12"/>
      <c r="C71" s="71"/>
      <c r="D71" s="55"/>
      <c r="E71" s="55"/>
      <c r="N71" s="9" t="s">
        <v>4</v>
      </c>
      <c r="O71" s="73" t="str">
        <f si="22" t="shared"/>
        <v>-</v>
      </c>
      <c r="P71" s="73" t="str">
        <f si="22" t="shared"/>
        <v>-</v>
      </c>
      <c r="Q71" s="73" t="str">
        <f si="22" t="shared"/>
        <v>-</v>
      </c>
      <c r="R71" s="73" t="str">
        <f si="22" t="shared"/>
        <v>-</v>
      </c>
    </row>
    <row r="72" spans="2:18" x14ac:dyDescent="0.25">
      <c r="B72" s="12"/>
      <c r="C72" s="55"/>
      <c r="D72" s="55"/>
      <c r="E72" s="55"/>
      <c r="N72" s="9" t="s">
        <v>5</v>
      </c>
      <c r="O72" s="73">
        <f si="22" t="shared"/>
        <v>4.28413294936</v>
      </c>
      <c r="P72" s="73">
        <f si="22" t="shared"/>
        <v>8.4805857060999995E-2</v>
      </c>
      <c r="Q72" s="73" t="str">
        <f si="22" t="shared"/>
        <v>-</v>
      </c>
      <c r="R72" s="73">
        <f si="22" t="shared"/>
        <v>-6.9987311616990002</v>
      </c>
    </row>
    <row r="73" spans="2:18" x14ac:dyDescent="0.25">
      <c r="B73" s="12"/>
      <c r="C73" s="55"/>
      <c r="D73" s="55"/>
      <c r="E73" s="55"/>
      <c r="N73" s="9" t="s">
        <v>6</v>
      </c>
      <c r="O73" s="73">
        <f si="22" t="shared"/>
        <v>-1.2341875453940001</v>
      </c>
      <c r="P73" s="73">
        <f si="22" t="shared"/>
        <v>0.44391216245499998</v>
      </c>
      <c r="Q73" s="73" t="str">
        <f si="22" t="shared"/>
        <v>-</v>
      </c>
      <c r="R73" s="73">
        <f si="22" t="shared"/>
        <v>-7.5193251396859999</v>
      </c>
    </row>
    <row r="74" spans="2:18" x14ac:dyDescent="0.25">
      <c r="B74" s="12"/>
      <c r="C74" s="55"/>
      <c r="D74" s="55"/>
      <c r="E74" s="55"/>
      <c r="N74" s="9" t="s">
        <v>7</v>
      </c>
      <c r="O74" s="73">
        <f si="22" t="shared"/>
        <v>1.3681286549630001</v>
      </c>
      <c r="P74" s="73">
        <f si="22" t="shared"/>
        <v>0.72433533718200005</v>
      </c>
      <c r="Q74" s="73" t="str">
        <f si="22" t="shared"/>
        <v>-</v>
      </c>
      <c r="R74" s="73">
        <f si="22" t="shared"/>
        <v>0</v>
      </c>
    </row>
    <row r="75" spans="2:18" x14ac:dyDescent="0.25">
      <c r="B75" s="12"/>
      <c r="C75" s="55"/>
      <c r="D75" s="55"/>
      <c r="E75" s="55"/>
      <c r="N75" s="14" t="s">
        <v>8</v>
      </c>
      <c r="O75" s="74" t="str">
        <f si="22" t="shared"/>
        <v>-</v>
      </c>
      <c r="P75" s="74" t="str">
        <f si="22" t="shared"/>
        <v>-</v>
      </c>
      <c r="Q75" s="74" t="str">
        <f si="22" t="shared"/>
        <v>-</v>
      </c>
      <c r="R75" s="74" t="str">
        <f si="22" t="shared"/>
        <v>-</v>
      </c>
    </row>
    <row r="76" spans="2:18" x14ac:dyDescent="0.25">
      <c r="B76" s="12"/>
      <c r="C76" s="55"/>
      <c r="D76" s="55"/>
      <c r="E76" s="55"/>
      <c r="N76" s="41"/>
      <c r="O76" s="41"/>
      <c r="P76" s="41"/>
      <c r="Q76" s="41"/>
      <c r="R76" s="41"/>
    </row>
    <row ht="15.75" r="77" spans="2:18" thickBot="1" x14ac:dyDescent="0.3">
      <c r="B77" s="39"/>
      <c r="C77" s="41"/>
      <c r="D77" s="41"/>
      <c r="E77" s="41"/>
      <c r="H77" s="61" t="s">
        <v>223</v>
      </c>
      <c r="N77" s="57" t="s">
        <v>200</v>
      </c>
    </row>
    <row r="78" spans="2:18" x14ac:dyDescent="0.25">
      <c r="B78" s="41"/>
      <c r="C78" s="41"/>
      <c r="D78" s="41"/>
      <c r="E78" s="41"/>
      <c r="H78" s="59" t="s">
        <v>0</v>
      </c>
      <c r="I78" s="60" t="s">
        <v>239</v>
      </c>
      <c r="J78" s="60" t="s">
        <v>234</v>
      </c>
      <c r="K78" s="60" t="s">
        <v>237</v>
      </c>
      <c r="L78" s="60" t="s">
        <v>240</v>
      </c>
      <c r="N78" s="2" t="s">
        <v>0</v>
      </c>
      <c r="O78" s="60" t="str">
        <f>O67</f>
        <v>nocars</v>
      </c>
      <c r="P78" s="60" t="str">
        <f>P67</f>
        <v>cars &lt; adults</v>
      </c>
      <c r="Q78" s="60" t="str">
        <f>Q67</f>
        <v>cars &lt; workers</v>
      </c>
      <c r="R78" s="60" t="str">
        <f>R67</f>
        <v>constant</v>
      </c>
    </row>
    <row r="79" spans="2:18" x14ac:dyDescent="0.25">
      <c r="B79" s="41"/>
      <c r="C79" s="41"/>
      <c r="D79" s="41"/>
      <c r="E79" s="41"/>
      <c r="H79" s="9" t="s">
        <v>1</v>
      </c>
      <c r="I79" s="58" t="str">
        <f ref="I79:L86" si="23" t="shared">IF(ISBLANK(O18),"",O18)</f>
        <v/>
      </c>
      <c r="J79" s="58">
        <f si="23" t="shared"/>
        <v>52</v>
      </c>
      <c r="K79" s="58" t="str">
        <f si="23" t="shared"/>
        <v/>
      </c>
      <c r="L79" s="58">
        <f si="23" t="shared"/>
        <v>50</v>
      </c>
      <c r="N79" s="9" t="s">
        <v>1</v>
      </c>
      <c r="O79" s="73" t="str">
        <f>IFERROR(IF(O18="","-",O56+O68),"-")</f>
        <v>-</v>
      </c>
      <c r="P79" s="73">
        <f ref="P79:R79" si="24" t="shared">IFERROR(IF(P18="","-",P56+P68),"-")</f>
        <v>-0.64206868482799995</v>
      </c>
      <c r="Q79" s="73" t="str">
        <f si="24" t="shared"/>
        <v>-</v>
      </c>
      <c r="R79" s="73">
        <f si="24" t="shared"/>
        <v>-1.7357729912290001</v>
      </c>
    </row>
    <row r="80" spans="2:18" x14ac:dyDescent="0.25">
      <c r="H80" s="9" t="s">
        <v>2</v>
      </c>
      <c r="I80" s="58">
        <f si="23" t="shared"/>
        <v>41</v>
      </c>
      <c r="J80" s="58" t="str">
        <f si="23" t="shared"/>
        <v/>
      </c>
      <c r="K80" s="58">
        <f si="23" t="shared"/>
        <v>43</v>
      </c>
      <c r="L80" s="58">
        <f si="23" t="shared"/>
        <v>40</v>
      </c>
      <c r="N80" s="9" t="s">
        <v>2</v>
      </c>
      <c r="O80" s="73">
        <f ref="O80:R86" si="25" t="shared">IFERROR(IF(O19="","-",O57+O69),"-")</f>
        <v>-1.2398764106530222</v>
      </c>
      <c r="P80" s="73" t="str">
        <f si="25" t="shared"/>
        <v>-</v>
      </c>
      <c r="Q80" s="73">
        <f si="25" t="shared"/>
        <v>-0.18345831477884605</v>
      </c>
      <c r="R80" s="73">
        <f si="25" t="shared"/>
        <v>-3.5042557326249999</v>
      </c>
    </row>
    <row r="81" spans="8:18" x14ac:dyDescent="0.25">
      <c r="H81" s="9" t="s">
        <v>3</v>
      </c>
      <c r="I81" s="58">
        <f si="23" t="shared"/>
        <v>36</v>
      </c>
      <c r="J81" s="58" t="str">
        <f si="23" t="shared"/>
        <v/>
      </c>
      <c r="K81" s="58">
        <f si="23" t="shared"/>
        <v>37</v>
      </c>
      <c r="L81" s="58">
        <f si="23" t="shared"/>
        <v>30</v>
      </c>
      <c r="N81" s="9" t="s">
        <v>3</v>
      </c>
      <c r="O81" s="73">
        <f si="25" t="shared"/>
        <v>-0.31010245280996657</v>
      </c>
      <c r="P81" s="73" t="str">
        <f si="25" t="shared"/>
        <v>-</v>
      </c>
      <c r="Q81" s="73">
        <f si="25" t="shared"/>
        <v>-2.5497656950655756</v>
      </c>
      <c r="R81" s="73">
        <f si="25" t="shared"/>
        <v>-3.4435911421090002</v>
      </c>
    </row>
    <row r="82" spans="8:18" x14ac:dyDescent="0.25">
      <c r="H82" s="9" t="s">
        <v>4</v>
      </c>
      <c r="I82" s="58" t="str">
        <f si="23" t="shared"/>
        <v/>
      </c>
      <c r="J82" s="58" t="str">
        <f si="23" t="shared"/>
        <v/>
      </c>
      <c r="K82" s="58" t="str">
        <f si="23" t="shared"/>
        <v/>
      </c>
      <c r="L82" s="58" t="str">
        <f si="23" t="shared"/>
        <v/>
      </c>
      <c r="N82" s="9" t="s">
        <v>4</v>
      </c>
      <c r="O82" s="73" t="str">
        <f si="25" t="shared"/>
        <v>-</v>
      </c>
      <c r="P82" s="73" t="str">
        <f si="25" t="shared"/>
        <v>-</v>
      </c>
      <c r="Q82" s="73" t="str">
        <f si="25" t="shared"/>
        <v>-</v>
      </c>
      <c r="R82" s="73" t="str">
        <f si="25" t="shared"/>
        <v>-</v>
      </c>
    </row>
    <row r="83" spans="8:18" x14ac:dyDescent="0.25">
      <c r="H83" s="9" t="s">
        <v>5</v>
      </c>
      <c r="I83" s="58">
        <f si="23" t="shared"/>
        <v>21</v>
      </c>
      <c r="J83" s="58">
        <f si="23" t="shared"/>
        <v>22</v>
      </c>
      <c r="K83" s="58" t="str">
        <f si="23" t="shared"/>
        <v/>
      </c>
      <c r="L83" s="58">
        <f si="23" t="shared"/>
        <v>20</v>
      </c>
      <c r="N83" s="9" t="s">
        <v>5</v>
      </c>
      <c r="O83" s="73">
        <f si="25" t="shared"/>
        <v>4.0065310419976345</v>
      </c>
      <c r="P83" s="73">
        <f si="25" t="shared"/>
        <v>8.4805857060999995E-2</v>
      </c>
      <c r="Q83" s="73" t="str">
        <f si="25" t="shared"/>
        <v>-</v>
      </c>
      <c r="R83" s="73">
        <f si="25" t="shared"/>
        <v>-6.9987311616990002</v>
      </c>
    </row>
    <row r="84" spans="8:18" x14ac:dyDescent="0.25">
      <c r="H84" s="9" t="s">
        <v>6</v>
      </c>
      <c r="I84" s="58">
        <f si="23" t="shared"/>
        <v>67</v>
      </c>
      <c r="J84" s="58">
        <f si="23" t="shared"/>
        <v>68</v>
      </c>
      <c r="K84" s="58" t="str">
        <f si="23" t="shared"/>
        <v/>
      </c>
      <c r="L84" s="58">
        <f si="23" t="shared"/>
        <v>60</v>
      </c>
      <c r="N84" s="9" t="s">
        <v>6</v>
      </c>
      <c r="O84" s="73">
        <f si="25" t="shared"/>
        <v>-1.5649802914995683</v>
      </c>
      <c r="P84" s="73">
        <f si="25" t="shared"/>
        <v>0.44391216245499998</v>
      </c>
      <c r="Q84" s="73" t="str">
        <f si="25" t="shared"/>
        <v>-</v>
      </c>
      <c r="R84" s="73">
        <f si="25" t="shared"/>
        <v>-7.5193251396859999</v>
      </c>
    </row>
    <row r="85" spans="8:18" x14ac:dyDescent="0.25">
      <c r="H85" s="9" t="s">
        <v>7</v>
      </c>
      <c r="I85" s="58">
        <f si="23" t="shared"/>
        <v>77</v>
      </c>
      <c r="J85" s="58">
        <f si="23" t="shared"/>
        <v>78</v>
      </c>
      <c r="K85" s="58" t="str">
        <f si="23" t="shared"/>
        <v/>
      </c>
      <c r="L85" s="58">
        <f si="23" t="shared"/>
        <v>70</v>
      </c>
      <c r="N85" s="9" t="s">
        <v>7</v>
      </c>
      <c r="O85" s="73">
        <f si="25" t="shared"/>
        <v>1.7395060869517831</v>
      </c>
      <c r="P85" s="73">
        <f si="25" t="shared"/>
        <v>0.72433533718200005</v>
      </c>
      <c r="Q85" s="73" t="str">
        <f si="25" t="shared"/>
        <v>-</v>
      </c>
      <c r="R85" s="73">
        <f si="25" t="shared"/>
        <v>0</v>
      </c>
    </row>
    <row r="86" spans="8:18" x14ac:dyDescent="0.25">
      <c r="H86" s="14" t="s">
        <v>8</v>
      </c>
      <c r="I86" s="7" t="str">
        <f si="23" t="shared"/>
        <v/>
      </c>
      <c r="J86" s="7" t="str">
        <f si="23" t="shared"/>
        <v/>
      </c>
      <c r="K86" s="7" t="str">
        <f si="23" t="shared"/>
        <v/>
      </c>
      <c r="L86" s="7" t="str">
        <f si="23" t="shared"/>
        <v/>
      </c>
      <c r="N86" s="14" t="s">
        <v>8</v>
      </c>
      <c r="O86" s="74" t="str">
        <f si="25" t="shared"/>
        <v>-</v>
      </c>
      <c r="P86" s="74" t="str">
        <f si="25" t="shared"/>
        <v>-</v>
      </c>
      <c r="Q86" s="74" t="str">
        <f si="25" t="shared"/>
        <v>-</v>
      </c>
      <c r="R86" s="74" t="str">
        <f si="25" t="shared"/>
        <v>-</v>
      </c>
    </row>
    <row r="87" spans="8:18" x14ac:dyDescent="0.25">
      <c r="H87" s="41"/>
      <c r="I87" s="41"/>
      <c r="J87" s="41"/>
      <c r="K87" s="41"/>
      <c r="L87" s="41"/>
    </row>
  </sheetData>
  <mergeCells count="3">
    <mergeCell ref="B15:F15"/>
    <mergeCell ref="H15:L15"/>
    <mergeCell ref="A27:A28"/>
  </mergeCells>
  <conditionalFormatting sqref="AE3:AE56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xl/worksheets/sheet2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F87"/>
  <sheetViews>
    <sheetView topLeftCell="V1" workbookViewId="0">
      <selection activeCell="AD3" sqref="AD3:AD19"/>
    </sheetView>
  </sheetViews>
  <sheetFormatPr defaultRowHeight="15" x14ac:dyDescent="0.25"/>
  <cols>
    <col min="2" max="2" bestFit="true" customWidth="true" width="14.140625" collapsed="true"/>
    <col min="4" max="4" bestFit="true" customWidth="true" width="11.7109375" collapsed="true"/>
    <col min="5" max="5" bestFit="true" customWidth="true" width="13.5703125" collapsed="true"/>
    <col min="6" max="6" bestFit="true" customWidth="true" width="9.140625" collapsed="true"/>
    <col min="8" max="8" bestFit="true" customWidth="true" width="14.140625" collapsed="true"/>
    <col min="10" max="10" bestFit="true" customWidth="true" width="11.7109375" collapsed="true"/>
    <col min="11" max="11" bestFit="true" customWidth="true" width="13.5703125" collapsed="true"/>
    <col min="12" max="12" bestFit="true" customWidth="true" width="7.5703125" collapsed="true"/>
    <col min="13" max="13" style="41" width="9.140625" collapsed="true"/>
    <col min="14" max="14" bestFit="true" customWidth="true" width="14.140625" collapsed="true"/>
    <col min="15" max="15" bestFit="true" customWidth="true" width="9.28515625" collapsed="true"/>
    <col min="16" max="16" bestFit="true" customWidth="true" width="12.0" collapsed="true"/>
    <col min="17" max="17" bestFit="true" customWidth="true" width="13.85546875" collapsed="true"/>
    <col min="18" max="18" bestFit="true" customWidth="true" width="9.28515625" collapsed="true"/>
    <col min="20" max="20" customWidth="true" width="5.5703125" collapsed="true"/>
    <col min="21" max="21" customWidth="true" width="12.85546875" collapsed="true"/>
    <col min="22" max="22" bestFit="true" customWidth="true" width="11.7109375" collapsed="true"/>
    <col min="23" max="23" bestFit="true" customWidth="true" width="13.5703125" collapsed="true"/>
    <col min="28" max="28" bestFit="true" customWidth="true" width="11.0" collapsed="true"/>
    <col min="29" max="30" bestFit="true" customWidth="true" width="15.42578125" collapsed="true"/>
  </cols>
  <sheetData>
    <row r="1" spans="2:31" x14ac:dyDescent="0.25">
      <c r="T1" s="36" t="s">
        <v>292</v>
      </c>
      <c r="U1" s="49"/>
      <c r="V1" s="49"/>
      <c r="W1" s="49"/>
      <c r="X1" s="49"/>
      <c r="AA1" s="36" t="s">
        <v>292</v>
      </c>
    </row>
    <row r="2" spans="2:31" x14ac:dyDescent="0.25">
      <c r="T2" s="49"/>
      <c r="U2" s="36" t="s">
        <v>224</v>
      </c>
      <c r="W2" s="49"/>
      <c r="X2" s="49"/>
      <c r="AC2" s="44" t="s">
        <v>221</v>
      </c>
      <c r="AD2" s="44" t="s">
        <v>222</v>
      </c>
      <c r="AE2" s="44" t="s">
        <v>319</v>
      </c>
    </row>
    <row ht="15.75" r="3" spans="2:31" thickBot="1" x14ac:dyDescent="0.3">
      <c r="B3" s="36" t="s">
        <v>243</v>
      </c>
      <c r="T3">
        <v>1</v>
      </c>
      <c r="U3" s="50" t="s">
        <v>312</v>
      </c>
      <c r="W3" s="49"/>
      <c r="X3" s="49"/>
      <c r="AA3" s="47">
        <f>WorkBasedCoefficients!B11</f>
        <v>1</v>
      </c>
      <c r="AB3" s="47" t="str">
        <f>WorkBasedCoefficients!C11</f>
        <v>costutil</v>
      </c>
      <c r="AC3" s="81">
        <f>WorkBasedCoefficients!E11</f>
        <v>1.4514354039999999</v>
      </c>
      <c r="AD3" s="82">
        <f>_xlfn.IFNA(VLOOKUP(AA3,$T$31:$V$35,3,FALSE),AC3)</f>
        <v>1.4514354039999999</v>
      </c>
      <c r="AE3">
        <f>IF(AC3=AD3,0,1)</f>
        <v>0</v>
      </c>
    </row>
    <row r="4" spans="2:31" x14ac:dyDescent="0.25">
      <c r="B4" s="59" t="s">
        <v>0</v>
      </c>
      <c r="C4" s="60" t="s">
        <v>239</v>
      </c>
      <c r="D4" s="60" t="s">
        <v>234</v>
      </c>
      <c r="E4" s="60" t="s">
        <v>237</v>
      </c>
      <c r="F4" s="60" t="s">
        <v>240</v>
      </c>
      <c r="T4">
        <v>2</v>
      </c>
      <c r="U4" s="50" t="s">
        <v>310</v>
      </c>
      <c r="W4" s="49"/>
      <c r="X4" s="49"/>
      <c r="AA4" s="47">
        <f>WorkBasedCoefficients!B12</f>
        <v>2</v>
      </c>
      <c r="AB4" s="47" t="str">
        <f>WorkBasedCoefficients!C12</f>
        <v>timeutil</v>
      </c>
      <c r="AC4" s="81">
        <f>WorkBasedCoefficients!E12</f>
        <v>1.3039408370000001</v>
      </c>
      <c r="AD4" s="82">
        <f ref="AD4:AD19" si="0" t="shared">_xlfn.IFNA(VLOOKUP(AA4,$T$31:$V$35,3,FALSE),AC4)</f>
        <v>1.3039408370000001</v>
      </c>
      <c r="AE4">
        <f ref="AE4:AE20" si="1" t="shared">IF(AC4=AD4,0,1)</f>
        <v>0</v>
      </c>
    </row>
    <row r="5" spans="2:31" x14ac:dyDescent="0.25">
      <c r="B5" s="9" t="s">
        <v>1</v>
      </c>
      <c r="C5" s="58"/>
      <c r="D5" s="58"/>
      <c r="E5" s="58"/>
      <c r="F5" s="52">
        <v>50</v>
      </c>
      <c r="T5">
        <v>3</v>
      </c>
      <c r="U5" s="49" t="s">
        <v>232</v>
      </c>
      <c r="V5" s="49"/>
      <c r="W5" s="49"/>
      <c r="X5" s="49"/>
      <c r="AA5" s="45">
        <f>WorkBasedCoefficients!B13</f>
        <v>20</v>
      </c>
      <c r="AB5" s="45" t="str">
        <f>WorkBasedCoefficients!C13</f>
        <v>wt-const</v>
      </c>
      <c r="AC5" s="83">
        <f>WorkBasedCoefficients!E13</f>
        <v>-5.7226621786739997</v>
      </c>
      <c r="AD5" s="82">
        <f si="0" t="shared"/>
        <v>-2.6070874005565585</v>
      </c>
      <c r="AE5">
        <f si="1" t="shared"/>
        <v>1</v>
      </c>
    </row>
    <row r="6" spans="2:31" x14ac:dyDescent="0.25">
      <c r="B6" s="9" t="s">
        <v>2</v>
      </c>
      <c r="C6" s="58"/>
      <c r="D6" s="58"/>
      <c r="E6" s="58"/>
      <c r="F6" s="52">
        <v>40</v>
      </c>
      <c r="T6">
        <v>4</v>
      </c>
      <c r="U6" s="49" t="s">
        <v>225</v>
      </c>
      <c r="V6" s="49"/>
      <c r="W6" s="49"/>
      <c r="X6" s="49"/>
      <c r="AA6" s="45">
        <f>WorkBasedCoefficients!B14</f>
        <v>30</v>
      </c>
      <c r="AB6" s="45" t="str">
        <f>WorkBasedCoefficients!C14</f>
        <v>s3-const</v>
      </c>
      <c r="AC6" s="83">
        <f>WorkBasedCoefficients!E14</f>
        <v>-5.0429303147070002</v>
      </c>
      <c r="AD6" s="82">
        <f si="0" t="shared"/>
        <v>-3.4959028928212308</v>
      </c>
      <c r="AE6">
        <f si="1" t="shared"/>
        <v>1</v>
      </c>
    </row>
    <row r="7" spans="2:31" x14ac:dyDescent="0.25">
      <c r="B7" s="9" t="s">
        <v>3</v>
      </c>
      <c r="C7" s="58"/>
      <c r="D7" s="58"/>
      <c r="E7" s="58"/>
      <c r="F7" s="52">
        <v>30</v>
      </c>
      <c r="T7" s="49">
        <v>5</v>
      </c>
      <c r="U7" s="49" t="s">
        <v>226</v>
      </c>
      <c r="V7" s="49"/>
      <c r="W7" s="49"/>
      <c r="X7" s="49"/>
      <c r="AA7" s="45">
        <f>WorkBasedCoefficients!B15</f>
        <v>40</v>
      </c>
      <c r="AB7" s="45" t="str">
        <f>WorkBasedCoefficients!C15</f>
        <v>s2-const</v>
      </c>
      <c r="AC7" s="83">
        <f>WorkBasedCoefficients!E15</f>
        <v>-4.1088863537230003</v>
      </c>
      <c r="AD7" s="82">
        <f si="0" t="shared"/>
        <v>-2.4199459318169607</v>
      </c>
      <c r="AE7">
        <f si="1" t="shared"/>
        <v>1</v>
      </c>
    </row>
    <row r="8" spans="2:31" x14ac:dyDescent="0.25">
      <c r="B8" s="9" t="s">
        <v>4</v>
      </c>
      <c r="C8" s="58"/>
      <c r="D8" s="58"/>
      <c r="E8" s="58"/>
      <c r="F8" s="52"/>
      <c r="T8" s="49"/>
      <c r="U8" s="49"/>
      <c r="V8" s="49"/>
      <c r="W8" s="49"/>
      <c r="X8" s="49"/>
      <c r="AA8" s="45">
        <f>WorkBasedCoefficients!B16</f>
        <v>50</v>
      </c>
      <c r="AB8" s="45" t="str">
        <f>WorkBasedCoefficients!C16</f>
        <v>da-const</v>
      </c>
      <c r="AC8" s="83">
        <f>WorkBasedCoefficients!E16</f>
        <v>-5.0293456868310003</v>
      </c>
      <c r="AD8" s="82">
        <f si="0" t="shared"/>
        <v>-3.3491921861831249</v>
      </c>
      <c r="AE8">
        <f si="1" t="shared"/>
        <v>1</v>
      </c>
    </row>
    <row r="9" spans="2:31" x14ac:dyDescent="0.25">
      <c r="B9" s="9" t="s">
        <v>5</v>
      </c>
      <c r="C9" s="58"/>
      <c r="D9" s="58"/>
      <c r="E9" s="58"/>
      <c r="F9" s="52">
        <v>20</v>
      </c>
      <c r="T9" s="49"/>
      <c r="U9" s="51" t="s">
        <v>227</v>
      </c>
      <c r="V9" s="49"/>
      <c r="W9" s="49"/>
      <c r="X9" s="49"/>
      <c r="AA9" s="47">
        <f>WorkBasedCoefficients!B17</f>
        <v>54</v>
      </c>
      <c r="AB9" s="47" t="str">
        <f>WorkBasedCoefficients!C17</f>
        <v>da-incu25</v>
      </c>
      <c r="AC9" s="81">
        <f>WorkBasedCoefficients!E17</f>
        <v>-0.13556679399999999</v>
      </c>
      <c r="AD9" s="82">
        <f si="0" t="shared"/>
        <v>-0.13556679399999999</v>
      </c>
      <c r="AE9">
        <f si="1" t="shared"/>
        <v>0</v>
      </c>
    </row>
    <row r="10" spans="2:31" x14ac:dyDescent="0.25">
      <c r="B10" s="9" t="s">
        <v>6</v>
      </c>
      <c r="C10" s="58"/>
      <c r="D10" s="58"/>
      <c r="E10" s="58"/>
      <c r="F10" s="52">
        <v>60</v>
      </c>
      <c r="T10" s="49">
        <v>1</v>
      </c>
      <c r="U10" s="50" t="s">
        <v>312</v>
      </c>
      <c r="V10" s="49"/>
      <c r="W10" s="49"/>
      <c r="X10" s="49"/>
      <c r="AA10" s="47">
        <f>WorkBasedCoefficients!B18</f>
        <v>55</v>
      </c>
      <c r="AB10" s="47" t="str">
        <f>WorkBasedCoefficients!C18</f>
        <v>da-inc2550</v>
      </c>
      <c r="AC10" s="81">
        <f>WorkBasedCoefficients!E18</f>
        <v>-0.13243830200000001</v>
      </c>
      <c r="AD10" s="82">
        <f si="0" t="shared"/>
        <v>-0.13243830200000001</v>
      </c>
      <c r="AE10">
        <f si="1" t="shared"/>
        <v>0</v>
      </c>
    </row>
    <row r="11" spans="2:31" x14ac:dyDescent="0.25">
      <c r="B11" s="9" t="s">
        <v>7</v>
      </c>
      <c r="C11" s="58"/>
      <c r="D11" s="58"/>
      <c r="E11" s="58"/>
      <c r="F11" s="58"/>
      <c r="T11" s="49">
        <v>2</v>
      </c>
      <c r="U11" s="49" t="s">
        <v>228</v>
      </c>
      <c r="V11" s="49"/>
      <c r="W11" s="49"/>
      <c r="X11" s="49"/>
      <c r="AA11" s="47">
        <f>WorkBasedCoefficients!B19</f>
        <v>58</v>
      </c>
      <c r="AB11" s="47" t="str">
        <f>WorkBasedCoefficients!C19</f>
        <v>da-dtowork</v>
      </c>
      <c r="AC11" s="81">
        <f>WorkBasedCoefficients!E19</f>
        <v>2.767879803</v>
      </c>
      <c r="AD11" s="82">
        <f si="0" t="shared"/>
        <v>2.767879803</v>
      </c>
      <c r="AE11">
        <f si="1" t="shared"/>
        <v>0</v>
      </c>
    </row>
    <row r="12" spans="2:31" x14ac:dyDescent="0.25">
      <c r="B12" s="14" t="s">
        <v>8</v>
      </c>
      <c r="C12" s="58"/>
      <c r="D12" s="58"/>
      <c r="E12" s="7"/>
      <c r="F12" s="7"/>
      <c r="T12" s="49">
        <v>3</v>
      </c>
      <c r="U12" s="49" t="s">
        <v>229</v>
      </c>
      <c r="V12" s="49"/>
      <c r="W12" s="49"/>
      <c r="X12" s="49"/>
      <c r="AA12" s="47">
        <f>WorkBasedCoefficients!B20</f>
        <v>59</v>
      </c>
      <c r="AB12" s="47" t="str">
        <f>WorkBasedCoefficients!C20</f>
        <v>da-stowork</v>
      </c>
      <c r="AC12" s="81">
        <f>WorkBasedCoefficients!E20</f>
        <v>2.0325205080000002</v>
      </c>
      <c r="AD12" s="82">
        <f si="0" t="shared"/>
        <v>2.0325205080000002</v>
      </c>
      <c r="AE12">
        <f si="1" t="shared"/>
        <v>0</v>
      </c>
    </row>
    <row r="13" spans="2:31" x14ac:dyDescent="0.25">
      <c r="C13" s="38"/>
      <c r="D13" s="38"/>
      <c r="E13" s="41"/>
      <c r="F13" s="41"/>
      <c r="T13" s="49">
        <v>4</v>
      </c>
      <c r="U13" s="49" t="s">
        <v>230</v>
      </c>
      <c r="V13" s="49"/>
      <c r="W13" s="49"/>
      <c r="X13" s="49"/>
      <c r="AA13" s="45">
        <f>WorkBasedCoefficients!B21</f>
        <v>60</v>
      </c>
      <c r="AB13" s="45" t="str">
        <f>WorkBasedCoefficients!C21</f>
        <v>bi-const</v>
      </c>
      <c r="AC13" s="83">
        <f>WorkBasedCoefficients!E21</f>
        <v>-5.9221197700000001</v>
      </c>
      <c r="AD13" s="82">
        <f si="0" t="shared"/>
        <v>-5.9221197700000001</v>
      </c>
      <c r="AE13">
        <f si="1" t="shared"/>
        <v>0</v>
      </c>
    </row>
    <row r="14" spans="2:31" x14ac:dyDescent="0.25">
      <c r="B14" s="57" t="s">
        <v>275</v>
      </c>
      <c r="T14" s="49">
        <v>5</v>
      </c>
      <c r="U14" s="50" t="s">
        <v>311</v>
      </c>
      <c r="V14" s="49"/>
      <c r="W14" s="49"/>
      <c r="X14" s="49"/>
      <c r="AA14" s="47">
        <f>WorkBasedCoefficients!B22</f>
        <v>61</v>
      </c>
      <c r="AB14" s="47" t="str">
        <f>WorkBasedCoefficients!C22</f>
        <v>bi-male</v>
      </c>
      <c r="AC14" s="81">
        <f>WorkBasedCoefficients!E22</f>
        <v>-7.6114630000000003E-2</v>
      </c>
      <c r="AD14" s="82">
        <f si="0" t="shared"/>
        <v>-7.6114630000000003E-2</v>
      </c>
      <c r="AE14">
        <f si="1" t="shared"/>
        <v>0</v>
      </c>
    </row>
    <row r="15" spans="2:31" x14ac:dyDescent="0.25">
      <c r="B15" s="138" t="s">
        <v>269</v>
      </c>
      <c r="C15" s="138"/>
      <c r="D15" s="138"/>
      <c r="E15" s="138"/>
      <c r="F15" s="138"/>
      <c r="H15" s="137" t="s">
        <v>33</v>
      </c>
      <c r="I15" s="137"/>
      <c r="J15" s="137"/>
      <c r="K15" s="137"/>
      <c r="L15" s="137"/>
      <c r="T15" s="49">
        <v>6</v>
      </c>
      <c r="U15" s="49" t="s">
        <v>233</v>
      </c>
      <c r="V15" s="49"/>
      <c r="W15" s="49"/>
      <c r="X15" s="49"/>
      <c r="AA15" s="47">
        <f>WorkBasedCoefficients!B23</f>
        <v>69</v>
      </c>
      <c r="AB15" s="47" t="str">
        <f>WorkBasedCoefficients!C23</f>
        <v>bi-btowork</v>
      </c>
      <c r="AC15" s="81">
        <f>WorkBasedCoefficients!E23</f>
        <v>4.2535185960000002</v>
      </c>
      <c r="AD15" s="82">
        <f si="0" t="shared"/>
        <v>4.2535185960000002</v>
      </c>
      <c r="AE15">
        <f si="1" t="shared"/>
        <v>0</v>
      </c>
    </row>
    <row ht="15.75" r="16" spans="2:31" thickBot="1" x14ac:dyDescent="0.3">
      <c r="B16" s="61" t="s">
        <v>245</v>
      </c>
      <c r="H16" s="61" t="str">
        <f>B16</f>
        <v>Frequency</v>
      </c>
      <c r="N16" s="61" t="s">
        <v>259</v>
      </c>
      <c r="T16" s="49">
        <v>7</v>
      </c>
      <c r="U16" s="49" t="s">
        <v>225</v>
      </c>
      <c r="V16" s="49"/>
      <c r="W16" s="49"/>
      <c r="X16" s="49"/>
      <c r="AA16" s="47">
        <f>WorkBasedCoefficients!B24</f>
        <v>79</v>
      </c>
      <c r="AB16" s="47" t="str">
        <f>WorkBasedCoefficients!C24</f>
        <v>wk-wtowork</v>
      </c>
      <c r="AC16" s="81">
        <f>WorkBasedCoefficients!E24</f>
        <v>5</v>
      </c>
      <c r="AD16" s="82">
        <f si="0" t="shared"/>
        <v>5</v>
      </c>
      <c r="AE16">
        <f si="1" t="shared"/>
        <v>0</v>
      </c>
    </row>
    <row r="17" spans="1:31" x14ac:dyDescent="0.25">
      <c r="B17" s="59" t="s">
        <v>0</v>
      </c>
      <c r="C17" s="60" t="s">
        <v>239</v>
      </c>
      <c r="D17" s="60" t="s">
        <v>234</v>
      </c>
      <c r="E17" s="60" t="s">
        <v>237</v>
      </c>
      <c r="F17" s="60" t="s">
        <v>19</v>
      </c>
      <c r="H17" s="59" t="s">
        <v>0</v>
      </c>
      <c r="I17" s="60" t="s">
        <v>239</v>
      </c>
      <c r="J17" s="60" t="s">
        <v>234</v>
      </c>
      <c r="K17" s="60" t="s">
        <v>237</v>
      </c>
      <c r="L17" s="60" t="s">
        <v>19</v>
      </c>
      <c r="M17" s="56"/>
      <c r="N17" s="59" t="s">
        <v>0</v>
      </c>
      <c r="O17" s="60" t="s">
        <v>239</v>
      </c>
      <c r="P17" s="60" t="s">
        <v>234</v>
      </c>
      <c r="Q17" s="60" t="s">
        <v>237</v>
      </c>
      <c r="R17" s="60" t="s">
        <v>240</v>
      </c>
      <c r="T17" s="49">
        <v>8</v>
      </c>
      <c r="U17" s="49" t="s">
        <v>231</v>
      </c>
      <c r="V17" s="49"/>
      <c r="W17" s="49"/>
      <c r="X17" s="49"/>
      <c r="AA17" s="47">
        <f>WorkBasedCoefficients!B25</f>
        <v>88</v>
      </c>
      <c r="AB17" s="47" t="str">
        <f>WorkBasedCoefficients!C25</f>
        <v>sr-dtowork</v>
      </c>
      <c r="AC17" s="81">
        <f>WorkBasedCoefficients!E25</f>
        <v>-0.23852894099999999</v>
      </c>
      <c r="AD17" s="82">
        <f si="0" t="shared"/>
        <v>-0.23852894099999999</v>
      </c>
      <c r="AE17">
        <f si="1" t="shared"/>
        <v>0</v>
      </c>
    </row>
    <row r="18" spans="1:31" x14ac:dyDescent="0.25">
      <c r="B18" s="9" t="s">
        <v>1</v>
      </c>
      <c r="C18" s="9"/>
      <c r="D18" s="9"/>
      <c r="E18" s="9"/>
      <c r="F18" s="9">
        <f>transit_targets!B100*($L$26-SUM(transit_targets!$B$103:$B$104))/(transit_targets!$B$108-SUM(transit_targets!$B$103:$B$104))</f>
        <v>53156.966964404834</v>
      </c>
      <c r="H18" s="9" t="s">
        <v>1</v>
      </c>
      <c r="I18" s="9"/>
      <c r="J18" s="9"/>
      <c r="K18" s="9"/>
      <c r="L18" s="9">
        <f>Workbased!S5</f>
        <v>49356</v>
      </c>
      <c r="M18" s="12"/>
      <c r="N18" s="9" t="s">
        <v>1</v>
      </c>
      <c r="O18" s="75" t="str">
        <f>IF(ISBLANK(C5),"",C5)</f>
        <v/>
      </c>
      <c r="P18" s="75" t="str">
        <f ref="P18:R25" si="2" t="shared">IF(ISBLANK(D5),"",D5)</f>
        <v/>
      </c>
      <c r="Q18" s="75" t="str">
        <f si="2" t="shared"/>
        <v/>
      </c>
      <c r="R18" s="75">
        <f si="2" t="shared"/>
        <v>50</v>
      </c>
      <c r="T18" s="41"/>
      <c r="U18" s="41"/>
      <c r="V18" s="41"/>
      <c r="W18" s="41"/>
      <c r="X18" s="41"/>
      <c r="Y18" s="41"/>
      <c r="AA18" s="47">
        <f>WorkBasedCoefficients!B26</f>
        <v>89</v>
      </c>
      <c r="AB18" s="47" t="str">
        <f>WorkBasedCoefficients!C26</f>
        <v>sr-stowork</v>
      </c>
      <c r="AC18" s="81">
        <f>WorkBasedCoefficients!E26</f>
        <v>1.318784366</v>
      </c>
      <c r="AD18" s="82">
        <f si="0" t="shared"/>
        <v>1.318784366</v>
      </c>
      <c r="AE18">
        <f si="1" t="shared"/>
        <v>0</v>
      </c>
    </row>
    <row r="19" spans="1:31" x14ac:dyDescent="0.25">
      <c r="B19" s="9" t="s">
        <v>2</v>
      </c>
      <c r="C19" s="9"/>
      <c r="D19" s="9"/>
      <c r="E19" s="9"/>
      <c r="F19" s="9">
        <f>transit_targets!B101*($L$26-SUM(transit_targets!$B$103:$B$104))/(transit_targets!$B$108-SUM(transit_targets!$B$103:$B$104))</f>
        <v>22713.628627606158</v>
      </c>
      <c r="H19" s="9" t="s">
        <v>2</v>
      </c>
      <c r="I19" s="9"/>
      <c r="J19" s="9"/>
      <c r="K19" s="9"/>
      <c r="L19" s="9">
        <f>Workbased!S6</f>
        <v>20905</v>
      </c>
      <c r="M19" s="12"/>
      <c r="N19" s="9" t="s">
        <v>2</v>
      </c>
      <c r="O19" s="88" t="str">
        <f ref="O19:O25" si="3" t="shared">IF(ISBLANK(C6),"",C6)</f>
        <v/>
      </c>
      <c r="P19" s="88" t="str">
        <f si="2" t="shared"/>
        <v/>
      </c>
      <c r="Q19" s="88" t="str">
        <f si="2" t="shared"/>
        <v/>
      </c>
      <c r="R19" s="88">
        <f si="2" t="shared"/>
        <v>40</v>
      </c>
      <c r="T19" s="12"/>
      <c r="U19" s="65"/>
      <c r="V19" s="65"/>
      <c r="W19" s="65"/>
      <c r="X19" s="65"/>
      <c r="Y19" s="41"/>
      <c r="AA19" s="47">
        <f>WorkBasedCoefficients!B27</f>
        <v>99</v>
      </c>
      <c r="AB19" s="47" t="str">
        <f>WorkBasedCoefficients!C27</f>
        <v>modenest</v>
      </c>
      <c r="AC19" s="81">
        <f>WorkBasedCoefficients!E27</f>
        <v>0.96666822900000005</v>
      </c>
      <c r="AD19" s="82">
        <f si="0" t="shared"/>
        <v>0.96666822900000005</v>
      </c>
      <c r="AE19">
        <f si="1" t="shared"/>
        <v>0</v>
      </c>
    </row>
    <row r="20" spans="1:31" x14ac:dyDescent="0.25">
      <c r="B20" s="9" t="s">
        <v>3</v>
      </c>
      <c r="C20" s="9"/>
      <c r="D20" s="9"/>
      <c r="E20" s="9"/>
      <c r="F20" s="9">
        <f>transit_targets!B102*($L$26-SUM(transit_targets!$B$103:$B$104))/(transit_targets!$B$108-SUM(transit_targets!$B$103:$B$104))</f>
        <v>8683.8257100772371</v>
      </c>
      <c r="H20" s="9" t="s">
        <v>3</v>
      </c>
      <c r="I20" s="9"/>
      <c r="J20" s="9"/>
      <c r="K20" s="9"/>
      <c r="L20" s="9">
        <f>Workbased!S7</f>
        <v>9211</v>
      </c>
      <c r="M20" s="12"/>
      <c r="N20" s="9" t="s">
        <v>3</v>
      </c>
      <c r="O20" s="88"/>
      <c r="P20" s="88"/>
      <c r="Q20" s="88" t="str">
        <f si="2" t="shared"/>
        <v/>
      </c>
      <c r="R20" s="88">
        <f si="2" t="shared"/>
        <v>30</v>
      </c>
      <c r="T20" s="12"/>
      <c r="U20" s="65"/>
      <c r="V20" s="65"/>
      <c r="W20" s="65"/>
      <c r="X20" s="65"/>
      <c r="Y20" s="41"/>
      <c r="AA20" s="47">
        <f>WorkBasedCoefficients!B28</f>
        <v>-1</v>
      </c>
      <c r="AB20" s="47"/>
      <c r="AC20" s="84"/>
      <c r="AD20" s="84"/>
      <c r="AE20">
        <f si="1" t="shared"/>
        <v>0</v>
      </c>
    </row>
    <row r="21" spans="1:31" x14ac:dyDescent="0.25">
      <c r="B21" s="9" t="s">
        <v>4</v>
      </c>
      <c r="C21" s="9"/>
      <c r="D21" s="9"/>
      <c r="E21" s="9"/>
      <c r="F21" s="9">
        <f>transit_targets!B103</f>
        <v>0</v>
      </c>
      <c r="H21" s="9" t="s">
        <v>4</v>
      </c>
      <c r="I21" s="9"/>
      <c r="J21" s="9"/>
      <c r="K21" s="9"/>
      <c r="L21" s="9">
        <f>Workbased!S8</f>
        <v>0</v>
      </c>
      <c r="M21" s="12"/>
      <c r="N21" s="9" t="s">
        <v>4</v>
      </c>
      <c r="O21" s="88" t="str">
        <f si="3" t="shared"/>
        <v/>
      </c>
      <c r="P21" s="88" t="str">
        <f si="2" t="shared"/>
        <v/>
      </c>
      <c r="Q21" s="88" t="str">
        <f si="2" t="shared"/>
        <v/>
      </c>
      <c r="R21" s="88" t="str">
        <f si="2" t="shared"/>
        <v/>
      </c>
      <c r="T21" s="12"/>
      <c r="U21" s="65"/>
      <c r="V21" s="65"/>
      <c r="W21" s="65"/>
      <c r="X21" s="65"/>
      <c r="Y21" s="41"/>
      <c r="AA21" s="47"/>
      <c r="AB21" s="47"/>
      <c r="AC21" s="84"/>
      <c r="AD21" s="84"/>
    </row>
    <row r="22" spans="1:31" x14ac:dyDescent="0.25">
      <c r="B22" s="9" t="s">
        <v>5</v>
      </c>
      <c r="C22" s="9"/>
      <c r="D22" s="9"/>
      <c r="E22" s="9"/>
      <c r="F22" s="9">
        <f>transit_targets!B104</f>
        <v>606.34608217495634</v>
      </c>
      <c r="H22" s="9" t="s">
        <v>5</v>
      </c>
      <c r="I22" s="9"/>
      <c r="J22" s="9"/>
      <c r="K22" s="9"/>
      <c r="L22" s="9">
        <f>Workbased!S9</f>
        <v>134</v>
      </c>
      <c r="M22" s="12"/>
      <c r="N22" s="9" t="s">
        <v>5</v>
      </c>
      <c r="O22" s="88" t="str">
        <f si="3" t="shared"/>
        <v/>
      </c>
      <c r="P22" s="88" t="str">
        <f si="2" t="shared"/>
        <v/>
      </c>
      <c r="Q22" s="88" t="str">
        <f si="2" t="shared"/>
        <v/>
      </c>
      <c r="R22" s="88">
        <f si="2" t="shared"/>
        <v>20</v>
      </c>
      <c r="T22" s="12"/>
      <c r="U22" s="65"/>
      <c r="V22" s="65"/>
      <c r="W22" s="65"/>
      <c r="X22" s="65"/>
      <c r="Y22" s="41"/>
      <c r="AA22" s="47"/>
      <c r="AB22" s="47"/>
      <c r="AC22" s="84"/>
      <c r="AD22" s="84"/>
    </row>
    <row r="23" spans="1:31" x14ac:dyDescent="0.25">
      <c r="B23" s="9" t="s">
        <v>6</v>
      </c>
      <c r="C23" s="9"/>
      <c r="D23" s="9"/>
      <c r="E23" s="9"/>
      <c r="F23" s="9">
        <f>transit_targets!B105*($L$26-SUM(transit_targets!$B$103:$B$104))/(transit_targets!$B$108-SUM(transit_targets!$B$103:$B$104))</f>
        <v>94.126451419985258</v>
      </c>
      <c r="H23" s="9" t="s">
        <v>6</v>
      </c>
      <c r="I23" s="9"/>
      <c r="J23" s="9"/>
      <c r="K23" s="9"/>
      <c r="L23" s="9">
        <f>Workbased!S10</f>
        <v>469</v>
      </c>
      <c r="M23" s="12"/>
      <c r="N23" s="9" t="s">
        <v>6</v>
      </c>
      <c r="O23" s="88" t="str">
        <f si="3" t="shared"/>
        <v/>
      </c>
      <c r="P23" s="88" t="str">
        <f si="2" t="shared"/>
        <v/>
      </c>
      <c r="Q23" s="88" t="str">
        <f si="2" t="shared"/>
        <v/>
      </c>
      <c r="R23" s="88">
        <f si="2" t="shared"/>
        <v>60</v>
      </c>
      <c r="T23" s="12"/>
      <c r="U23" s="65"/>
      <c r="V23" s="65"/>
      <c r="W23" s="65"/>
      <c r="X23" s="65"/>
      <c r="Y23" s="41"/>
      <c r="AA23" s="47"/>
      <c r="AB23" s="47"/>
      <c r="AC23" s="84"/>
      <c r="AD23" s="84"/>
    </row>
    <row r="24" spans="1:31" x14ac:dyDescent="0.25">
      <c r="B24" s="9" t="s">
        <v>7</v>
      </c>
      <c r="C24" s="9"/>
      <c r="D24" s="9"/>
      <c r="E24" s="9"/>
      <c r="F24" s="9">
        <f>transit_targets!B106*($L$26-SUM(transit_targets!$B$103:$B$104))/(transit_targets!$B$108-SUM(transit_targets!$B$103:$B$104))</f>
        <v>11629.106164316816</v>
      </c>
      <c r="H24" s="9" t="s">
        <v>7</v>
      </c>
      <c r="I24" s="9"/>
      <c r="J24" s="9"/>
      <c r="K24" s="9"/>
      <c r="L24" s="9">
        <f>Workbased!S11</f>
        <v>16809</v>
      </c>
      <c r="M24" s="12"/>
      <c r="N24" s="9" t="s">
        <v>7</v>
      </c>
      <c r="O24" s="88" t="str">
        <f si="3" t="shared"/>
        <v/>
      </c>
      <c r="P24" s="88" t="str">
        <f si="2" t="shared"/>
        <v/>
      </c>
      <c r="Q24" s="88" t="str">
        <f si="2" t="shared"/>
        <v/>
      </c>
      <c r="R24" s="88" t="str">
        <f si="2" t="shared"/>
        <v/>
      </c>
      <c r="T24" s="12"/>
      <c r="U24" s="65"/>
      <c r="V24" s="65"/>
      <c r="W24" s="65"/>
      <c r="X24" s="65"/>
      <c r="Y24" s="41"/>
      <c r="AA24" s="47"/>
      <c r="AB24" s="47"/>
      <c r="AC24" s="84"/>
      <c r="AD24" s="84"/>
    </row>
    <row r="25" spans="1:31" x14ac:dyDescent="0.25">
      <c r="B25" s="14" t="s">
        <v>8</v>
      </c>
      <c r="C25" s="9"/>
      <c r="D25" s="9"/>
      <c r="E25" s="9"/>
      <c r="F25" s="9"/>
      <c r="H25" s="14" t="s">
        <v>8</v>
      </c>
      <c r="I25" s="9"/>
      <c r="J25" s="9"/>
      <c r="K25" s="9"/>
      <c r="L25" s="9"/>
      <c r="M25" s="12"/>
      <c r="N25" s="14" t="s">
        <v>8</v>
      </c>
      <c r="O25" s="7" t="str">
        <f si="3" t="shared"/>
        <v/>
      </c>
      <c r="P25" s="7" t="str">
        <f si="2" t="shared"/>
        <v/>
      </c>
      <c r="Q25" s="7" t="str">
        <f si="2" t="shared"/>
        <v/>
      </c>
      <c r="R25" s="7" t="str">
        <f si="2" t="shared"/>
        <v/>
      </c>
      <c r="T25" s="12"/>
      <c r="U25" s="65"/>
      <c r="V25" s="65"/>
      <c r="W25" s="65"/>
      <c r="X25" s="65"/>
      <c r="Y25" s="41"/>
      <c r="AA25" s="47"/>
      <c r="AB25" s="47"/>
      <c r="AC25" s="84"/>
      <c r="AD25" s="84"/>
    </row>
    <row ht="15.75" r="26" spans="1:31" thickBot="1" x14ac:dyDescent="0.3">
      <c r="B26" s="66" t="s">
        <v>19</v>
      </c>
      <c r="C26" s="67">
        <f>SUM(C18:C25)</f>
        <v>0</v>
      </c>
      <c r="D26" s="67">
        <f ref="D26:F26" si="4" t="shared">SUM(D18:D25)</f>
        <v>0</v>
      </c>
      <c r="E26" s="67">
        <f si="4" t="shared"/>
        <v>0</v>
      </c>
      <c r="F26" s="67">
        <f si="4" t="shared"/>
        <v>96884</v>
      </c>
      <c r="H26" s="66" t="s">
        <v>19</v>
      </c>
      <c r="I26" s="67">
        <f>SUM(I18:I25)</f>
        <v>0</v>
      </c>
      <c r="J26" s="67">
        <f ref="J26:L26" si="5" t="shared">SUM(J18:J25)</f>
        <v>0</v>
      </c>
      <c r="K26" s="67">
        <f si="5" t="shared"/>
        <v>0</v>
      </c>
      <c r="L26" s="67">
        <f si="5" t="shared"/>
        <v>96884</v>
      </c>
      <c r="M26" s="12"/>
      <c r="T26" s="12"/>
      <c r="U26" s="65"/>
      <c r="V26" s="65"/>
      <c r="W26" s="65"/>
      <c r="X26" s="65"/>
      <c r="Y26" s="41"/>
      <c r="AA26" s="47"/>
      <c r="AB26" s="47"/>
      <c r="AC26" s="84"/>
      <c r="AD26" s="84"/>
    </row>
    <row r="27" spans="1:31" x14ac:dyDescent="0.25">
      <c r="A27" s="139"/>
      <c r="B27" s="9"/>
      <c r="C27" s="54"/>
      <c r="D27" s="54"/>
      <c r="E27" s="54"/>
      <c r="F27" s="54"/>
      <c r="P27" s="47"/>
      <c r="Q27" s="47"/>
      <c r="R27" s="47"/>
      <c r="T27" s="41"/>
      <c r="U27" s="41"/>
      <c r="V27" s="41"/>
      <c r="W27" s="41"/>
      <c r="X27" s="41"/>
      <c r="Y27" s="41"/>
      <c r="AA27" s="47"/>
      <c r="AB27" s="47"/>
      <c r="AC27" s="84"/>
      <c r="AD27" s="84"/>
    </row>
    <row r="28" spans="1:31" x14ac:dyDescent="0.25">
      <c r="A28" s="139"/>
      <c r="B28" s="9"/>
      <c r="C28" s="54"/>
      <c r="D28" s="54"/>
      <c r="E28" s="54"/>
      <c r="F28" s="54"/>
      <c r="AA28" s="47"/>
      <c r="AB28" s="47"/>
      <c r="AC28" s="84"/>
      <c r="AD28" s="84"/>
    </row>
    <row ht="15.75" r="29" spans="1:31" thickBot="1" x14ac:dyDescent="0.3">
      <c r="B29" s="57" t="s">
        <v>255</v>
      </c>
      <c r="H29" s="57" t="s">
        <v>256</v>
      </c>
      <c r="N29" s="36" t="s">
        <v>244</v>
      </c>
      <c r="T29" t="s">
        <v>258</v>
      </c>
      <c r="AA29" s="47"/>
      <c r="AB29" s="47"/>
      <c r="AC29" s="84"/>
      <c r="AD29" s="84"/>
    </row>
    <row r="30" spans="1:31" x14ac:dyDescent="0.25">
      <c r="B30" s="59" t="s">
        <v>0</v>
      </c>
      <c r="C30" s="60" t="s">
        <v>239</v>
      </c>
      <c r="D30" s="60" t="s">
        <v>234</v>
      </c>
      <c r="E30" s="60" t="str">
        <f>E17</f>
        <v>cars &lt; workers</v>
      </c>
      <c r="F30" s="60" t="s">
        <v>19</v>
      </c>
      <c r="H30" s="59" t="s">
        <v>0</v>
      </c>
      <c r="I30" s="60" t="s">
        <v>239</v>
      </c>
      <c r="J30" s="60" t="s">
        <v>234</v>
      </c>
      <c r="K30" s="60" t="s">
        <v>237</v>
      </c>
      <c r="L30" s="60" t="s">
        <v>19</v>
      </c>
      <c r="M30" s="56"/>
      <c r="N30" s="59" t="s">
        <v>0</v>
      </c>
      <c r="O30" s="60" t="s">
        <v>239</v>
      </c>
      <c r="P30" s="60" t="s">
        <v>234</v>
      </c>
      <c r="Q30" s="60" t="s">
        <v>237</v>
      </c>
      <c r="R30" s="60" t="s">
        <v>240</v>
      </c>
      <c r="T30" s="60" t="s">
        <v>50</v>
      </c>
      <c r="U30" s="60" t="s">
        <v>51</v>
      </c>
      <c r="V30" s="60" t="s">
        <v>200</v>
      </c>
      <c r="AA30" s="47"/>
      <c r="AB30" s="47"/>
      <c r="AC30" s="84"/>
      <c r="AD30" s="84"/>
    </row>
    <row r="31" spans="1:31" x14ac:dyDescent="0.25">
      <c r="B31" s="9" t="s">
        <v>1</v>
      </c>
      <c r="C31" s="54"/>
      <c r="D31" s="54"/>
      <c r="E31" s="54"/>
      <c r="F31" s="54">
        <f>$F18/F$26</f>
        <v>0.54866610549115269</v>
      </c>
      <c r="H31" s="9" t="s">
        <v>1</v>
      </c>
      <c r="I31" s="40"/>
      <c r="J31" s="40"/>
      <c r="K31" s="40"/>
      <c r="L31" s="40">
        <f>$L18/L$26</f>
        <v>0.50943396226415094</v>
      </c>
      <c r="M31" s="42"/>
      <c r="N31" s="9" t="s">
        <v>1</v>
      </c>
      <c r="O31" s="62"/>
      <c r="P31" s="62"/>
      <c r="Q31" s="62"/>
      <c r="R31" s="62">
        <f ref="R31:R38" si="6" t="shared">IF(R18="","-",F31/L31)</f>
        <v>1.0770112441122628</v>
      </c>
      <c r="T31">
        <v>20</v>
      </c>
      <c r="U31" t="str">
        <f>VLOOKUP(T31,$AA$3:$AB$48,2,FALSE)</f>
        <v>wt-const</v>
      </c>
      <c r="V31" s="46">
        <f>R83</f>
        <v>-2.6070874005565585</v>
      </c>
      <c r="AA31" s="47"/>
      <c r="AB31" s="47"/>
      <c r="AC31" s="84"/>
      <c r="AD31" s="84"/>
    </row>
    <row r="32" spans="1:31" x14ac:dyDescent="0.25">
      <c r="B32" s="9" t="s">
        <v>2</v>
      </c>
      <c r="C32" s="54"/>
      <c r="D32" s="54"/>
      <c r="E32" s="54"/>
      <c r="F32" s="54">
        <f ref="F32:F39" si="7" t="shared">$F19/F$26</f>
        <v>0.23444148288268607</v>
      </c>
      <c r="H32" s="9" t="s">
        <v>2</v>
      </c>
      <c r="I32" s="40"/>
      <c r="J32" s="40"/>
      <c r="K32" s="40"/>
      <c r="L32" s="40">
        <f ref="L32:L39" si="8" t="shared">$L19/L$26</f>
        <v>0.21577350233268652</v>
      </c>
      <c r="M32" s="42"/>
      <c r="N32" s="9" t="s">
        <v>2</v>
      </c>
      <c r="O32" s="63"/>
      <c r="P32" s="63"/>
      <c r="Q32" s="63"/>
      <c r="R32" s="63">
        <f si="6" t="shared"/>
        <v>1.0865165571684361</v>
      </c>
      <c r="T32">
        <v>30</v>
      </c>
      <c r="U32" t="str">
        <f>VLOOKUP(T32,$AA$3:$AB$48,2,FALSE)</f>
        <v>s3-const</v>
      </c>
      <c r="V32" s="46">
        <f>R81</f>
        <v>-3.4959028928212308</v>
      </c>
      <c r="AA32" s="47"/>
      <c r="AB32" s="47"/>
      <c r="AC32" s="84"/>
      <c r="AD32" s="84"/>
    </row>
    <row r="33" spans="2:30" x14ac:dyDescent="0.25">
      <c r="B33" s="9" t="s">
        <v>3</v>
      </c>
      <c r="C33" s="54"/>
      <c r="D33" s="54"/>
      <c r="E33" s="54"/>
      <c r="F33" s="54">
        <f si="7" t="shared"/>
        <v>8.9631164176512498E-2</v>
      </c>
      <c r="H33" s="9" t="s">
        <v>3</v>
      </c>
      <c r="I33" s="40"/>
      <c r="J33" s="40"/>
      <c r="K33" s="40"/>
      <c r="L33" s="40">
        <f si="8" t="shared"/>
        <v>9.5072457784567105E-2</v>
      </c>
      <c r="M33" s="42"/>
      <c r="N33" s="9" t="s">
        <v>3</v>
      </c>
      <c r="O33" s="63"/>
      <c r="P33" s="63"/>
      <c r="Q33" s="63"/>
      <c r="R33" s="63">
        <f si="6" t="shared"/>
        <v>0.94276687765467782</v>
      </c>
      <c r="T33">
        <v>40</v>
      </c>
      <c r="U33" t="str">
        <f>VLOOKUP(T33,$AA$3:$AB$48,2,FALSE)</f>
        <v>s2-const</v>
      </c>
      <c r="V33" s="46">
        <f>R80</f>
        <v>-2.4199459318169607</v>
      </c>
      <c r="AA33" s="47"/>
      <c r="AB33" s="47"/>
      <c r="AC33" s="84"/>
      <c r="AD33" s="84"/>
    </row>
    <row r="34" spans="2:30" x14ac:dyDescent="0.25">
      <c r="B34" s="9" t="s">
        <v>4</v>
      </c>
      <c r="C34" s="54"/>
      <c r="D34" s="54"/>
      <c r="E34" s="54"/>
      <c r="F34" s="54">
        <f si="7" t="shared"/>
        <v>0</v>
      </c>
      <c r="H34" s="9" t="s">
        <v>4</v>
      </c>
      <c r="I34" s="40"/>
      <c r="J34" s="40"/>
      <c r="K34" s="40"/>
      <c r="L34" s="40">
        <f si="8" t="shared"/>
        <v>0</v>
      </c>
      <c r="M34" s="42"/>
      <c r="N34" s="9" t="s">
        <v>4</v>
      </c>
      <c r="O34" s="63"/>
      <c r="P34" s="63"/>
      <c r="Q34" s="63"/>
      <c r="R34" s="63" t="str">
        <f si="6" t="shared"/>
        <v>-</v>
      </c>
      <c r="T34">
        <v>50</v>
      </c>
      <c r="U34" t="str">
        <f>VLOOKUP(T34,$AA$3:$AB$48,2,FALSE)</f>
        <v>da-const</v>
      </c>
      <c r="V34" s="46">
        <f>R79</f>
        <v>-3.3491921861831249</v>
      </c>
      <c r="AA34" s="47"/>
      <c r="AB34" s="47"/>
      <c r="AC34" s="84"/>
      <c r="AD34" s="84"/>
    </row>
    <row r="35" spans="2:30" x14ac:dyDescent="0.25">
      <c r="B35" s="9" t="s">
        <v>5</v>
      </c>
      <c r="C35" s="54"/>
      <c r="D35" s="54"/>
      <c r="E35" s="54"/>
      <c r="F35" s="54">
        <f si="7" t="shared"/>
        <v>6.2584748996217781E-3</v>
      </c>
      <c r="H35" s="9" t="s">
        <v>5</v>
      </c>
      <c r="I35" s="40"/>
      <c r="J35" s="40"/>
      <c r="K35" s="40"/>
      <c r="L35" s="40">
        <f si="8" t="shared"/>
        <v>1.3830973122497007E-3</v>
      </c>
      <c r="M35" s="42"/>
      <c r="N35" s="9" t="s">
        <v>5</v>
      </c>
      <c r="O35" s="63"/>
      <c r="P35" s="63"/>
      <c r="Q35" s="63"/>
      <c r="R35" s="63">
        <f si="6" t="shared"/>
        <v>4.5249707624996738</v>
      </c>
      <c r="T35" s="6">
        <v>60</v>
      </c>
      <c r="U35" s="6" t="str">
        <f>VLOOKUP(T35,$AA$3:$AB$48,2,FALSE)</f>
        <v>bi-const</v>
      </c>
      <c r="V35" s="80">
        <f>R84</f>
        <v>-5.9221197700000001</v>
      </c>
      <c r="AA35" s="47"/>
      <c r="AB35" s="47"/>
      <c r="AC35" s="84"/>
      <c r="AD35" s="84"/>
    </row>
    <row r="36" spans="2:30" x14ac:dyDescent="0.25">
      <c r="B36" s="9" t="s">
        <v>6</v>
      </c>
      <c r="C36" s="54"/>
      <c r="D36" s="54"/>
      <c r="E36" s="54"/>
      <c r="F36" s="54">
        <f si="7" t="shared"/>
        <v>9.715376266461465E-4</v>
      </c>
      <c r="H36" s="9" t="s">
        <v>6</v>
      </c>
      <c r="I36" s="40"/>
      <c r="J36" s="40"/>
      <c r="K36" s="40"/>
      <c r="L36" s="40">
        <f si="8" t="shared"/>
        <v>4.8408405928739521E-3</v>
      </c>
      <c r="M36" s="42"/>
      <c r="N36" s="9" t="s">
        <v>6</v>
      </c>
      <c r="O36" s="63"/>
      <c r="P36" s="63"/>
      <c r="Q36" s="63"/>
      <c r="R36" s="63">
        <f si="6" t="shared"/>
        <v>0.20069605846478733</v>
      </c>
      <c r="AA36" s="47"/>
      <c r="AB36" s="47"/>
      <c r="AC36" s="84"/>
      <c r="AD36" s="84"/>
    </row>
    <row r="37" spans="2:30" x14ac:dyDescent="0.25">
      <c r="B37" s="9" t="s">
        <v>7</v>
      </c>
      <c r="C37" s="54"/>
      <c r="D37" s="54"/>
      <c r="E37" s="54"/>
      <c r="F37" s="54">
        <f si="7" t="shared"/>
        <v>0.12003123492338071</v>
      </c>
      <c r="H37" s="9" t="s">
        <v>7</v>
      </c>
      <c r="I37" s="40"/>
      <c r="J37" s="40"/>
      <c r="K37" s="40"/>
      <c r="L37" s="40">
        <f si="8" t="shared"/>
        <v>0.17349613971347178</v>
      </c>
      <c r="M37" s="42"/>
      <c r="N37" s="9" t="s">
        <v>7</v>
      </c>
      <c r="O37" s="63"/>
      <c r="P37" s="63"/>
      <c r="Q37" s="63"/>
      <c r="R37" s="63" t="str">
        <f si="6" t="shared"/>
        <v>-</v>
      </c>
      <c r="T37" s="41"/>
      <c r="U37" s="41"/>
      <c r="V37" s="41"/>
      <c r="W37" s="41"/>
      <c r="AA37" s="47"/>
      <c r="AB37" s="47"/>
      <c r="AC37" s="84"/>
      <c r="AD37" s="84"/>
    </row>
    <row r="38" spans="2:30" x14ac:dyDescent="0.25">
      <c r="B38" s="14" t="s">
        <v>8</v>
      </c>
      <c r="C38" s="54"/>
      <c r="D38" s="54"/>
      <c r="E38" s="54"/>
      <c r="F38" s="54">
        <f si="7" t="shared"/>
        <v>0</v>
      </c>
      <c r="H38" s="14" t="s">
        <v>8</v>
      </c>
      <c r="I38" s="40"/>
      <c r="J38" s="40"/>
      <c r="K38" s="40"/>
      <c r="L38" s="40">
        <f si="8" t="shared"/>
        <v>0</v>
      </c>
      <c r="M38" s="42"/>
      <c r="N38" s="14" t="s">
        <v>8</v>
      </c>
      <c r="O38" s="64"/>
      <c r="P38" s="64"/>
      <c r="Q38" s="64"/>
      <c r="R38" s="64" t="str">
        <f si="6" t="shared"/>
        <v>-</v>
      </c>
      <c r="T38" s="41"/>
      <c r="U38" s="41"/>
      <c r="V38" s="41"/>
      <c r="W38" s="41"/>
      <c r="AA38" s="47"/>
      <c r="AB38" s="47"/>
      <c r="AC38" s="84"/>
      <c r="AD38" s="84"/>
    </row>
    <row ht="15.75" r="39" spans="2:30" thickBot="1" x14ac:dyDescent="0.3">
      <c r="B39" s="66" t="s">
        <v>19</v>
      </c>
      <c r="C39" s="68">
        <f>SUM(C31:C38)</f>
        <v>0</v>
      </c>
      <c r="D39" s="68">
        <f ref="D39:E39" si="9" t="shared">SUM(D31:D38)</f>
        <v>0</v>
      </c>
      <c r="E39" s="68">
        <f si="9" t="shared"/>
        <v>0</v>
      </c>
      <c r="F39" s="68">
        <f si="7" t="shared"/>
        <v>1</v>
      </c>
      <c r="H39" s="66" t="s">
        <v>19</v>
      </c>
      <c r="I39" s="69">
        <f>SUM(I31:I38)</f>
        <v>0</v>
      </c>
      <c r="J39" s="69">
        <f ref="J39:K39" si="10" t="shared">SUM(J31:J38)</f>
        <v>0</v>
      </c>
      <c r="K39" s="69">
        <f si="10" t="shared"/>
        <v>0</v>
      </c>
      <c r="L39" s="69">
        <f si="8" t="shared"/>
        <v>1</v>
      </c>
      <c r="M39" s="42"/>
      <c r="N39" s="39" t="s">
        <v>260</v>
      </c>
      <c r="O39" s="41"/>
      <c r="P39" s="41"/>
      <c r="Q39" s="41"/>
      <c r="R39" s="41"/>
      <c r="T39" s="41"/>
      <c r="U39" s="41"/>
      <c r="V39" s="41"/>
      <c r="W39" s="41"/>
      <c r="AA39" s="47"/>
      <c r="AB39" s="47"/>
      <c r="AC39" s="84"/>
      <c r="AD39" s="84"/>
    </row>
    <row r="40" spans="2:30" x14ac:dyDescent="0.25">
      <c r="T40" s="41"/>
      <c r="U40" s="41"/>
      <c r="V40" s="41"/>
      <c r="W40" s="41"/>
      <c r="AA40" s="47"/>
      <c r="AB40" s="47"/>
      <c r="AC40" s="84"/>
      <c r="AD40" s="84"/>
    </row>
    <row r="41" spans="2:30" x14ac:dyDescent="0.25">
      <c r="T41" s="41"/>
      <c r="U41" s="41"/>
      <c r="V41" s="41"/>
      <c r="W41" s="41"/>
      <c r="Y41" s="41"/>
      <c r="AA41" s="47"/>
      <c r="AB41" s="47"/>
      <c r="AC41" s="84"/>
      <c r="AD41" s="84"/>
    </row>
    <row ht="15.75" r="42" spans="2:30" thickBot="1" x14ac:dyDescent="0.3">
      <c r="N42" s="36" t="s">
        <v>257</v>
      </c>
      <c r="T42" s="41"/>
      <c r="U42" s="41"/>
      <c r="V42" s="41"/>
      <c r="W42" s="41"/>
      <c r="Y42" s="41"/>
      <c r="AA42" s="47"/>
      <c r="AB42" s="47"/>
      <c r="AC42" s="84"/>
      <c r="AD42" s="84"/>
    </row>
    <row r="43" spans="2:30" x14ac:dyDescent="0.25">
      <c r="N43" s="59" t="s">
        <v>0</v>
      </c>
      <c r="O43" s="60" t="s">
        <v>239</v>
      </c>
      <c r="P43" s="60" t="s">
        <v>234</v>
      </c>
      <c r="Q43" s="60" t="s">
        <v>237</v>
      </c>
      <c r="R43" s="60" t="s">
        <v>240</v>
      </c>
      <c r="T43" s="41"/>
      <c r="U43" s="41"/>
      <c r="V43" s="41"/>
      <c r="W43" s="41"/>
      <c r="Y43" s="41"/>
      <c r="AA43" s="47"/>
      <c r="AB43" s="47"/>
      <c r="AC43" s="84"/>
      <c r="AD43" s="84"/>
    </row>
    <row r="44" spans="2:30" x14ac:dyDescent="0.25">
      <c r="B44" s="41"/>
      <c r="C44" s="41"/>
      <c r="D44" s="41"/>
      <c r="E44" s="41"/>
      <c r="N44" s="9" t="s">
        <v>1</v>
      </c>
      <c r="O44" s="76"/>
      <c r="P44" s="76"/>
      <c r="Q44" s="76"/>
      <c r="R44" s="76">
        <f ref="R44:R51" si="11" t="shared">IF(R18="","-",IF(R31&gt;0,LN(R31),0))</f>
        <v>7.4189838335410027E-2</v>
      </c>
      <c r="T44" s="41"/>
      <c r="U44" s="41"/>
      <c r="V44" s="41"/>
      <c r="W44" s="41"/>
      <c r="Y44" s="41"/>
      <c r="AA44" s="47"/>
      <c r="AB44" s="47"/>
      <c r="AC44" s="84"/>
      <c r="AD44" s="84"/>
    </row>
    <row r="45" spans="2:30" x14ac:dyDescent="0.25">
      <c r="B45" s="70"/>
      <c r="C45" s="41"/>
      <c r="D45" s="41"/>
      <c r="E45" s="41"/>
      <c r="N45" s="9" t="s">
        <v>2</v>
      </c>
      <c r="O45" s="77"/>
      <c r="P45" s="77"/>
      <c r="Q45" s="77"/>
      <c r="R45" s="77">
        <f si="11" t="shared"/>
        <v>8.2976759593574215E-2</v>
      </c>
      <c r="T45" s="41"/>
      <c r="U45" s="41"/>
      <c r="V45" s="41"/>
      <c r="W45" s="41"/>
      <c r="Y45" s="41"/>
      <c r="AA45" s="47"/>
      <c r="AB45" s="47"/>
      <c r="AC45" s="84"/>
      <c r="AD45" s="84"/>
    </row>
    <row r="46" spans="2:30" x14ac:dyDescent="0.25">
      <c r="B46" s="41"/>
      <c r="C46" s="88"/>
      <c r="D46" s="88"/>
      <c r="E46" s="88"/>
      <c r="N46" s="9" t="s">
        <v>3</v>
      </c>
      <c r="O46" s="77"/>
      <c r="P46" s="77"/>
      <c r="Q46" s="77"/>
      <c r="R46" s="77">
        <f si="11" t="shared"/>
        <v>-5.8936240426695895E-2</v>
      </c>
      <c r="T46" s="41"/>
      <c r="U46" s="41"/>
      <c r="V46" s="90"/>
      <c r="W46" s="41"/>
      <c r="Y46" s="41"/>
      <c r="AA46" s="47"/>
      <c r="AB46" s="47"/>
      <c r="AC46" s="84"/>
      <c r="AD46" s="84"/>
    </row>
    <row r="47" spans="2:30" x14ac:dyDescent="0.25">
      <c r="B47" s="12"/>
      <c r="C47" s="55"/>
      <c r="D47" s="55"/>
      <c r="E47" s="55"/>
      <c r="N47" s="9" t="s">
        <v>4</v>
      </c>
      <c r="O47" s="77"/>
      <c r="P47" s="77"/>
      <c r="Q47" s="77"/>
      <c r="R47" s="77" t="str">
        <f si="11" t="shared"/>
        <v>-</v>
      </c>
      <c r="T47" s="41"/>
      <c r="U47" s="41"/>
      <c r="V47" s="90"/>
      <c r="W47" s="41"/>
      <c r="Y47" s="41"/>
      <c r="AA47" s="47"/>
      <c r="AB47" s="47"/>
      <c r="AC47" s="84"/>
      <c r="AD47" s="84"/>
    </row>
    <row r="48" spans="2:30" x14ac:dyDescent="0.25">
      <c r="B48" s="12"/>
      <c r="C48" s="55"/>
      <c r="D48" s="55"/>
      <c r="E48" s="55"/>
      <c r="N48" s="9" t="s">
        <v>5</v>
      </c>
      <c r="O48" s="77"/>
      <c r="P48" s="77"/>
      <c r="Q48" s="77"/>
      <c r="R48" s="77">
        <f si="11" t="shared"/>
        <v>1.5096111158049761</v>
      </c>
      <c r="T48" s="41"/>
      <c r="U48" s="41"/>
      <c r="V48" s="90"/>
      <c r="W48" s="41"/>
      <c r="Y48" s="41"/>
      <c r="AA48" s="47"/>
      <c r="AB48" s="47"/>
      <c r="AC48" s="84"/>
      <c r="AD48" s="84"/>
    </row>
    <row r="49" spans="2:30" x14ac:dyDescent="0.25">
      <c r="B49" s="12"/>
      <c r="C49" s="55"/>
      <c r="D49" s="55"/>
      <c r="E49" s="55"/>
      <c r="N49" s="9" t="s">
        <v>6</v>
      </c>
      <c r="O49" s="77"/>
      <c r="P49" s="77"/>
      <c r="Q49" s="77"/>
      <c r="R49" s="77">
        <f si="11" t="shared"/>
        <v>-1.6059636623124653</v>
      </c>
      <c r="T49" s="41"/>
      <c r="U49" s="41"/>
      <c r="V49" s="90"/>
      <c r="W49" s="41"/>
      <c r="Y49" s="41"/>
      <c r="AA49" s="47"/>
      <c r="AB49" s="47"/>
      <c r="AC49" s="47"/>
      <c r="AD49" s="47"/>
    </row>
    <row r="50" spans="2:30" x14ac:dyDescent="0.25">
      <c r="B50" s="12"/>
      <c r="C50" s="55"/>
      <c r="D50" s="55"/>
      <c r="E50" s="55"/>
      <c r="N50" s="9" t="s">
        <v>7</v>
      </c>
      <c r="O50" s="77"/>
      <c r="P50" s="77"/>
      <c r="Q50" s="77"/>
      <c r="R50" s="77" t="str">
        <f si="11" t="shared"/>
        <v>-</v>
      </c>
      <c r="T50" s="41"/>
      <c r="U50" s="41"/>
      <c r="V50" s="90"/>
      <c r="W50" s="41"/>
      <c r="Y50" s="41"/>
      <c r="AA50" s="47"/>
      <c r="AB50" s="47"/>
      <c r="AC50" s="47"/>
      <c r="AD50" s="47"/>
    </row>
    <row r="51" spans="2:30" x14ac:dyDescent="0.25">
      <c r="B51" s="12"/>
      <c r="C51" s="55"/>
      <c r="D51" s="55"/>
      <c r="E51" s="55"/>
      <c r="N51" s="14" t="s">
        <v>8</v>
      </c>
      <c r="O51" s="78"/>
      <c r="P51" s="78"/>
      <c r="Q51" s="78"/>
      <c r="R51" s="78" t="str">
        <f si="11" t="shared"/>
        <v>-</v>
      </c>
      <c r="T51" s="41"/>
      <c r="U51" s="41"/>
      <c r="V51" s="41"/>
      <c r="W51" s="41"/>
      <c r="Y51" s="41"/>
    </row>
    <row r="52" spans="2:30" x14ac:dyDescent="0.25">
      <c r="B52" s="12"/>
      <c r="C52" s="55"/>
      <c r="D52" s="55"/>
      <c r="E52" s="55"/>
      <c r="N52" s="41"/>
      <c r="O52" s="41"/>
      <c r="P52" s="41"/>
      <c r="Q52" s="41"/>
      <c r="R52" s="41"/>
      <c r="T52" s="41"/>
      <c r="U52" s="41"/>
      <c r="V52" s="41"/>
      <c r="W52" s="41"/>
    </row>
    <row r="53" spans="2:30" x14ac:dyDescent="0.25">
      <c r="B53" s="12"/>
      <c r="C53" s="55"/>
      <c r="D53" s="55"/>
      <c r="E53" s="55"/>
      <c r="P53" t="s">
        <v>246</v>
      </c>
      <c r="Q53" s="79">
        <v>1</v>
      </c>
    </row>
    <row ht="15.75" r="54" spans="2:30" thickBot="1" x14ac:dyDescent="0.3">
      <c r="B54" s="39"/>
      <c r="C54" s="41"/>
      <c r="D54" s="41"/>
      <c r="E54" s="41"/>
      <c r="N54" s="36" t="s">
        <v>198</v>
      </c>
    </row>
    <row r="55" spans="2:30" x14ac:dyDescent="0.25">
      <c r="B55" s="70"/>
      <c r="C55" s="41"/>
      <c r="D55" s="41"/>
      <c r="E55" s="41"/>
      <c r="N55" s="2" t="s">
        <v>0</v>
      </c>
      <c r="O55" s="60" t="str">
        <f>O43</f>
        <v>nocars</v>
      </c>
      <c r="P55" s="60" t="str">
        <f>P43</f>
        <v>cars &lt; adults</v>
      </c>
      <c r="Q55" s="60" t="str">
        <f>Q43</f>
        <v>cars &lt; workers</v>
      </c>
      <c r="R55" s="92" t="str">
        <f>R43</f>
        <v>constant</v>
      </c>
    </row>
    <row r="56" spans="2:30" x14ac:dyDescent="0.25">
      <c r="B56" s="41"/>
      <c r="C56" s="88"/>
      <c r="D56" s="88"/>
      <c r="E56" s="88"/>
      <c r="N56" s="9" t="s">
        <v>1</v>
      </c>
      <c r="O56" s="72"/>
      <c r="P56" s="72"/>
      <c r="Q56" s="72"/>
      <c r="R56" s="72">
        <f>IF(R18="","-",$Q$53*(R44-$R$49))</f>
        <v>1.6801535006478754</v>
      </c>
    </row>
    <row r="57" spans="2:30" x14ac:dyDescent="0.25">
      <c r="B57" s="12"/>
      <c r="C57" s="55"/>
      <c r="D57" s="55"/>
      <c r="E57" s="55"/>
      <c r="N57" s="9" t="s">
        <v>2</v>
      </c>
      <c r="O57" s="73"/>
      <c r="P57" s="73"/>
      <c r="Q57" s="73"/>
      <c r="R57" s="73">
        <f ref="R57:R63" si="12" t="shared">IF(R19="","-",$Q$53*(R45-$R$49))</f>
        <v>1.6889404219060395</v>
      </c>
    </row>
    <row r="58" spans="2:30" x14ac:dyDescent="0.25">
      <c r="B58" s="12"/>
      <c r="C58" s="71"/>
      <c r="D58" s="71"/>
      <c r="E58" s="71"/>
      <c r="N58" s="9" t="s">
        <v>3</v>
      </c>
      <c r="O58" s="73"/>
      <c r="P58" s="73"/>
      <c r="Q58" s="73"/>
      <c r="R58" s="73">
        <f si="12" t="shared"/>
        <v>1.5470274218857694</v>
      </c>
    </row>
    <row r="59" spans="2:30" x14ac:dyDescent="0.25">
      <c r="B59" s="12"/>
      <c r="C59" s="71"/>
      <c r="D59" s="71"/>
      <c r="E59" s="71"/>
      <c r="N59" s="9" t="s">
        <v>4</v>
      </c>
      <c r="O59" s="73"/>
      <c r="P59" s="73"/>
      <c r="Q59" s="73"/>
      <c r="R59" s="73" t="str">
        <f si="12" t="shared"/>
        <v>-</v>
      </c>
    </row>
    <row r="60" spans="2:30" x14ac:dyDescent="0.25">
      <c r="B60" s="12"/>
      <c r="C60" s="55"/>
      <c r="D60" s="55"/>
      <c r="E60" s="55"/>
      <c r="N60" s="9" t="s">
        <v>5</v>
      </c>
      <c r="O60" s="73"/>
      <c r="P60" s="73"/>
      <c r="Q60" s="73"/>
      <c r="R60" s="73">
        <f si="12" t="shared"/>
        <v>3.1155747781174412</v>
      </c>
    </row>
    <row r="61" spans="2:30" x14ac:dyDescent="0.25">
      <c r="B61" s="12"/>
      <c r="C61" s="55"/>
      <c r="D61" s="55"/>
      <c r="E61" s="55"/>
      <c r="N61" s="9" t="s">
        <v>6</v>
      </c>
      <c r="O61" s="73"/>
      <c r="P61" s="73"/>
      <c r="Q61" s="73"/>
      <c r="R61" s="73">
        <f si="12" t="shared"/>
        <v>0</v>
      </c>
    </row>
    <row r="62" spans="2:30" x14ac:dyDescent="0.25">
      <c r="B62" s="12"/>
      <c r="C62" s="55"/>
      <c r="D62" s="55"/>
      <c r="E62" s="55"/>
      <c r="N62" s="9" t="s">
        <v>7</v>
      </c>
      <c r="O62" s="73"/>
      <c r="P62" s="73"/>
      <c r="Q62" s="73"/>
      <c r="R62" s="73" t="str">
        <f si="12" t="shared"/>
        <v>-</v>
      </c>
    </row>
    <row r="63" spans="2:30" x14ac:dyDescent="0.25">
      <c r="B63" s="12"/>
      <c r="C63" s="55"/>
      <c r="D63" s="55"/>
      <c r="E63" s="55"/>
      <c r="N63" s="14" t="s">
        <v>8</v>
      </c>
      <c r="O63" s="74"/>
      <c r="P63" s="74"/>
      <c r="Q63" s="74"/>
      <c r="R63" s="74" t="str">
        <f si="12" t="shared"/>
        <v>-</v>
      </c>
      <c r="S63" s="41"/>
    </row>
    <row r="64" spans="2:30" x14ac:dyDescent="0.25">
      <c r="B64" s="12"/>
      <c r="C64" s="55"/>
      <c r="D64" s="55"/>
      <c r="E64" s="55"/>
      <c r="N64" s="39" t="s">
        <v>261</v>
      </c>
    </row>
    <row r="65" spans="2:18" x14ac:dyDescent="0.25">
      <c r="B65" s="12"/>
      <c r="C65" s="55"/>
      <c r="D65" s="55"/>
      <c r="E65" s="55"/>
    </row>
    <row ht="15.75" r="66" spans="2:18" thickBot="1" x14ac:dyDescent="0.3">
      <c r="B66" s="41"/>
      <c r="C66" s="41"/>
      <c r="D66" s="41"/>
      <c r="E66" s="41"/>
      <c r="N66" s="57" t="s">
        <v>199</v>
      </c>
      <c r="O66" s="41"/>
      <c r="P66" s="41"/>
      <c r="Q66" s="41"/>
      <c r="R66" s="41"/>
    </row>
    <row r="67" spans="2:18" x14ac:dyDescent="0.25">
      <c r="B67" s="70"/>
      <c r="C67" s="41"/>
      <c r="D67" s="41"/>
      <c r="E67" s="41"/>
      <c r="N67" s="2" t="s">
        <v>0</v>
      </c>
      <c r="O67" s="60" t="str">
        <f>O43</f>
        <v>nocars</v>
      </c>
      <c r="P67" s="60" t="str">
        <f>P43</f>
        <v>cars &lt; adults</v>
      </c>
      <c r="Q67" s="60" t="str">
        <f>Q43</f>
        <v>cars &lt; workers</v>
      </c>
      <c r="R67" s="60" t="str">
        <f>R43</f>
        <v>constant</v>
      </c>
    </row>
    <row r="68" spans="2:18" x14ac:dyDescent="0.25">
      <c r="B68" s="41"/>
      <c r="C68" s="88"/>
      <c r="D68" s="88"/>
      <c r="E68" s="88"/>
      <c r="N68" s="9" t="s">
        <v>1</v>
      </c>
      <c r="O68" s="72" t="str">
        <f ref="O68:R75" si="13" t="shared">IFERROR(VLOOKUP(O18,$AA$3:$AC$48,3,FALSE),"-")</f>
        <v>-</v>
      </c>
      <c r="P68" s="72" t="str">
        <f si="13" t="shared"/>
        <v>-</v>
      </c>
      <c r="Q68" s="72" t="str">
        <f si="13" t="shared"/>
        <v>-</v>
      </c>
      <c r="R68" s="72">
        <f si="13" t="shared"/>
        <v>-5.0293456868310003</v>
      </c>
    </row>
    <row r="69" spans="2:18" x14ac:dyDescent="0.25">
      <c r="B69" s="12"/>
      <c r="C69" s="55"/>
      <c r="D69" s="55"/>
      <c r="E69" s="55"/>
      <c r="N69" s="9" t="s">
        <v>2</v>
      </c>
      <c r="O69" s="73" t="str">
        <f si="13" t="shared"/>
        <v>-</v>
      </c>
      <c r="P69" s="73" t="str">
        <f si="13" t="shared"/>
        <v>-</v>
      </c>
      <c r="Q69" s="73" t="str">
        <f si="13" t="shared"/>
        <v>-</v>
      </c>
      <c r="R69" s="73">
        <f si="13" t="shared"/>
        <v>-4.1088863537230003</v>
      </c>
    </row>
    <row r="70" spans="2:18" x14ac:dyDescent="0.25">
      <c r="B70" s="12"/>
      <c r="C70" s="71"/>
      <c r="D70" s="55"/>
      <c r="E70" s="55"/>
      <c r="N70" s="9" t="s">
        <v>3</v>
      </c>
      <c r="O70" s="73" t="str">
        <f si="13" t="shared"/>
        <v>-</v>
      </c>
      <c r="P70" s="73" t="str">
        <f si="13" t="shared"/>
        <v>-</v>
      </c>
      <c r="Q70" s="73" t="str">
        <f si="13" t="shared"/>
        <v>-</v>
      </c>
      <c r="R70" s="73">
        <f si="13" t="shared"/>
        <v>-5.0429303147070002</v>
      </c>
    </row>
    <row r="71" spans="2:18" x14ac:dyDescent="0.25">
      <c r="B71" s="12"/>
      <c r="C71" s="71"/>
      <c r="D71" s="55"/>
      <c r="E71" s="55"/>
      <c r="N71" s="9" t="s">
        <v>4</v>
      </c>
      <c r="O71" s="73" t="str">
        <f si="13" t="shared"/>
        <v>-</v>
      </c>
      <c r="P71" s="73" t="str">
        <f si="13" t="shared"/>
        <v>-</v>
      </c>
      <c r="Q71" s="73" t="str">
        <f si="13" t="shared"/>
        <v>-</v>
      </c>
      <c r="R71" s="73" t="str">
        <f si="13" t="shared"/>
        <v>-</v>
      </c>
    </row>
    <row r="72" spans="2:18" x14ac:dyDescent="0.25">
      <c r="B72" s="12"/>
      <c r="C72" s="55"/>
      <c r="D72" s="55"/>
      <c r="E72" s="55"/>
      <c r="N72" s="9" t="s">
        <v>5</v>
      </c>
      <c r="O72" s="73" t="str">
        <f si="13" t="shared"/>
        <v>-</v>
      </c>
      <c r="P72" s="73" t="str">
        <f si="13" t="shared"/>
        <v>-</v>
      </c>
      <c r="Q72" s="73" t="str">
        <f si="13" t="shared"/>
        <v>-</v>
      </c>
      <c r="R72" s="73">
        <f si="13" t="shared"/>
        <v>-5.7226621786739997</v>
      </c>
    </row>
    <row r="73" spans="2:18" x14ac:dyDescent="0.25">
      <c r="B73" s="12"/>
      <c r="C73" s="55"/>
      <c r="D73" s="55"/>
      <c r="E73" s="55"/>
      <c r="N73" s="9" t="s">
        <v>6</v>
      </c>
      <c r="O73" s="73" t="str">
        <f si="13" t="shared"/>
        <v>-</v>
      </c>
      <c r="P73" s="73" t="str">
        <f si="13" t="shared"/>
        <v>-</v>
      </c>
      <c r="Q73" s="73" t="str">
        <f si="13" t="shared"/>
        <v>-</v>
      </c>
      <c r="R73" s="73">
        <f si="13" t="shared"/>
        <v>-5.9221197700000001</v>
      </c>
    </row>
    <row r="74" spans="2:18" x14ac:dyDescent="0.25">
      <c r="B74" s="12"/>
      <c r="C74" s="55"/>
      <c r="D74" s="55"/>
      <c r="E74" s="55"/>
      <c r="N74" s="9" t="s">
        <v>7</v>
      </c>
      <c r="O74" s="73" t="str">
        <f si="13" t="shared"/>
        <v>-</v>
      </c>
      <c r="P74" s="73" t="str">
        <f si="13" t="shared"/>
        <v>-</v>
      </c>
      <c r="Q74" s="73" t="str">
        <f si="13" t="shared"/>
        <v>-</v>
      </c>
      <c r="R74" s="73" t="str">
        <f si="13" t="shared"/>
        <v>-</v>
      </c>
    </row>
    <row r="75" spans="2:18" x14ac:dyDescent="0.25">
      <c r="B75" s="12"/>
      <c r="C75" s="55"/>
      <c r="D75" s="55"/>
      <c r="E75" s="55"/>
      <c r="N75" s="14" t="s">
        <v>8</v>
      </c>
      <c r="O75" s="74" t="str">
        <f si="13" t="shared"/>
        <v>-</v>
      </c>
      <c r="P75" s="74" t="str">
        <f si="13" t="shared"/>
        <v>-</v>
      </c>
      <c r="Q75" s="74" t="str">
        <f si="13" t="shared"/>
        <v>-</v>
      </c>
      <c r="R75" s="74" t="str">
        <f si="13" t="shared"/>
        <v>-</v>
      </c>
    </row>
    <row r="76" spans="2:18" x14ac:dyDescent="0.25">
      <c r="B76" s="12"/>
      <c r="C76" s="55"/>
      <c r="D76" s="55"/>
      <c r="E76" s="55"/>
      <c r="N76" s="41"/>
      <c r="O76" s="41"/>
      <c r="P76" s="41"/>
      <c r="Q76" s="41"/>
      <c r="R76" s="41"/>
    </row>
    <row ht="15.75" r="77" spans="2:18" thickBot="1" x14ac:dyDescent="0.3">
      <c r="B77" s="39"/>
      <c r="C77" s="41"/>
      <c r="D77" s="41"/>
      <c r="E77" s="41"/>
      <c r="H77" s="61" t="s">
        <v>223</v>
      </c>
      <c r="N77" s="57" t="s">
        <v>200</v>
      </c>
    </row>
    <row r="78" spans="2:18" x14ac:dyDescent="0.25">
      <c r="B78" s="41"/>
      <c r="C78" s="41"/>
      <c r="D78" s="41"/>
      <c r="E78" s="41"/>
      <c r="H78" s="59" t="s">
        <v>0</v>
      </c>
      <c r="I78" s="60" t="s">
        <v>239</v>
      </c>
      <c r="J78" s="60" t="s">
        <v>234</v>
      </c>
      <c r="K78" s="60" t="s">
        <v>237</v>
      </c>
      <c r="L78" s="60" t="s">
        <v>240</v>
      </c>
      <c r="N78" s="2" t="s">
        <v>0</v>
      </c>
      <c r="O78" s="60" t="str">
        <f>O67</f>
        <v>nocars</v>
      </c>
      <c r="P78" s="60" t="str">
        <f>P67</f>
        <v>cars &lt; adults</v>
      </c>
      <c r="Q78" s="60" t="str">
        <f>Q67</f>
        <v>cars &lt; workers</v>
      </c>
      <c r="R78" s="60" t="str">
        <f>R67</f>
        <v>constant</v>
      </c>
    </row>
    <row r="79" spans="2:18" x14ac:dyDescent="0.25">
      <c r="B79" s="41"/>
      <c r="C79" s="41"/>
      <c r="D79" s="41"/>
      <c r="E79" s="41"/>
      <c r="H79" s="9" t="s">
        <v>1</v>
      </c>
      <c r="I79" s="58" t="str">
        <f ref="I79:L86" si="14" t="shared">IF(ISBLANK(O18),"",O18)</f>
        <v/>
      </c>
      <c r="J79" s="58" t="str">
        <f si="14" t="shared"/>
        <v/>
      </c>
      <c r="K79" s="58" t="str">
        <f si="14" t="shared"/>
        <v/>
      </c>
      <c r="L79" s="58">
        <f si="14" t="shared"/>
        <v>50</v>
      </c>
      <c r="N79" s="9" t="s">
        <v>1</v>
      </c>
      <c r="O79" s="73" t="str">
        <f ref="O79:R86" si="15" t="shared">IF(O18="","-",O56+O68)</f>
        <v>-</v>
      </c>
      <c r="P79" s="73" t="str">
        <f si="15" t="shared"/>
        <v>-</v>
      </c>
      <c r="Q79" s="73" t="str">
        <f si="15" t="shared"/>
        <v>-</v>
      </c>
      <c r="R79" s="73">
        <f si="15" t="shared"/>
        <v>-3.3491921861831249</v>
      </c>
    </row>
    <row r="80" spans="2:18" x14ac:dyDescent="0.25">
      <c r="H80" s="9" t="s">
        <v>2</v>
      </c>
      <c r="I80" s="58" t="str">
        <f si="14" t="shared"/>
        <v/>
      </c>
      <c r="J80" s="58" t="str">
        <f si="14" t="shared"/>
        <v/>
      </c>
      <c r="K80" s="58" t="str">
        <f si="14" t="shared"/>
        <v/>
      </c>
      <c r="L80" s="58">
        <f si="14" t="shared"/>
        <v>40</v>
      </c>
      <c r="N80" s="9" t="s">
        <v>2</v>
      </c>
      <c r="O80" s="73" t="str">
        <f si="15" t="shared"/>
        <v>-</v>
      </c>
      <c r="P80" s="73" t="str">
        <f si="15" t="shared"/>
        <v>-</v>
      </c>
      <c r="Q80" s="73" t="str">
        <f si="15" t="shared"/>
        <v>-</v>
      </c>
      <c r="R80" s="73">
        <f si="15" t="shared"/>
        <v>-2.4199459318169607</v>
      </c>
    </row>
    <row r="81" spans="8:18" x14ac:dyDescent="0.25">
      <c r="H81" s="9" t="s">
        <v>3</v>
      </c>
      <c r="I81" s="58" t="str">
        <f si="14" t="shared"/>
        <v/>
      </c>
      <c r="J81" s="58" t="str">
        <f si="14" t="shared"/>
        <v/>
      </c>
      <c r="K81" s="58" t="str">
        <f si="14" t="shared"/>
        <v/>
      </c>
      <c r="L81" s="58">
        <f si="14" t="shared"/>
        <v>30</v>
      </c>
      <c r="N81" s="9" t="s">
        <v>3</v>
      </c>
      <c r="O81" s="73" t="str">
        <f si="15" t="shared"/>
        <v>-</v>
      </c>
      <c r="P81" s="73" t="str">
        <f si="15" t="shared"/>
        <v>-</v>
      </c>
      <c r="Q81" s="73" t="str">
        <f si="15" t="shared"/>
        <v>-</v>
      </c>
      <c r="R81" s="73">
        <f si="15" t="shared"/>
        <v>-3.4959028928212308</v>
      </c>
    </row>
    <row r="82" spans="8:18" x14ac:dyDescent="0.25">
      <c r="H82" s="9" t="s">
        <v>4</v>
      </c>
      <c r="I82" s="58" t="str">
        <f si="14" t="shared"/>
        <v/>
      </c>
      <c r="J82" s="58" t="str">
        <f si="14" t="shared"/>
        <v/>
      </c>
      <c r="K82" s="58" t="str">
        <f si="14" t="shared"/>
        <v/>
      </c>
      <c r="L82" s="58" t="str">
        <f si="14" t="shared"/>
        <v/>
      </c>
      <c r="N82" s="9" t="s">
        <v>4</v>
      </c>
      <c r="O82" s="73" t="str">
        <f si="15" t="shared"/>
        <v>-</v>
      </c>
      <c r="P82" s="73" t="str">
        <f si="15" t="shared"/>
        <v>-</v>
      </c>
      <c r="Q82" s="73" t="str">
        <f si="15" t="shared"/>
        <v>-</v>
      </c>
      <c r="R82" s="73" t="str">
        <f si="15" t="shared"/>
        <v>-</v>
      </c>
    </row>
    <row r="83" spans="8:18" x14ac:dyDescent="0.25">
      <c r="H83" s="9" t="s">
        <v>5</v>
      </c>
      <c r="I83" s="58" t="str">
        <f si="14" t="shared"/>
        <v/>
      </c>
      <c r="J83" s="58" t="str">
        <f si="14" t="shared"/>
        <v/>
      </c>
      <c r="K83" s="58" t="str">
        <f si="14" t="shared"/>
        <v/>
      </c>
      <c r="L83" s="58">
        <f si="14" t="shared"/>
        <v>20</v>
      </c>
      <c r="N83" s="9" t="s">
        <v>5</v>
      </c>
      <c r="O83" s="73" t="str">
        <f si="15" t="shared"/>
        <v>-</v>
      </c>
      <c r="P83" s="73" t="str">
        <f si="15" t="shared"/>
        <v>-</v>
      </c>
      <c r="Q83" s="73" t="str">
        <f si="15" t="shared"/>
        <v>-</v>
      </c>
      <c r="R83" s="73">
        <f si="15" t="shared"/>
        <v>-2.6070874005565585</v>
      </c>
    </row>
    <row r="84" spans="8:18" x14ac:dyDescent="0.25">
      <c r="H84" s="9" t="s">
        <v>6</v>
      </c>
      <c r="I84" s="58" t="str">
        <f si="14" t="shared"/>
        <v/>
      </c>
      <c r="J84" s="58" t="str">
        <f si="14" t="shared"/>
        <v/>
      </c>
      <c r="K84" s="58" t="str">
        <f si="14" t="shared"/>
        <v/>
      </c>
      <c r="L84" s="58">
        <f si="14" t="shared"/>
        <v>60</v>
      </c>
      <c r="N84" s="9" t="s">
        <v>6</v>
      </c>
      <c r="O84" s="73" t="str">
        <f si="15" t="shared"/>
        <v>-</v>
      </c>
      <c r="P84" s="73" t="str">
        <f si="15" t="shared"/>
        <v>-</v>
      </c>
      <c r="Q84" s="73" t="str">
        <f si="15" t="shared"/>
        <v>-</v>
      </c>
      <c r="R84" s="73">
        <f si="15" t="shared"/>
        <v>-5.9221197700000001</v>
      </c>
    </row>
    <row r="85" spans="8:18" x14ac:dyDescent="0.25">
      <c r="H85" s="9" t="s">
        <v>7</v>
      </c>
      <c r="I85" s="58" t="str">
        <f si="14" t="shared"/>
        <v/>
      </c>
      <c r="J85" s="58" t="str">
        <f si="14" t="shared"/>
        <v/>
      </c>
      <c r="K85" s="58" t="str">
        <f si="14" t="shared"/>
        <v/>
      </c>
      <c r="L85" s="58" t="str">
        <f si="14" t="shared"/>
        <v/>
      </c>
      <c r="N85" s="9" t="s">
        <v>7</v>
      </c>
      <c r="O85" s="73" t="str">
        <f si="15" t="shared"/>
        <v>-</v>
      </c>
      <c r="P85" s="73" t="str">
        <f si="15" t="shared"/>
        <v>-</v>
      </c>
      <c r="Q85" s="73" t="str">
        <f si="15" t="shared"/>
        <v>-</v>
      </c>
      <c r="R85" s="73" t="str">
        <f si="15" t="shared"/>
        <v>-</v>
      </c>
    </row>
    <row r="86" spans="8:18" x14ac:dyDescent="0.25">
      <c r="H86" s="14" t="s">
        <v>8</v>
      </c>
      <c r="I86" s="7" t="str">
        <f si="14" t="shared"/>
        <v/>
      </c>
      <c r="J86" s="7" t="str">
        <f si="14" t="shared"/>
        <v/>
      </c>
      <c r="K86" s="7" t="str">
        <f si="14" t="shared"/>
        <v/>
      </c>
      <c r="L86" s="7" t="str">
        <f si="14" t="shared"/>
        <v/>
      </c>
      <c r="N86" s="14" t="s">
        <v>8</v>
      </c>
      <c r="O86" s="74" t="str">
        <f si="15" t="shared"/>
        <v>-</v>
      </c>
      <c r="P86" s="74" t="str">
        <f si="15" t="shared"/>
        <v>-</v>
      </c>
      <c r="Q86" s="74" t="str">
        <f si="15" t="shared"/>
        <v>-</v>
      </c>
      <c r="R86" s="74" t="str">
        <f si="15" t="shared"/>
        <v>-</v>
      </c>
    </row>
    <row r="87" spans="8:18" x14ac:dyDescent="0.25">
      <c r="H87" s="41"/>
      <c r="I87" s="41"/>
      <c r="J87" s="41"/>
      <c r="K87" s="41"/>
      <c r="L87" s="41"/>
    </row>
  </sheetData>
  <mergeCells count="3">
    <mergeCell ref="B15:F15"/>
    <mergeCell ref="H15:L15"/>
    <mergeCell ref="A27:A28"/>
  </mergeCells>
  <conditionalFormatting sqref="AE3:AE20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22</vt:i4>
      </vt:variant>
      <vt:variant>
        <vt:lpstr>Named Ranges</vt:lpstr>
      </vt:variant>
      <vt:variant>
        <vt:i4>40</vt:i4>
      </vt:variant>
    </vt:vector>
  </HeadingPairs>
  <TitlesOfParts>
    <vt:vector baseType="lpstr" size="62">
      <vt:lpstr>AllPurposes</vt:lpstr>
      <vt:lpstr>Work</vt:lpstr>
      <vt:lpstr>School</vt:lpstr>
      <vt:lpstr>Escort</vt:lpstr>
      <vt:lpstr>Personal_Business</vt:lpstr>
      <vt:lpstr>Shop</vt:lpstr>
      <vt:lpstr>Meal</vt:lpstr>
      <vt:lpstr>SocRec</vt:lpstr>
      <vt:lpstr>Workbased</vt:lpstr>
      <vt:lpstr>Documentation</vt:lpstr>
      <vt:lpstr>CoeffDef</vt:lpstr>
      <vt:lpstr>WorkCoefficients</vt:lpstr>
      <vt:lpstr>SchoolCoeffcients</vt:lpstr>
      <vt:lpstr>EscortCoefficients</vt:lpstr>
      <vt:lpstr>OtherCoefficients</vt:lpstr>
      <vt:lpstr>WorkBasedCoefficients</vt:lpstr>
      <vt:lpstr>transit_targets</vt:lpstr>
      <vt:lpstr>Calibration_Work</vt:lpstr>
      <vt:lpstr>Calibration_School</vt:lpstr>
      <vt:lpstr>Calibration_Escort</vt:lpstr>
      <vt:lpstr>Calibration_Other</vt:lpstr>
      <vt:lpstr>Calibration_WorkBased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wb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Nagendra Dhakar</cp:lastModifiedBy>
  <dcterms:modified xsi:type="dcterms:W3CDTF">2020-05-18T04:38:10Z</dcterms:modified>
</cp:coreProperties>
</file>