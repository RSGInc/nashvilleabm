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4B48DD86-44ED-4972-8E8B-7C046CDDDCA7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_Work" r:id="rId17" sheetId="20"/>
    <sheet name="Calibration_School" r:id="rId18" sheetId="21"/>
    <sheet name="Calibration_Escort" r:id="rId19" sheetId="23"/>
    <sheet name="Calibration_Other" r:id="rId20" sheetId="24"/>
    <sheet name="Calibration_WorkBased" r:id="rId21" sheetId="25"/>
  </sheets>
  <definedNames>
    <definedName name="out1">Work!$F$4:$G$11</definedName>
    <definedName name="out10">Shop!$O$4:$P$11</definedName>
    <definedName name="out11">Meal!$F$4:$G$11</definedName>
    <definedName name="out12">Meal!$O$4:$P$11</definedName>
    <definedName name="out13">SocRec!$F$4:$G$11</definedName>
    <definedName name="out14">SocRec!$O$4:$P$11</definedName>
    <definedName name="out15">Workbased!$B$5:$H$11</definedName>
    <definedName name="out16">Workbased!$L$5:$R$11</definedName>
    <definedName name="out2">Work!$O$4:$P$11</definedName>
    <definedName name="out3">School!$F$4:$G$11</definedName>
    <definedName name="out4">School!$O$4:$P$11</definedName>
    <definedName name="out5">Escort!$F$4:$G$11</definedName>
    <definedName name="out6">Escort!$O$4:$P$11</definedName>
    <definedName name="out7">Personal_Business!$F$4:$G$11</definedName>
    <definedName name="out8">Personal_Business!$O$4:$P$11</definedName>
    <definedName name="out9">Shop!$F$4:$G$11</definedName>
    <definedName name="purp1">Work!$K$4:$L$13</definedName>
    <definedName name="purp2">School!$K$4:$L$13</definedName>
    <definedName name="purp3">Escort!$K$4:$L$13</definedName>
    <definedName name="purp4">Personal_Business!$K$4:$L$13</definedName>
    <definedName name="purp5">Shop!$K$4:$L$13</definedName>
    <definedName name="purp6">Meal!$K$4:$L$13</definedName>
    <definedName name="purp7">SocRec!$K$4:$L$13</definedName>
    <definedName name="wb">Workbased!$L$5:$R$13</definedName>
    <definedName name="out_1">Work!$F$4:$G$12</definedName>
    <definedName name="out_3">School!$F$4:$G$12</definedName>
    <definedName name="out_5">Escort!$F$4:$G$12</definedName>
    <definedName name="out_7">Personal_Business!$F$4:$G$12</definedName>
    <definedName name="out_9">Shop!$F$4:$G$12</definedName>
    <definedName name="out_11">Meal!$F$4:$G$12</definedName>
    <definedName name="out_13">SocRec!$F$4:$G$12</definedName>
    <definedName name="out_15">Workbased!$B$5:$H$11</definedName>
    <definedName name="out_2">Work!$O$4:$P$12</definedName>
    <definedName name="out_4">School!$O$4:$P$12</definedName>
    <definedName name="out_6">Escort!$O$4:$P$12</definedName>
    <definedName name="out_8">Personal_Business!$O$4:$P$12</definedName>
    <definedName name="out_10">Shop!$O$4:$P$12</definedName>
    <definedName name="out_12">Meal!$O$4:$P$12</definedName>
    <definedName name="out_14">SocRec!$O$4:$P$12</definedName>
    <definedName name="out_16">Workbased!$L$5:$R$11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11" l="1" r="V40"/>
  <c i="11" r="V39"/>
  <c i="11" r="V38"/>
  <c i="11" r="V37"/>
  <c i="11" r="V36"/>
  <c i="11" r="V35"/>
  <c i="11" r="V34"/>
  <c i="11" r="V33"/>
  <c i="11" r="V32"/>
  <c i="11" r="AC27"/>
  <c i="11" r="AB27"/>
  <c i="11" r="AA27"/>
  <c i="11" r="Z27"/>
  <c i="11" r="Y27"/>
  <c i="11" r="X27"/>
  <c i="11" r="AC26"/>
  <c i="11" r="AB26"/>
  <c i="11" r="AA26"/>
  <c i="11" r="Z26"/>
  <c i="11" r="Y26"/>
  <c i="11" r="AC25"/>
  <c i="11" r="AB25"/>
  <c i="11" r="AA25"/>
  <c i="11" r="Z25"/>
  <c i="11" r="Y25"/>
  <c i="11" r="X25"/>
  <c i="11" r="AC24"/>
  <c i="11" r="AB24"/>
  <c i="11" r="AA24"/>
  <c i="11" r="Z24"/>
  <c i="11" r="Y24"/>
  <c i="11" r="X24"/>
  <c i="11" r="AC23"/>
  <c i="11" r="AB23"/>
  <c i="11" r="AA23"/>
  <c i="11" r="Z23"/>
  <c i="11" r="Y23"/>
  <c i="11" r="X23"/>
  <c i="11" r="AC22"/>
  <c i="11" r="AB22"/>
  <c i="11" r="AA22"/>
  <c i="11" r="Z22"/>
  <c i="11" r="Y22"/>
  <c i="11" r="X22"/>
  <c i="11" r="AC21"/>
  <c i="11" r="AB21"/>
  <c i="11" r="AA21"/>
  <c i="11" r="Z21"/>
  <c i="11" r="Y21"/>
  <c i="11" r="X21"/>
  <c i="11" r="AC20"/>
  <c i="11" r="AB20"/>
  <c i="11" r="AA20"/>
  <c i="11" r="Z20"/>
  <c i="11" r="Y20"/>
  <c i="11" r="X20"/>
  <c i="11" r="AC19"/>
  <c i="11" r="AB19"/>
  <c i="11" r="AA19"/>
  <c i="11" r="Z19"/>
  <c i="11" r="Y19"/>
  <c i="11" r="X19"/>
  <c i="11" r="AC18"/>
  <c i="11" r="AB18"/>
  <c i="11" r="AA18"/>
  <c i="11" r="Z18"/>
  <c i="11" r="Y18"/>
  <c i="11" r="X18"/>
  <c i="11" r="AD17"/>
  <c i="11" r="AC17"/>
  <c i="11" r="AB17"/>
  <c i="11" r="AA17"/>
  <c i="11" r="Z17"/>
  <c i="11" r="Y17"/>
  <c i="11" r="X17"/>
  <c i="11" r="X16"/>
  <c i="11" r="AC13"/>
  <c i="11" r="AB13"/>
  <c i="11" r="AA13"/>
  <c i="11" r="Z13"/>
  <c i="11" r="AC12"/>
  <c i="11" r="AB12"/>
  <c i="11" r="AA12"/>
  <c i="11" r="Z12"/>
  <c i="11" r="AD12" s="1"/>
  <c i="11" r="AC11"/>
  <c i="11" r="AB11"/>
  <c i="11" r="AA11"/>
  <c i="11" r="Z11"/>
  <c i="11" r="AC10"/>
  <c i="11" r="AB10"/>
  <c i="11" r="AA10"/>
  <c i="11" r="Z10"/>
  <c i="11" r="AD10" s="1"/>
  <c i="11" r="AC9"/>
  <c i="11" r="AD9" s="1"/>
  <c i="11" r="AB9"/>
  <c i="11" r="AA9"/>
  <c i="11" r="Z9"/>
  <c i="11" r="AC8"/>
  <c i="11" r="AB8"/>
  <c i="11" r="AA8"/>
  <c i="11" r="Z8"/>
  <c i="11" r="AC7"/>
  <c i="11" r="AB7"/>
  <c i="11" r="AA7"/>
  <c i="11" r="Z7"/>
  <c i="11" r="AC6"/>
  <c i="11" r="AB6"/>
  <c i="11" r="AA6"/>
  <c i="11" r="Z6"/>
  <c i="11" r="AC5"/>
  <c i="11" r="AB5"/>
  <c i="11" r="AA5"/>
  <c i="11" r="Z5"/>
  <c i="11" r="AC4"/>
  <c i="11" r="AB4"/>
  <c i="11" r="AA4"/>
  <c i="11" r="Z4"/>
  <c i="11" r="Y13"/>
  <c i="11" r="Y12"/>
  <c i="11" r="Y11"/>
  <c i="11" r="Y10"/>
  <c i="11" r="Y9"/>
  <c i="11" r="Y8"/>
  <c i="11" r="Y7"/>
  <c i="11" r="Y6"/>
  <c i="11" r="AD6" s="1"/>
  <c i="11" r="Y5"/>
  <c i="11" r="Y4"/>
  <c i="11" r="X5"/>
  <c i="11" r="X6"/>
  <c i="11" r="X7"/>
  <c i="11" r="X8"/>
  <c i="11" r="X9"/>
  <c i="11" r="X10"/>
  <c i="11" r="X11"/>
  <c i="11" r="X12"/>
  <c i="11" r="X13"/>
  <c i="11" r="X4"/>
  <c i="11" r="AD5"/>
  <c i="11" r="AD4"/>
  <c i="11" r="X3"/>
  <c i="25" r="F26"/>
  <c i="23" r="E24"/>
  <c i="23" r="D24"/>
  <c i="23" r="C24"/>
  <c i="23" r="E23"/>
  <c i="23" r="D23"/>
  <c i="23" r="C23"/>
  <c i="23" r="E22"/>
  <c i="23" r="D22"/>
  <c i="23" r="C22"/>
  <c i="23" r="E20"/>
  <c i="23" r="D20"/>
  <c i="23" r="C20"/>
  <c i="23" r="E19"/>
  <c i="23" r="D19"/>
  <c i="23" r="C19"/>
  <c i="23" r="E18"/>
  <c i="23" r="D18"/>
  <c i="23" r="C18"/>
  <c i="21" r="E26"/>
  <c i="21" r="D26"/>
  <c i="21" r="C26"/>
  <c i="24" r="E26"/>
  <c i="24" r="D26"/>
  <c i="24" r="C26"/>
  <c i="20" r="E26"/>
  <c i="20" r="D26"/>
  <c i="20" r="C26"/>
  <c i="11" l="1" r="AD11"/>
  <c i="11" r="AD8"/>
  <c i="11" r="AD7"/>
  <c i="4" r="Q12"/>
  <c i="4" r="H12"/>
  <c i="21" r="F26" s="1"/>
  <c i="5" r="Q12"/>
  <c i="5" r="H12"/>
  <c i="10" r="Q12"/>
  <c i="10" r="H12"/>
  <c i="8" r="Q12"/>
  <c i="8" r="H12"/>
  <c i="6" r="Q12"/>
  <c i="6" r="H12"/>
  <c i="9" r="Q12"/>
  <c i="9" r="H12"/>
  <c i="11" l="1" r="AD13"/>
  <c i="11" r="AD22" s="1"/>
  <c i="24" r="F26"/>
  <c i="5" r="H6"/>
  <c i="23" r="F20" s="1"/>
  <c i="5" r="H5"/>
  <c i="23" r="F19" s="1"/>
  <c i="1" r="H5"/>
  <c i="9" r="H4"/>
  <c i="6" r="H4"/>
  <c i="8" r="H4"/>
  <c i="10" r="H4"/>
  <c i="5" r="H4"/>
  <c i="23" r="F18" s="1"/>
  <c i="4" r="H4"/>
  <c i="1" r="H4"/>
  <c i="4" r="H6"/>
  <c i="4" r="H5"/>
  <c i="9" r="H6"/>
  <c i="9" r="H5"/>
  <c i="6" r="H6"/>
  <c i="6" r="H5"/>
  <c i="8" r="H6"/>
  <c i="8" r="H5"/>
  <c i="10" r="H6"/>
  <c i="10" r="H5"/>
  <c i="1" r="H6"/>
  <c i="11" r="M11"/>
  <c i="11" l="1" r="AD27"/>
  <c i="11" r="AD18"/>
  <c i="11" r="AD26"/>
  <c i="11" r="AD19"/>
  <c i="11" r="AD20"/>
  <c i="11" r="AD23"/>
  <c i="11" r="AD24"/>
  <c i="11" r="AD25"/>
  <c i="11" r="AD21"/>
  <c i="11" r="U12"/>
  <c i="11" r="M12"/>
  <c i="11" r="L12"/>
  <c i="11" r="J12"/>
  <c i="25" r="O90"/>
  <c i="25" r="P90"/>
  <c i="25" r="Q90"/>
  <c i="25" r="L90"/>
  <c i="25" r="L26"/>
  <c i="25" r="AA20"/>
  <c i="25" r="AB20"/>
  <c i="25" r="AC20"/>
  <c i="24" r="AA56"/>
  <c i="24" r="AB56"/>
  <c i="24" r="AC56"/>
  <c i="24" r="AA57"/>
  <c i="24" r="AB57"/>
  <c i="24" r="AC57"/>
  <c i="24" r="I90"/>
  <c i="24" r="J90"/>
  <c i="24" r="K90"/>
  <c i="24" r="L90"/>
  <c i="24" r="Q90"/>
  <c i="24" r="Q65"/>
  <c i="24" r="Q52"/>
  <c i="24" r="Q39"/>
  <c i="24" r="I25"/>
  <c i="24" r="I26"/>
  <c i="24" r="J26"/>
  <c i="24" r="K26"/>
  <c i="24" r="L26"/>
  <c i="11" r="T12" s="1"/>
  <c i="23" r="AA26"/>
  <c i="23" r="AB26"/>
  <c i="23" r="AC26"/>
  <c i="21" r="Q52"/>
  <c i="21" r="Q65"/>
  <c i="21" r="Q90"/>
  <c i="21" r="I90"/>
  <c i="21" r="J90"/>
  <c i="21" r="K90"/>
  <c i="21" r="L90"/>
  <c i="21" r="Q39"/>
  <c i="21" r="I26"/>
  <c i="21" r="J26"/>
  <c i="21" r="K26"/>
  <c i="21" r="L26"/>
  <c i="11" r="R12" s="1"/>
  <c i="21" r="AA55"/>
  <c i="21" r="AB55"/>
  <c i="21" r="AC55"/>
  <c i="20" r="Q39"/>
  <c i="20" r="AA48"/>
  <c i="20" r="AB48"/>
  <c i="20" r="AC48"/>
  <c i="20" r="AA49"/>
  <c i="20" r="AB49"/>
  <c i="20" r="AC49"/>
  <c i="20" r="AA50"/>
  <c i="20" r="AB50"/>
  <c i="20" r="AC50"/>
  <c i="20" r="Q90"/>
  <c i="20" r="I90"/>
  <c i="20" r="J90"/>
  <c i="20" r="K90"/>
  <c i="20" r="L90"/>
  <c i="20" r="Q65"/>
  <c i="20" r="Q52"/>
  <c i="25" l="1" r="AD20"/>
  <c i="25" r="AE20" s="1"/>
  <c i="24" r="AD57"/>
  <c i="24" r="AE57" s="1"/>
  <c i="20" r="AD50"/>
  <c i="20" r="AE50" s="1"/>
  <c i="20" r="AD49"/>
  <c i="20" r="AE49" s="1"/>
  <c i="21" r="AD55"/>
  <c i="21" r="AE55" s="1"/>
  <c i="24" r="AD56"/>
  <c i="24" r="AE56" s="1"/>
  <c i="24" r="C27"/>
  <c i="21" r="D27"/>
  <c i="21" r="D39" s="1"/>
  <c i="24" r="E27"/>
  <c i="24" r="D27"/>
  <c i="20" r="AD48"/>
  <c i="20" r="AE48" s="1"/>
  <c i="21" r="C27"/>
  <c i="21" r="C39" s="1"/>
  <c i="23" r="AD26"/>
  <c i="23" r="AE26" s="1"/>
  <c i="21" r="E27"/>
  <c i="21" r="E39" s="1"/>
  <c i="20" r="I26"/>
  <c i="20" r="J26"/>
  <c i="20" r="K26"/>
  <c i="11" r="P12"/>
  <c i="7" r="R13"/>
  <c i="7" r="Q13"/>
  <c i="7" r="P13"/>
  <c i="7" r="O13"/>
  <c i="7" r="N13"/>
  <c i="7" r="M13"/>
  <c i="7" r="L13"/>
  <c i="7" r="C13"/>
  <c i="7" r="D13"/>
  <c i="7" r="E13"/>
  <c i="7" r="F13"/>
  <c i="7" r="G13"/>
  <c i="7" r="H13"/>
  <c i="7" r="B13"/>
  <c i="9" r="P13"/>
  <c i="9" r="O13"/>
  <c i="9" r="N13"/>
  <c i="9" r="M13"/>
  <c i="9" r="L13"/>
  <c i="9" r="K13"/>
  <c i="9" r="C13"/>
  <c i="9" r="D13"/>
  <c i="9" r="E13"/>
  <c i="9" r="F13"/>
  <c i="9" r="G13"/>
  <c i="9" r="B13"/>
  <c i="6" r="P13"/>
  <c i="6" r="O13"/>
  <c i="6" r="N13"/>
  <c i="6" r="M13"/>
  <c i="6" r="L13"/>
  <c i="6" r="K13"/>
  <c i="6" r="C13"/>
  <c i="6" r="D13"/>
  <c i="6" r="E13"/>
  <c i="6" r="F13"/>
  <c i="6" r="G13"/>
  <c i="6" r="B13"/>
  <c i="8" r="P13"/>
  <c i="8" r="O13"/>
  <c i="8" r="N13"/>
  <c i="8" r="M13"/>
  <c i="8" r="L13"/>
  <c i="8" r="K13"/>
  <c i="8" r="C13"/>
  <c i="8" r="D13"/>
  <c i="8" r="E13"/>
  <c i="8" r="F13"/>
  <c i="8" r="G13"/>
  <c i="8" r="B13"/>
  <c i="10" r="P13"/>
  <c i="10" r="O13"/>
  <c i="10" r="N13"/>
  <c i="10" r="M13"/>
  <c i="10" r="L13"/>
  <c i="10" r="K13"/>
  <c i="10" r="C13"/>
  <c i="10" r="D13"/>
  <c i="10" r="E13"/>
  <c i="10" r="F13"/>
  <c i="10" r="G13"/>
  <c i="10" r="B13"/>
  <c i="5" r="P13"/>
  <c i="5" r="O13"/>
  <c i="5" r="N13"/>
  <c i="5" r="M13"/>
  <c i="5" r="L13"/>
  <c i="5" r="K13"/>
  <c i="5" r="C13"/>
  <c i="5" r="D13"/>
  <c i="5" r="E13"/>
  <c i="5" r="F13"/>
  <c i="5" r="G13"/>
  <c i="5" r="B13"/>
  <c i="4" r="P13"/>
  <c i="4" r="O13"/>
  <c i="4" r="N13"/>
  <c i="4" r="M13"/>
  <c i="4" r="L13"/>
  <c i="4" r="K13"/>
  <c i="4" r="C13"/>
  <c i="4" r="D13"/>
  <c i="4" r="E13"/>
  <c i="4" r="F13"/>
  <c i="4" r="G13"/>
  <c i="4" r="B13"/>
  <c i="20" l="1" r="C27"/>
  <c i="20" r="C39" s="1"/>
  <c i="20" r="E27"/>
  <c i="20" r="E39" s="1"/>
  <c i="20" r="D27"/>
  <c i="20" r="D39" s="1"/>
  <c i="1" r="Q12"/>
  <c i="11" r="E12" s="1"/>
  <c i="1" r="L13"/>
  <c i="1" r="M13"/>
  <c i="1" r="N13"/>
  <c i="1" r="O13"/>
  <c i="1" r="P13"/>
  <c i="1" r="K13"/>
  <c i="1" r="C13"/>
  <c i="1" r="D13"/>
  <c i="1" r="E13"/>
  <c i="1" r="F13"/>
  <c i="1" r="G13"/>
  <c i="1" r="B13"/>
  <c i="1" r="H12"/>
  <c i="20" r="F26" s="1"/>
  <c i="20" l="1" r="L26"/>
  <c i="11" r="Q12" s="1"/>
  <c i="11" l="1" r="B12"/>
  <c i="11" r="I12"/>
  <c i="24" r="K19"/>
  <c i="24" r="K20"/>
  <c i="24" r="K21"/>
  <c i="24" r="K22"/>
  <c i="24" r="K23"/>
  <c i="24" r="K24"/>
  <c i="24" r="K25"/>
  <c i="11" l="1" r="P16"/>
  <c i="11" r="P2"/>
  <c i="11" r="I17"/>
  <c i="11" r="J17"/>
  <c i="11" r="K17"/>
  <c i="11" r="L17"/>
  <c i="11" r="M17"/>
  <c i="11" r="N17"/>
  <c i="11" r="V3"/>
  <c i="11" r="V17" s="1"/>
  <c i="11" r="V31" s="1"/>
  <c i="11" r="R3"/>
  <c i="11" r="R17" s="1"/>
  <c i="11" r="R31" s="1"/>
  <c i="11" r="S3"/>
  <c i="11" r="S17" s="1"/>
  <c i="11" r="S31" s="1"/>
  <c i="11" r="T3"/>
  <c i="11" r="T17" s="1"/>
  <c i="11" r="T31" s="1"/>
  <c i="11" r="U3"/>
  <c i="11" r="U17" s="1"/>
  <c i="11" r="U31" s="1"/>
  <c i="11" r="Q3"/>
  <c i="11" r="Q17" s="1"/>
  <c i="11" r="Q31" s="1"/>
  <c i="11" r="P4"/>
  <c i="11" r="P18" s="1"/>
  <c i="11" r="P32" s="1"/>
  <c i="11" r="P5"/>
  <c i="11" r="P19" s="1"/>
  <c i="11" r="P33" s="1"/>
  <c i="11" r="P6"/>
  <c i="11" r="P20" s="1"/>
  <c i="11" r="P34" s="1"/>
  <c i="11" r="P7"/>
  <c i="11" r="P21" s="1"/>
  <c i="11" r="P35" s="1"/>
  <c i="11" r="P8"/>
  <c i="11" r="P22" s="1"/>
  <c i="11" r="P36" s="1"/>
  <c i="11" r="P9"/>
  <c i="11" r="P23" s="1"/>
  <c i="11" r="P37" s="1"/>
  <c i="11" r="P10"/>
  <c i="11" r="P24" s="1"/>
  <c i="11" r="P38" s="1"/>
  <c i="11" r="P11"/>
  <c i="11" r="P25" s="1"/>
  <c i="11" r="P39" s="1"/>
  <c i="11" r="P13"/>
  <c i="11" r="P27" s="1"/>
  <c i="11" r="P41" s="1"/>
  <c i="11" r="P3"/>
  <c i="11" r="P17" s="1"/>
  <c i="11" r="P31" s="1"/>
  <c i="11" r="H4"/>
  <c i="11" r="H18" s="1"/>
  <c i="11" r="H5"/>
  <c i="11" r="H19" s="1"/>
  <c i="11" r="H6"/>
  <c i="11" r="H20" s="1"/>
  <c i="11" r="H7"/>
  <c i="11" r="H21" s="1"/>
  <c i="11" r="H8"/>
  <c i="11" r="H22" s="1"/>
  <c i="11" r="H9"/>
  <c i="11" r="H23" s="1"/>
  <c i="11" r="H10"/>
  <c i="11" r="H24" s="1"/>
  <c i="11" r="H11"/>
  <c i="11" r="H25" s="1"/>
  <c i="11" r="H13"/>
  <c i="11" r="H27" s="1"/>
  <c i="11" r="H3"/>
  <c i="11" r="H17" s="1"/>
  <c i="24" l="1" r="P59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40"/>
  <c i="25" r="J84"/>
  <c i="25" r="I84"/>
  <c i="25" r="R69"/>
  <c i="25" r="R81" s="1"/>
  <c i="25" r="Q69"/>
  <c i="25" r="Q81" s="1"/>
  <c i="25" r="P69"/>
  <c i="25" r="P81" s="1"/>
  <c i="25" r="O69"/>
  <c i="25" r="O81" s="1"/>
  <c i="25" r="R56"/>
  <c i="25" r="Q56"/>
  <c i="25" r="P56"/>
  <c i="25" r="O56"/>
  <c i="25" r="E30"/>
  <c i="25" r="K27"/>
  <c i="25" r="J27"/>
  <c i="25" r="E27"/>
  <c i="25" r="D27"/>
  <c i="25" r="C27"/>
  <c i="25" r="R25"/>
  <c i="25" r="Q25"/>
  <c i="25" r="Q89" s="1"/>
  <c i="25" r="P25"/>
  <c i="25" r="P89" s="1"/>
  <c i="25" r="O25"/>
  <c i="25" r="O89" s="1"/>
  <c i="25" r="Q24"/>
  <c i="25" r="P24"/>
  <c i="25" r="O24"/>
  <c i="25" r="R23"/>
  <c i="25" r="Q23"/>
  <c i="25" r="P23"/>
  <c i="25" r="O23"/>
  <c i="25" r="R22"/>
  <c i="25" r="Q22"/>
  <c i="25" r="Q86" s="1"/>
  <c i="25" r="P22"/>
  <c i="25" r="O22"/>
  <c i="25" r="R21"/>
  <c i="25" r="R60" s="1"/>
  <c i="25" r="Q21"/>
  <c i="25" r="P21"/>
  <c i="25" r="O21"/>
  <c i="25" r="R20"/>
  <c i="25" r="Q20"/>
  <c i="25" r="R19"/>
  <c i="25" r="Q19"/>
  <c i="25" r="Q83" s="1"/>
  <c i="25" r="P19"/>
  <c i="25" r="O19"/>
  <c i="25" r="R18"/>
  <c i="25" r="Q18"/>
  <c i="25" r="P18"/>
  <c i="25" r="O18"/>
  <c i="25" r="I27"/>
  <c i="25" r="H16"/>
  <c i="24" r="K18"/>
  <c i="24" r="K27" s="1"/>
  <c i="24" r="K39" s="1"/>
  <c i="24" r="J19"/>
  <c i="24" r="J20"/>
  <c i="24" r="J21"/>
  <c i="24" r="J22"/>
  <c i="24" r="J23"/>
  <c i="24" r="J24"/>
  <c i="24" r="J25"/>
  <c i="24" r="J18"/>
  <c i="24" r="I19"/>
  <c i="24" r="I20"/>
  <c i="24" r="I21"/>
  <c i="24" r="I22"/>
  <c i="24" r="I23"/>
  <c i="24" r="I24"/>
  <c i="24" r="I18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4" r="AA55"/>
  <c i="24" r="AB55"/>
  <c i="24" r="AC55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B9"/>
  <c i="24" r="AC9"/>
  <c i="24" r="AA10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25"/>
  <c i="23" r="J25"/>
  <c i="23" r="I25"/>
  <c i="23" r="K24"/>
  <c i="23" r="J24"/>
  <c i="23" r="I24"/>
  <c i="23" r="K23"/>
  <c i="23" r="J23"/>
  <c i="23" r="I23"/>
  <c i="23" r="K22"/>
  <c i="23" r="J22"/>
  <c i="23" r="I22"/>
  <c i="23" r="K21"/>
  <c i="23" r="J21"/>
  <c i="23" r="I21"/>
  <c i="23" r="K20"/>
  <c i="23" r="J20"/>
  <c i="23" r="I20"/>
  <c i="23" r="K19"/>
  <c i="23" r="J19"/>
  <c i="23" r="I19"/>
  <c i="23" r="K18"/>
  <c i="23" r="J18"/>
  <c i="23" r="I18"/>
  <c i="24" r="J84"/>
  <c i="24" r="I84"/>
  <c i="24" r="R69"/>
  <c i="24" r="R81" s="1"/>
  <c i="24" r="Q69"/>
  <c i="24" r="Q81" s="1"/>
  <c i="24" r="P69"/>
  <c i="24" r="P81" s="1"/>
  <c i="24" r="O69"/>
  <c i="24" r="O81" s="1"/>
  <c i="24" r="R56"/>
  <c i="24" r="Q56"/>
  <c i="24" r="P56"/>
  <c i="24" r="O56"/>
  <c i="24" r="E30"/>
  <c i="24" r="R25"/>
  <c i="24" r="R64" s="1"/>
  <c i="24" r="Q25"/>
  <c i="24" r="P25"/>
  <c i="24" r="O25"/>
  <c i="24" r="O51" s="1"/>
  <c i="24" r="R24"/>
  <c i="24" r="Q24"/>
  <c i="24" r="Q63" s="1"/>
  <c i="24" r="P24"/>
  <c i="24" r="O24"/>
  <c i="24" r="I88" s="1"/>
  <c i="24" r="R23"/>
  <c i="24" r="Q23"/>
  <c i="24" r="Q62" s="1"/>
  <c i="24" r="P23"/>
  <c i="24" r="O23"/>
  <c i="24" r="R22"/>
  <c i="24" r="Q22"/>
  <c i="24" r="P22"/>
  <c i="24" r="O22"/>
  <c i="24" r="R21"/>
  <c i="24" r="R60" s="1"/>
  <c i="24" r="Q21"/>
  <c i="24" r="Q60" s="1"/>
  <c i="24" r="P21"/>
  <c i="24" r="P60" s="1"/>
  <c i="24" r="O21"/>
  <c i="24" r="R20"/>
  <c i="24" r="R19"/>
  <c i="24" r="Q19"/>
  <c i="24" r="P19"/>
  <c i="24" r="P58" s="1"/>
  <c i="24" r="O19"/>
  <c i="24" r="R18"/>
  <c i="24" r="Q18"/>
  <c i="24" r="Q57" s="1"/>
  <c i="24" r="P18"/>
  <c i="24" r="O18"/>
  <c i="24" r="O57" s="1"/>
  <c i="24" r="E39"/>
  <c i="24" r="C39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3" l="1" r="J84"/>
  <c i="24" r="AD37"/>
  <c i="24" r="AD49"/>
  <c i="24" r="AE49" s="1"/>
  <c i="24" r="AD45"/>
  <c i="24" r="AE45" s="1"/>
  <c i="25" r="AD15"/>
  <c i="25" r="AD12"/>
  <c i="25" r="AD17"/>
  <c i="25" r="AD9"/>
  <c i="25" r="AE9" s="1"/>
  <c i="25" r="AD11"/>
  <c i="25" r="AD19"/>
  <c i="25" r="AE19" s="1"/>
  <c i="25" r="AD14"/>
  <c i="25" r="AE14" s="1"/>
  <c i="25" r="AD3"/>
  <c i="25" r="AE3" s="1"/>
  <c i="25" r="U37"/>
  <c i="25" r="U36"/>
  <c i="25" r="AD10"/>
  <c i="25" r="AE10" s="1"/>
  <c i="25" r="AD4"/>
  <c i="25" r="AE4" s="1"/>
  <c i="24" r="AE37"/>
  <c i="24" r="I27"/>
  <c i="24" r="I39" s="1"/>
  <c i="24" r="O39" s="1"/>
  <c i="24" r="O52" s="1"/>
  <c i="24" r="O65" s="1"/>
  <c i="24" r="AD41"/>
  <c i="24" r="AE41" s="1"/>
  <c i="25" r="AE12"/>
  <c i="24" r="AD25"/>
  <c i="24" r="AE25" s="1"/>
  <c i="24" r="AD40"/>
  <c i="24" r="AE40" s="1"/>
  <c i="24" r="AD16"/>
  <c i="24" r="AE16" s="1"/>
  <c i="24" r="AD52"/>
  <c i="24" r="AE52" s="1"/>
  <c i="24" r="AD46"/>
  <c i="24" r="AE46" s="1"/>
  <c i="24" r="AD38"/>
  <c i="24" r="AE38" s="1"/>
  <c i="24" r="AD30"/>
  <c i="24" r="AE30" s="1"/>
  <c i="24" r="AD44"/>
  <c i="24" r="AE44" s="1"/>
  <c i="24" r="AD36"/>
  <c i="24" r="AE36" s="1"/>
  <c i="24" r="AD20"/>
  <c i="24" r="AE20" s="1"/>
  <c i="24" r="AD12"/>
  <c i="24" r="AE12" s="1"/>
  <c i="24" r="AD4"/>
  <c i="24" r="AE4" s="1"/>
  <c i="24" r="AD48"/>
  <c i="24" r="AE48" s="1"/>
  <c i="24" r="AD43"/>
  <c i="24" r="AE43" s="1"/>
  <c i="24" r="AD11"/>
  <c i="24" r="AE11" s="1"/>
  <c i="24" r="AD55"/>
  <c i="24" r="AE55" s="1"/>
  <c i="24" r="AD42"/>
  <c i="24" r="AE42" s="1"/>
  <c i="24" r="AD26"/>
  <c i="24" r="AE26" s="1"/>
  <c i="24" r="AD10"/>
  <c i="24" r="AE10" s="1"/>
  <c i="24" r="AD54"/>
  <c i="24" r="AE54" s="1"/>
  <c i="24" r="J27"/>
  <c i="24" r="J39" s="1"/>
  <c i="24" r="AD9"/>
  <c i="24" r="AE9" s="1"/>
  <c i="24" r="AD53"/>
  <c i="24" r="AE53" s="1"/>
  <c i="24" r="AD3"/>
  <c i="24" r="AE3" s="1"/>
  <c i="24" r="AD47"/>
  <c i="24" r="AE47" s="1"/>
  <c i="24" r="AD39"/>
  <c i="24" r="AE39" s="1"/>
  <c i="24" r="AD23"/>
  <c i="24" r="AE23" s="1"/>
  <c i="24" r="AD15"/>
  <c i="24" r="AE15" s="1"/>
  <c i="24" r="AD51"/>
  <c i="24" r="AE51" s="1"/>
  <c i="24" r="AD50"/>
  <c i="24" r="AE50" s="1"/>
  <c i="25" r="Q78"/>
  <c i="25" r="O78"/>
  <c i="25" r="P78"/>
  <c i="25" r="R78"/>
  <c i="24" r="D34"/>
  <c i="24" r="D39"/>
  <c i="24" r="O78"/>
  <c i="24" r="Q78"/>
  <c i="24" r="R78"/>
  <c i="24" r="U50"/>
  <c i="24" r="U49"/>
  <c i="24" r="U48"/>
  <c i="24" r="P78"/>
  <c i="25" r="R89"/>
  <c i="25" r="R64"/>
  <c i="25" r="AE11"/>
  <c i="24" r="I82"/>
  <c i="25" r="AE17"/>
  <c i="23" r="D26"/>
  <c i="23" r="D35" s="1"/>
  <c i="25" r="AE15"/>
  <c i="23" r="K26"/>
  <c i="23" r="K37" s="1"/>
  <c i="23" r="J82"/>
  <c i="24" r="O31"/>
  <c i="23" r="K85"/>
  <c i="23" r="Q62"/>
  <c i="23" r="K84"/>
  <c i="24" r="L84"/>
  <c i="23" r="O86"/>
  <c i="23" r="O63"/>
  <c i="24" r="K34"/>
  <c i="23" r="P86"/>
  <c i="23" r="P63"/>
  <c i="23" r="L85"/>
  <c i="25" r="O76"/>
  <c i="24" r="P89"/>
  <c i="24" r="P64"/>
  <c i="23" r="Q80"/>
  <c i="23" r="Q57"/>
  <c i="24" r="Q86"/>
  <c i="24" r="Q61"/>
  <c i="24" r="Q89"/>
  <c i="24" r="Q64"/>
  <c i="23" r="R86"/>
  <c i="23" r="R63"/>
  <c i="23" r="O31"/>
  <c i="23" r="I82"/>
  <c i="23" r="O59"/>
  <c i="24" r="I85"/>
  <c i="24" r="O60"/>
  <c i="23" r="Q33"/>
  <c i="23" r="Q58"/>
  <c i="23" r="L84"/>
  <c i="25" r="R71"/>
  <c i="23" r="Q86"/>
  <c i="23" r="Q63"/>
  <c i="24" r="J88"/>
  <c i="23" r="Q83"/>
  <c i="23" r="Q60"/>
  <c i="23" r="K82"/>
  <c i="23" r="Q59"/>
  <c i="23" r="L82"/>
  <c i="23" r="R59"/>
  <c i="24" r="O89"/>
  <c i="24" r="O64"/>
  <c i="24" r="U47"/>
  <c i="23" r="I85"/>
  <c i="24" r="R89"/>
  <c i="23" r="C26"/>
  <c i="23" r="C37" s="1"/>
  <c i="23" r="U36"/>
  <c i="23" r="U38"/>
  <c i="25" r="P70"/>
  <c i="24" r="Q77"/>
  <c i="25" r="R70"/>
  <c i="23" r="AD25"/>
  <c i="23" r="AE25" s="1"/>
  <c i="23" r="Q32"/>
  <c i="23" r="I79"/>
  <c i="24" r="P75"/>
  <c i="24" r="R75"/>
  <c i="23" r="Q45"/>
  <c i="23" r="K81"/>
  <c i="23" r="Q48"/>
  <c i="23" r="L81"/>
  <c i="23" r="R51"/>
  <c i="25" r="O75"/>
  <c i="23" r="U31"/>
  <c i="23" r="O51"/>
  <c i="23" r="O73"/>
  <c i="23" r="I26"/>
  <c i="23" r="I34" s="1"/>
  <c i="25" r="P75"/>
  <c i="24" r="Q75"/>
  <c i="23" r="J26"/>
  <c i="23" r="J33" s="1"/>
  <c i="23" r="P51"/>
  <c i="23" r="Q51"/>
  <c i="23" r="E26"/>
  <c i="23" r="E33" s="1"/>
  <c i="25" r="R75"/>
  <c i="25" r="R51"/>
  <c i="25" r="O70"/>
  <c i="25" r="Q75"/>
  <c i="25" r="R77"/>
  <c i="25" r="Q70"/>
  <c i="25" r="P76"/>
  <c i="25" r="Q76"/>
  <c i="25" r="R76"/>
  <c i="25" r="C40"/>
  <c i="25" r="Q71"/>
  <c i="25" r="K84"/>
  <c i="25" r="I87"/>
  <c i="25" r="K87"/>
  <c i="25" r="I88"/>
  <c i="25" r="L87"/>
  <c i="25" r="U32"/>
  <c i="25" r="O71"/>
  <c i="25" r="O77"/>
  <c i="25" r="Q77"/>
  <c i="25" r="P71"/>
  <c i="25" r="P77"/>
  <c i="25" r="J87"/>
  <c i="25" r="L84"/>
  <c i="25" r="U35"/>
  <c i="25" r="O72"/>
  <c i="25" r="P72"/>
  <c i="25" r="K40"/>
  <c i="25" r="Q72"/>
  <c i="25" r="Q84"/>
  <c i="25" r="Q87"/>
  <c i="25" r="R72"/>
  <c i="25" r="U34"/>
  <c i="25" r="O73"/>
  <c i="25" r="I82"/>
  <c i="25" r="I85"/>
  <c i="25" r="P73"/>
  <c i="25" r="J82"/>
  <c i="25" r="J85"/>
  <c i="25" r="J88"/>
  <c i="25" r="Q73"/>
  <c i="25" r="K82"/>
  <c i="25" r="K85"/>
  <c i="25" r="K88"/>
  <c i="25" r="R73"/>
  <c i="25" r="L82"/>
  <c i="25" r="L85"/>
  <c i="25" r="L88"/>
  <c i="25" r="O74"/>
  <c i="25" r="O82"/>
  <c i="25" r="P74"/>
  <c i="25" r="P82"/>
  <c i="25" r="P85"/>
  <c i="25" r="U33"/>
  <c i="25" r="Q74"/>
  <c i="25" r="Q88"/>
  <c i="25" r="R74"/>
  <c i="25" r="Q85"/>
  <c i="25" r="I83"/>
  <c i="25" r="I86"/>
  <c i="25" r="I89"/>
  <c i="25" r="R34"/>
  <c i="25" r="R47" s="1"/>
  <c i="25" r="R85" s="1"/>
  <c i="25" r="R38"/>
  <c i="25" r="J83"/>
  <c i="25" r="J86"/>
  <c i="25" r="J89"/>
  <c i="25" r="U31"/>
  <c i="25" r="K83"/>
  <c i="25" r="K86"/>
  <c i="25" r="K89"/>
  <c i="25" r="L83"/>
  <c i="25" r="L86"/>
  <c i="25" r="L89"/>
  <c i="25" r="O88"/>
  <c i="25" r="P88"/>
  <c i="24" r="E32"/>
  <c i="24" r="E37"/>
  <c i="24" r="D32"/>
  <c i="24" r="D37"/>
  <c i="24" r="C32"/>
  <c i="24" r="C37"/>
  <c i="24" r="C36"/>
  <c i="24" r="K84"/>
  <c i="24" r="P51"/>
  <c i="24" r="J87"/>
  <c i="24" r="K87"/>
  <c i="24" r="R51"/>
  <c i="24" r="Q51"/>
  <c i="24" r="Q48"/>
  <c i="24" r="L87"/>
  <c i="24" r="Q35"/>
  <c i="24" r="O76"/>
  <c i="24" r="P76"/>
  <c i="24" r="P70"/>
  <c i="24" r="Q70"/>
  <c i="24" r="Q76"/>
  <c i="24" r="R70"/>
  <c i="24" r="R76"/>
  <c i="24" r="O75"/>
  <c i="24" r="O70"/>
  <c i="24" r="K82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C33"/>
  <c i="24" r="C34"/>
  <c i="24" r="C31"/>
  <c i="24" r="E31"/>
  <c i="24" r="E33"/>
  <c i="24" r="E40"/>
  <c i="24" r="E34"/>
  <c i="24" r="E35"/>
  <c i="24" r="D36"/>
  <c i="24" r="E36"/>
  <c i="24" r="D33"/>
  <c i="24" r="C38"/>
  <c i="24" r="D38"/>
  <c i="24" r="D31"/>
  <c i="24" r="D35"/>
  <c i="24" r="E38"/>
  <c i="24" r="C35"/>
  <c i="24" r="P71"/>
  <c i="24" r="U34"/>
  <c i="24" r="U44"/>
  <c i="24" r="O71"/>
  <c i="24" r="O77"/>
  <c i="24" r="I87"/>
  <c i="24" r="Q36"/>
  <c i="24" r="U42"/>
  <c i="24" r="O72"/>
  <c i="24" r="U39"/>
  <c i="24" r="P72"/>
  <c i="24" r="P77"/>
  <c i="24" r="U33"/>
  <c i="24" r="Q72"/>
  <c i="24" r="Q87"/>
  <c i="24" r="R77"/>
  <c i="24" r="R72"/>
  <c i="24" r="U36"/>
  <c i="24" r="U40"/>
  <c i="24" r="O73"/>
  <c i="24" r="Q71"/>
  <c i="24" r="P73"/>
  <c i="24" r="J82"/>
  <c i="24" r="J85"/>
  <c i="24" r="U45"/>
  <c i="24" r="Q73"/>
  <c i="24" r="K85"/>
  <c i="24" r="K88"/>
  <c i="24" r="R73"/>
  <c i="24" r="L82"/>
  <c i="24" r="L85"/>
  <c i="24" r="L88"/>
  <c i="24" r="U32"/>
  <c i="24" r="O74"/>
  <c i="24" r="O82"/>
  <c i="24" r="P74"/>
  <c i="24" r="P85"/>
  <c i="24" r="O34"/>
  <c i="24" r="O47" s="1"/>
  <c i="24" r="O85" s="1"/>
  <c i="24" r="O38"/>
  <c i="24" r="U37"/>
  <c i="24" r="O44"/>
  <c i="24" r="U43"/>
  <c i="24" r="Q49"/>
  <c i="24" r="Q74"/>
  <c i="24" r="Q88"/>
  <c i="24" r="P34"/>
  <c i="24" r="P38"/>
  <c i="24" r="R74"/>
  <c i="24" r="Q34"/>
  <c i="24" r="Q47" s="1"/>
  <c i="24" r="Q38"/>
  <c i="24" r="U46"/>
  <c i="24" r="I83"/>
  <c i="24" r="I86"/>
  <c i="24" r="I89"/>
  <c i="24" r="R38"/>
  <c i="24" r="J83"/>
  <c i="24" r="J86"/>
  <c i="24" r="J89"/>
  <c i="24" r="R71"/>
  <c i="24" r="U31"/>
  <c i="24" r="U35"/>
  <c i="24" r="U41"/>
  <c i="24" r="K83"/>
  <c i="24" r="K86"/>
  <c i="24" r="K89"/>
  <c i="24" r="L83"/>
  <c i="24" r="L86"/>
  <c i="24" r="L89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4" l="1" r="I33"/>
  <c i="24" r="O90"/>
  <c i="24" r="V49" s="1"/>
  <c i="24" r="AD34" s="1"/>
  <c i="24" r="AE34" s="1"/>
  <c i="24" r="P39"/>
  <c i="24" r="P52" s="1"/>
  <c i="24" r="P65" s="1"/>
  <c i="24" r="P90" s="1"/>
  <c i="24" r="V50" s="1"/>
  <c i="24" r="AD35" s="1"/>
  <c i="24" r="AE35" s="1"/>
  <c i="23" r="I32"/>
  <c i="23" r="I37"/>
  <c i="23" r="O37" s="1"/>
  <c i="23" r="O50" s="1"/>
  <c i="23" r="O62" s="1"/>
  <c i="23" r="I36"/>
  <c i="23" r="I33"/>
  <c i="23" r="I35"/>
  <c i="23" r="I31"/>
  <c i="23" r="I38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3" r="O36" s="1"/>
  <c i="23" r="O49" s="1"/>
  <c i="23" r="O61" s="1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D32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O35" s="1"/>
  <c i="24" r="O48" s="1"/>
  <c i="24" r="O61" s="1"/>
  <c i="24" r="I38"/>
  <c i="24" r="I34"/>
  <c i="24" r="I36"/>
  <c i="24" r="O36" s="1"/>
  <c i="24" r="O49" s="1"/>
  <c i="24" r="O62" s="1"/>
  <c i="24" r="I32"/>
  <c i="24" r="O32" s="1"/>
  <c i="24" r="O45" s="1"/>
  <c i="24" r="O58" s="1"/>
  <c i="24" r="I37"/>
  <c i="24" r="O37" s="1"/>
  <c i="24" r="O50" s="1"/>
  <c i="24" r="O63" s="1"/>
  <c i="24" r="K37"/>
  <c i="24" r="K33"/>
  <c i="23" r="J38"/>
  <c i="25" r="P86"/>
  <c i="25" r="Q82"/>
  <c i="25" r="O83"/>
  <c i="25" r="O86"/>
  <c i="25" r="O84"/>
  <c i="25" r="O85"/>
  <c i="25" r="P87"/>
  <c i="25" r="O87"/>
  <c i="25" r="J40"/>
  <c i="25" r="P83"/>
  <c i="25" r="D40"/>
  <c i="25" r="I40"/>
  <c i="24" r="O33"/>
  <c i="24" r="O46" s="1"/>
  <c i="24" r="Q85"/>
  <c i="24" r="J34"/>
  <c i="24" r="J31"/>
  <c i="24" r="P31" s="1"/>
  <c i="24" r="P44" s="1"/>
  <c i="24" r="P57" s="1"/>
  <c i="24" r="Q31"/>
  <c i="24" r="Q44" s="1"/>
  <c i="24" r="Q82" s="1"/>
  <c i="24" r="J38"/>
  <c i="24" r="J36"/>
  <c i="24" r="P36" s="1"/>
  <c i="24" r="P49" s="1"/>
  <c i="24" r="P62" s="1"/>
  <c i="24" r="C40"/>
  <c i="24" r="J35"/>
  <c i="24" r="P35" s="1"/>
  <c i="24" r="P48" s="1"/>
  <c i="24" r="P61" s="1"/>
  <c i="24" r="J33"/>
  <c i="24" r="P33" s="1"/>
  <c i="24" r="P46" s="1"/>
  <c i="24" r="J37"/>
  <c i="24" r="P37" s="1"/>
  <c i="24" r="P50" s="1"/>
  <c i="24" r="P63" s="1"/>
  <c i="24" r="J32"/>
  <c i="24" r="P32" s="1"/>
  <c i="24" r="P45" s="1"/>
  <c i="24" r="P83" s="1"/>
  <c i="24" r="D40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I39"/>
  <c i="23" r="P32"/>
  <c i="23" r="P45" s="1"/>
  <c i="23" r="P57" s="1"/>
  <c i="23" r="P31"/>
  <c i="23" r="P44" s="1"/>
  <c i="23" r="P56" s="1"/>
  <c i="23" r="C39"/>
  <c i="23" r="O32"/>
  <c i="23" r="O45" s="1"/>
  <c i="23" r="O57" s="1"/>
  <c i="23" r="O58" s="1"/>
  <c i="23" r="P37"/>
  <c i="23" r="P50" s="1"/>
  <c i="23" r="P62" s="1"/>
  <c i="24" r="Q32"/>
  <c i="24" r="Q45" s="1"/>
  <c i="24" r="Q58" s="1"/>
  <c i="23" r="D39"/>
  <c i="23" r="P49"/>
  <c i="23" r="P61" s="1"/>
  <c i="24" r="O59"/>
  <c i="23" r="K39"/>
  <c i="23" r="J39"/>
  <c i="24" r="I40"/>
  <c i="24" r="K40"/>
  <c i="24" r="Q33"/>
  <c i="24" r="Q46" s="1"/>
  <c i="25" r="P84"/>
  <c i="24" r="P84"/>
  <c i="23" r="AD24"/>
  <c i="23" r="AE24" s="1"/>
  <c i="24" r="J40"/>
  <c i="24" l="1" r="Q59"/>
  <c i="21" l="1" r="P20"/>
  <c i="21" r="AA54"/>
  <c i="21" r="AB54"/>
  <c i="21" r="AC54"/>
  <c i="21" r="AA48"/>
  <c i="21" r="AB48"/>
  <c i="21" r="AC48"/>
  <c i="21" r="AA49"/>
  <c i="21" r="AB49"/>
  <c i="21" r="AC49"/>
  <c i="21" r="AA50"/>
  <c i="21" r="AB50"/>
  <c i="21" r="AC50"/>
  <c i="21" r="AA51"/>
  <c i="21" r="AB51"/>
  <c i="21" r="AC51"/>
  <c i="21" r="AA52"/>
  <c i="21" r="AB52"/>
  <c i="21" r="AC52"/>
  <c i="21" r="AA53"/>
  <c i="21" r="AB53"/>
  <c i="21" r="AC53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B43"/>
  <c i="21" r="AC43"/>
  <c i="21" r="AA44"/>
  <c i="21" r="AB44"/>
  <c i="21" r="AC44"/>
  <c i="21" r="AA45"/>
  <c i="21" r="AB45"/>
  <c i="21" r="AC45"/>
  <c i="21" r="AA46"/>
  <c i="21" r="AB46"/>
  <c i="21" r="AC46"/>
  <c i="21" r="AA47"/>
  <c i="21" r="AB47"/>
  <c i="21" r="AC47"/>
  <c i="21" r="AC3"/>
  <c i="21" r="AB3"/>
  <c i="21" r="AA3"/>
  <c i="21" r="K25"/>
  <c i="21" r="J25"/>
  <c i="21" r="I25"/>
  <c i="21" r="K24"/>
  <c i="21" r="J24"/>
  <c i="21" r="I24"/>
  <c i="21" r="K23"/>
  <c i="21" r="J23"/>
  <c i="21" r="I23"/>
  <c i="21" r="K22"/>
  <c i="21" r="J22"/>
  <c i="21" r="I22"/>
  <c i="21" r="K21"/>
  <c i="21" r="J21"/>
  <c i="21" r="I21"/>
  <c i="21" r="K20"/>
  <c i="21" r="J20"/>
  <c i="21" r="I20"/>
  <c i="21" r="K19"/>
  <c i="21" r="J19"/>
  <c i="21" r="I19"/>
  <c i="21" r="K18"/>
  <c i="21" r="J18"/>
  <c i="21" r="I18"/>
  <c i="21" r="J84"/>
  <c i="21" r="I84"/>
  <c i="21" r="R69"/>
  <c i="21" r="R81" s="1"/>
  <c i="21" r="Q69"/>
  <c i="21" r="Q81" s="1"/>
  <c i="21" r="P69"/>
  <c i="21" r="P81" s="1"/>
  <c i="21" r="O69"/>
  <c i="21" r="O81" s="1"/>
  <c i="21" r="R56"/>
  <c i="21" r="Q56"/>
  <c i="21" r="P56"/>
  <c i="21" r="O56"/>
  <c i="21" r="E30"/>
  <c i="21" r="R25"/>
  <c i="21" r="Q25"/>
  <c i="21" r="P25"/>
  <c i="21" r="O25"/>
  <c i="21" r="R24"/>
  <c i="21" r="Q24"/>
  <c i="21" r="Q63" s="1"/>
  <c i="21" r="P24"/>
  <c i="21" r="O24"/>
  <c i="21" r="R23"/>
  <c i="21" r="Q23"/>
  <c i="21" r="P23"/>
  <c i="21" r="O23"/>
  <c i="21" r="R22"/>
  <c i="21" r="Q22"/>
  <c i="21" r="P22"/>
  <c i="21" r="O22"/>
  <c i="21" r="R21"/>
  <c i="21" r="R60" s="1"/>
  <c i="21" r="Q21"/>
  <c i="21" r="Q60" s="1"/>
  <c i="21" r="P21"/>
  <c i="21" r="P60" s="1"/>
  <c i="21" r="O21"/>
  <c i="21" r="R20"/>
  <c i="21" r="Q20"/>
  <c i="21" r="R19"/>
  <c i="21" r="Q19"/>
  <c i="21" r="P19"/>
  <c i="21" r="O19"/>
  <c i="21" r="R18"/>
  <c i="21" r="Q18"/>
  <c i="21" r="Q57" s="1"/>
  <c i="21" r="P18"/>
  <c i="21" r="O18"/>
  <c i="21" r="O57" s="1"/>
  <c i="21" r="H16"/>
  <c i="21" l="1" r="AD36"/>
  <c i="21" r="AE36" s="1"/>
  <c i="21" r="AD20"/>
  <c i="21" r="AE20" s="1"/>
  <c i="21" r="AD4"/>
  <c i="21" r="AE4" s="1"/>
  <c i="21" r="AD44"/>
  <c i="21" r="AE44" s="1"/>
  <c i="21" r="AD40"/>
  <c i="21" r="AE40" s="1"/>
  <c i="21" r="AD24"/>
  <c i="21" r="AE24" s="1"/>
  <c i="21" r="AD47"/>
  <c i="21" r="AE47" s="1"/>
  <c i="21" r="AD45"/>
  <c i="21" r="AE45" s="1"/>
  <c i="21" r="AD29"/>
  <c i="21" r="AE29" s="1"/>
  <c i="21" r="AD13"/>
  <c i="21" r="AE13" s="1"/>
  <c i="21" r="AD26"/>
  <c i="21" r="AE26" s="1"/>
  <c i="21" r="AD50"/>
  <c i="21" r="AE50" s="1"/>
  <c i="21" r="AD15"/>
  <c i="21" r="AE15" s="1"/>
  <c i="21" r="AD19"/>
  <c i="21" r="AE19" s="1"/>
  <c i="21" r="AD52"/>
  <c i="21" r="AE52" s="1"/>
  <c i="21" r="AD54"/>
  <c i="21" r="AE54" s="1"/>
  <c i="21" r="AD25"/>
  <c i="21" r="AE25" s="1"/>
  <c i="21" r="AD46"/>
  <c i="21" r="AE46" s="1"/>
  <c i="21" r="AD30"/>
  <c i="21" r="AE30" s="1"/>
  <c i="21" r="AD53"/>
  <c i="21" r="AE53" s="1"/>
  <c i="21" r="AD51"/>
  <c i="21" r="AE51" s="1"/>
  <c i="21" r="I27"/>
  <c i="21" r="I39" s="1"/>
  <c i="21" r="O39" s="1"/>
  <c i="21" r="O52" s="1"/>
  <c i="21" r="O65" s="1"/>
  <c i="21" r="AD3"/>
  <c i="21" r="AE3" s="1"/>
  <c i="21" r="U53"/>
  <c i="21" r="U52"/>
  <c i="21" r="O78"/>
  <c i="21" r="P78"/>
  <c i="21" r="U51"/>
  <c i="21" r="Q78"/>
  <c i="21" r="R78"/>
  <c i="21" r="K27"/>
  <c i="21" r="K39" s="1"/>
  <c i="21" r="J27"/>
  <c i="21" r="J39" s="1"/>
  <c i="21" r="P39" s="1"/>
  <c i="21" r="P52" s="1"/>
  <c i="21" r="P65" s="1"/>
  <c i="21" r="AD49"/>
  <c i="21" r="AE49" s="1"/>
  <c i="21" r="AD48"/>
  <c i="21" r="AE48" s="1"/>
  <c i="21" r="Q33"/>
  <c i="21" r="Q59"/>
  <c i="21" r="L84"/>
  <c i="21" r="J87"/>
  <c i="21" r="I88"/>
  <c i="21" r="L87"/>
  <c i="21" r="I85"/>
  <c i="21" r="O60"/>
  <c i="21" r="Q89"/>
  <c i="21" r="Q64"/>
  <c i="21" r="Q86"/>
  <c i="21" r="Q61"/>
  <c i="21" r="K87"/>
  <c i="21" r="Q62"/>
  <c i="21" r="J88"/>
  <c i="21" r="Q83"/>
  <c i="21" r="Q58"/>
  <c i="21" r="Q35"/>
  <c i="21" r="Q51"/>
  <c i="21" r="O31"/>
  <c i="21" r="P71"/>
  <c i="21" r="Q32"/>
  <c i="21" r="U50"/>
  <c i="21" r="D33"/>
  <c i="21" r="Q45"/>
  <c i="21" r="K84"/>
  <c i="21" r="P75"/>
  <c i="21" r="Q75"/>
  <c i="21" r="R75"/>
  <c i="21" r="Q48"/>
  <c i="21" r="C34"/>
  <c i="21" r="O34" s="1"/>
  <c i="21" r="O47" s="1"/>
  <c i="21" r="E31"/>
  <c i="21" r="P70"/>
  <c i="21" r="O76"/>
  <c i="21" r="P77"/>
  <c i="21" r="O70"/>
  <c i="21" r="R76"/>
  <c i="21" r="P76"/>
  <c i="21" r="Q76"/>
  <c i="21" r="R70"/>
  <c i="21" r="Q70"/>
  <c i="21" r="O75"/>
  <c i="21" r="U33"/>
  <c i="21" r="U37"/>
  <c i="21" r="U47"/>
  <c i="21" r="O71"/>
  <c i="21" r="O77"/>
  <c i="21" r="I87"/>
  <c i="21" r="Q77"/>
  <c i="21" r="Q36"/>
  <c i="21" r="U45"/>
  <c i="21" r="O72"/>
  <c i="21" r="P72"/>
  <c i="21" r="U36"/>
  <c i="21" r="Q72"/>
  <c i="21" r="Q84"/>
  <c i="21" r="Q87"/>
  <c i="21" r="R72"/>
  <c i="21" r="U39"/>
  <c i="21" r="U43"/>
  <c i="21" r="O73"/>
  <c i="21" r="I82"/>
  <c i="21" r="P73"/>
  <c i="21" r="J82"/>
  <c i="21" r="J85"/>
  <c i="21" r="U48"/>
  <c i="21" r="Q73"/>
  <c i="21" r="K82"/>
  <c i="21" r="K85"/>
  <c i="21" r="K88"/>
  <c i="21" r="U42"/>
  <c i="21" r="U32"/>
  <c i="21" r="R73"/>
  <c i="21" r="L82"/>
  <c i="21" r="L85"/>
  <c i="21" r="L88"/>
  <c i="21" r="U31"/>
  <c i="21" r="U35"/>
  <c i="21" r="Q46"/>
  <c i="21" r="O74"/>
  <c i="21" r="O82"/>
  <c i="21" r="P74"/>
  <c i="21" r="P85"/>
  <c i="21" r="U40"/>
  <c i="21" r="O44"/>
  <c i="21" r="U46"/>
  <c i="21" r="Q49"/>
  <c i="21" r="Q74"/>
  <c i="21" r="Q88"/>
  <c i="21" r="P34"/>
  <c i="21" r="R74"/>
  <c i="21" r="R77"/>
  <c i="21" r="Q38"/>
  <c i="21" r="U49"/>
  <c i="21" r="I83"/>
  <c i="21" r="I86"/>
  <c i="21" r="I89"/>
  <c i="21" r="R71"/>
  <c i="21" r="J83"/>
  <c i="21" r="J86"/>
  <c i="21" r="J89"/>
  <c i="21" r="U34"/>
  <c i="21" r="U38"/>
  <c i="21" r="U44"/>
  <c i="21" r="K83"/>
  <c i="21" r="K86"/>
  <c i="21" r="K89"/>
  <c i="21" r="L83"/>
  <c i="21" r="L86"/>
  <c i="21" r="L89"/>
  <c i="21" r="Q71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AC39"/>
  <c i="20" r="AC40"/>
  <c i="20" r="AC41"/>
  <c i="20" r="AC42"/>
  <c i="20" r="AC43"/>
  <c i="20" r="AC44"/>
  <c i="20" r="AC45"/>
  <c i="20" r="AC46"/>
  <c i="20" r="AC47"/>
  <c i="20" r="O19"/>
  <c i="20" r="P19"/>
  <c i="20" r="Q19"/>
  <c i="20" r="R19"/>
  <c i="20" r="Q20"/>
  <c i="20" r="R20"/>
  <c i="20" r="O21"/>
  <c i="20" r="P21"/>
  <c i="20" r="Q21"/>
  <c i="20" r="R21"/>
  <c i="20" r="O22"/>
  <c i="20" r="P22"/>
  <c i="20" r="Q22"/>
  <c i="20" r="R22"/>
  <c i="20" r="O23"/>
  <c i="20" r="P23"/>
  <c i="20" r="Q23"/>
  <c i="20" r="R23"/>
  <c i="20" r="O24"/>
  <c i="20" r="P24"/>
  <c i="20" r="Q24"/>
  <c i="20" r="R24"/>
  <c i="20" r="O25"/>
  <c i="20" r="P25"/>
  <c i="20" r="Q25"/>
  <c i="20" r="R25"/>
  <c i="20" r="P18"/>
  <c i="20" r="Q18"/>
  <c i="20" r="R18"/>
  <c i="20" r="O18"/>
  <c i="20" r="I84"/>
  <c i="20" r="J84"/>
  <c i="21" l="1" r="P90"/>
  <c i="21" r="V53" s="1"/>
  <c i="21" r="J31"/>
  <c i="21" r="I36"/>
  <c i="21" r="K35"/>
  <c i="21" r="O90"/>
  <c i="21" r="V52" s="1"/>
  <c i="21" r="AD42" s="1"/>
  <c i="21" r="AE42" s="1"/>
  <c i="21" r="K32"/>
  <c i="21" r="K37"/>
  <c i="21" r="K31"/>
  <c i="21" r="I33"/>
  <c i="21" r="I37"/>
  <c i="21" r="D37"/>
  <c i="21" r="K33"/>
  <c i="20" r="K85"/>
  <c i="20" r="I85"/>
  <c i="20" r="L83"/>
  <c i="21" r="K38"/>
  <c i="21" r="K36"/>
  <c i="20" r="L82"/>
  <c i="20" r="P51"/>
  <c i="20" r="P64"/>
  <c i="20" r="Q33"/>
  <c i="20" r="Q59"/>
  <c i="20" r="Q83"/>
  <c i="20" r="Q58"/>
  <c i="20" r="I82"/>
  <c i="20" r="O57"/>
  <c i="20" r="K82"/>
  <c i="20" r="I88"/>
  <c i="20" r="L85"/>
  <c i="21" r="I38"/>
  <c i="21" r="I32"/>
  <c i="20" r="K88"/>
  <c i="20" r="Q63"/>
  <c i="20" r="K87"/>
  <c i="20" r="Q62"/>
  <c i="20" r="I87"/>
  <c i="21" r="D34"/>
  <c i="20" r="P34"/>
  <c i="20" r="P60"/>
  <c i="20" r="I83"/>
  <c i="20" r="I89"/>
  <c i="20" r="O64"/>
  <c i="20" r="J87"/>
  <c i="20" r="L86"/>
  <c i="21" r="K34"/>
  <c i="20" r="K86"/>
  <c i="20" r="Q61"/>
  <c i="20" r="J82"/>
  <c i="20" r="P57"/>
  <c i="20" r="L88"/>
  <c i="20" r="J88"/>
  <c i="20" r="L87"/>
  <c i="20" r="J86"/>
  <c i="20" r="R89"/>
  <c i="20" r="R64"/>
  <c i="20" r="Q51"/>
  <c i="20" r="Q64"/>
  <c i="20" r="I86"/>
  <c i="21" r="D35"/>
  <c i="21" r="D31"/>
  <c i="21" r="D32"/>
  <c i="21" r="D38"/>
  <c i="21" r="I31"/>
  <c i="21" r="I34"/>
  <c i="21" r="C36"/>
  <c i="21" r="D36"/>
  <c i="21" r="C37"/>
  <c i="21" r="E37"/>
  <c i="21" r="I35"/>
  <c i="21" r="E32"/>
  <c i="21" r="E36"/>
  <c i="21" r="E38"/>
  <c i="21" r="E40"/>
  <c i="21" r="E35"/>
  <c i="21" r="C32"/>
  <c i="21" r="E34"/>
  <c i="21" r="C38"/>
  <c i="21" r="E33"/>
  <c i="21" r="C31"/>
  <c i="21" r="C35"/>
  <c i="21" r="C33"/>
  <c i="21" r="R85"/>
  <c i="21" r="O85"/>
  <c i="21" r="Q34"/>
  <c i="21" r="Q47" s="1"/>
  <c i="21" r="Q85" s="1"/>
  <c i="21" r="J34"/>
  <c i="21" r="Q31"/>
  <c i="21" r="Q44" s="1"/>
  <c i="21" r="Q82" s="1"/>
  <c i="21" r="J37"/>
  <c i="21" r="J35"/>
  <c i="21" r="J36"/>
  <c i="21" r="J32"/>
  <c i="21" r="J38"/>
  <c i="21" r="J33"/>
  <c i="21" r="P33" s="1"/>
  <c i="21" r="P46" s="1"/>
  <c i="21" r="P59" s="1"/>
  <c i="20" r="Q86"/>
  <c i="20" r="J83"/>
  <c i="20" r="O89"/>
  <c i="20" r="Q38"/>
  <c i="20" r="P38"/>
  <c i="20" r="O38"/>
  <c i="20" r="Q35"/>
  <c i="20" r="Q32"/>
  <c i="20" r="O51"/>
  <c i="20" r="L89"/>
  <c i="20" r="J89"/>
  <c i="20" r="P89"/>
  <c i="20" r="K89"/>
  <c i="20" r="Q89"/>
  <c i="20" r="P31"/>
  <c i="20" r="R38"/>
  <c i="20" r="K83"/>
  <c i="20" r="P47"/>
  <c i="20" r="O44"/>
  <c i="20" r="Q37"/>
  <c i="20" r="Q46"/>
  <c i="20" r="P44"/>
  <c i="20" r="O82"/>
  <c i="20" r="R51"/>
  <c i="20" r="P82"/>
  <c i="20" r="Q36"/>
  <c i="20" r="Q45"/>
  <c i="20" r="Q50"/>
  <c i="20" r="Q88"/>
  <c i="20" r="L84"/>
  <c i="20" r="Q84"/>
  <c i="20" r="K84"/>
  <c i="20" r="O31"/>
  <c i="20" r="Q48"/>
  <c i="20" r="Q87"/>
  <c i="20" r="P85"/>
  <c i="20" r="Q49"/>
  <c i="20" r="J85"/>
  <c i="21" l="1" r="O33"/>
  <c i="21" r="O46" s="1"/>
  <c i="21" r="P31"/>
  <c i="21" r="P44" s="1"/>
  <c i="21" r="P57" s="1"/>
  <c i="21" r="O36"/>
  <c i="21" r="O49" s="1"/>
  <c i="21" r="O62" s="1"/>
  <c i="21" r="AD43"/>
  <c i="21" r="AE43" s="1"/>
  <c i="21" r="AD33"/>
  <c i="21" r="AE33" s="1"/>
  <c i="21" r="P35"/>
  <c i="21" r="P48" s="1"/>
  <c i="21" r="P61" s="1"/>
  <c i="21" r="P37"/>
  <c i="21" r="P50" s="1"/>
  <c i="21" r="P63" s="1"/>
  <c i="21" r="K40"/>
  <c i="21" r="O37"/>
  <c i="21" r="O50" s="1"/>
  <c i="21" r="O63" s="1"/>
  <c i="21" r="O38"/>
  <c i="21" r="O51" s="1"/>
  <c i="21" r="O64" s="1"/>
  <c i="21" r="I40"/>
  <c i="21" r="O35"/>
  <c i="21" r="O48" s="1"/>
  <c i="21" r="O61" s="1"/>
  <c i="21" r="P38"/>
  <c i="21" r="P51" s="1"/>
  <c i="21" r="P64" s="1"/>
  <c i="21" r="P32"/>
  <c i="21" r="P45" s="1"/>
  <c i="21" r="P58" s="1"/>
  <c i="21" r="D40"/>
  <c i="21" r="P36"/>
  <c i="21" r="P49" s="1"/>
  <c i="21" r="P62" s="1"/>
  <c i="21" r="O32"/>
  <c i="21" r="O45" s="1"/>
  <c i="21" r="O58" s="1"/>
  <c i="21" r="O59" s="1"/>
  <c i="21" r="C40"/>
  <c i="21" r="J40"/>
  <c i="20" r="H16"/>
  <c i="20" r="P56"/>
  <c i="20" r="Q56"/>
  <c i="20" r="R56"/>
  <c i="20" r="O56"/>
  <c i="20" r="P69"/>
  <c i="20" r="P81" s="1"/>
  <c i="20" r="Q69"/>
  <c i="20" r="Q81" s="1"/>
  <c i="20" r="R69"/>
  <c i="20" r="R81" s="1"/>
  <c i="20" r="O69"/>
  <c i="20" r="O81" s="1"/>
  <c i="20" r="I19"/>
  <c i="20" r="J19"/>
  <c i="20" r="K19"/>
  <c i="20" r="I20"/>
  <c i="20" r="J20"/>
  <c i="20" r="K20"/>
  <c i="20" r="I21"/>
  <c i="20" r="J21"/>
  <c i="20" r="K21"/>
  <c i="20" r="I22"/>
  <c i="20" r="J22"/>
  <c i="20" r="K22"/>
  <c i="20" r="I23"/>
  <c i="20" r="J23"/>
  <c i="20" r="K23"/>
  <c i="20" r="I24"/>
  <c i="20" r="J24"/>
  <c i="20" r="K24"/>
  <c i="20" r="I25"/>
  <c i="20" r="J25"/>
  <c i="20" r="K25"/>
  <c i="20" r="K18"/>
  <c i="20" r="J18"/>
  <c i="20" r="I18"/>
  <c i="20" r="E30"/>
  <c i="20" r="AB47"/>
  <c i="20" r="AA47"/>
  <c i="20" r="AD47" s="1"/>
  <c i="20" r="AE47" s="1"/>
  <c i="20" r="AB46"/>
  <c i="20" r="AA46"/>
  <c i="20" r="AD46" s="1"/>
  <c i="20" r="AE46" s="1"/>
  <c i="20" r="AB45"/>
  <c i="20" r="AA45"/>
  <c i="20" r="AD45" s="1"/>
  <c i="20" r="AE45" s="1"/>
  <c i="20" r="AB44"/>
  <c i="20" r="AA44"/>
  <c i="20" r="AD44" s="1"/>
  <c i="20" r="AE44" s="1"/>
  <c i="20" r="AB43"/>
  <c i="20" r="AA43"/>
  <c i="20" r="AD43" s="1"/>
  <c i="20" r="AE43" s="1"/>
  <c i="20" r="AB42"/>
  <c i="20" r="AA42"/>
  <c i="20" r="AD42" s="1"/>
  <c i="20" r="AE42" s="1"/>
  <c i="20" r="AB41"/>
  <c i="20" r="AA41"/>
  <c i="20" r="AD41" s="1"/>
  <c i="20" r="AE41" s="1"/>
  <c i="20" r="AB40"/>
  <c i="20" r="AA40"/>
  <c i="20" r="AD40" s="1"/>
  <c i="20" r="AE40" s="1"/>
  <c i="20" r="AB39"/>
  <c i="20" r="AA39"/>
  <c i="20" r="AD39" s="1"/>
  <c i="20" r="AE39" s="1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B21"/>
  <c i="20" r="AA21"/>
  <c i="20" r="AB20"/>
  <c i="20" r="AA20"/>
  <c i="20" r="AB19"/>
  <c i="20" r="AA19"/>
  <c i="20" r="AB18"/>
  <c i="20" r="AA18"/>
  <c i="20" r="AD18" s="1"/>
  <c i="20" r="AE18" s="1"/>
  <c i="20" r="AB17"/>
  <c i="20" r="AA17"/>
  <c i="20" r="AD17" s="1"/>
  <c i="20" r="AE17" s="1"/>
  <c i="20" r="AB16"/>
  <c i="20" r="AA16"/>
  <c i="20" r="AB15"/>
  <c i="20" r="AA15"/>
  <c i="20" r="AB14"/>
  <c i="20" r="AA14"/>
  <c i="20" r="AD14" s="1"/>
  <c i="20" r="AE14" s="1"/>
  <c i="20" r="AB13"/>
  <c i="20" r="AA13"/>
  <c i="20" r="AD13" s="1"/>
  <c i="20" r="AE13" s="1"/>
  <c i="20" r="AB12"/>
  <c i="20" r="AA12"/>
  <c i="20" r="AD12" s="1"/>
  <c i="20" r="AE12" s="1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D4" s="1"/>
  <c i="20" r="AE4" s="1"/>
  <c i="20" r="AC3"/>
  <c i="20" r="AB3"/>
  <c i="20" r="AA3"/>
  <c i="20" l="1" r="AD3"/>
  <c i="20" r="AE3" s="1"/>
  <c i="20" r="U51"/>
  <c i="20" r="U53"/>
  <c i="20" r="U52"/>
  <c i="20" r="J27"/>
  <c i="20" r="J39" s="1"/>
  <c i="20" r="P39" s="1"/>
  <c i="20" r="P52" s="1"/>
  <c i="20" r="P65" s="1"/>
  <c i="20" r="K27"/>
  <c i="20" r="K39" s="1"/>
  <c i="20" r="O78"/>
  <c i="20" r="P78"/>
  <c i="20" r="Q78"/>
  <c i="20" r="R78"/>
  <c i="20" r="I27"/>
  <c i="20" r="I39" s="1"/>
  <c i="20" r="O39" s="1"/>
  <c i="20" r="O52" s="1"/>
  <c i="20" r="O65" s="1"/>
  <c i="20" r="U35"/>
  <c i="20" r="U42"/>
  <c i="20" r="U36"/>
  <c i="20" r="U37"/>
  <c i="20" r="U38"/>
  <c i="20" r="U39"/>
  <c i="20" r="U40"/>
  <c i="20" r="U41"/>
  <c i="20" r="U43"/>
  <c i="20" r="U44"/>
  <c i="20" r="U45"/>
  <c i="20" r="U46"/>
  <c i="20" r="U47"/>
  <c i="20" r="U48"/>
  <c i="20" r="U49"/>
  <c i="20" r="U50"/>
  <c i="20" r="U31"/>
  <c i="20" r="U32"/>
  <c i="20" r="U33"/>
  <c i="20" r="U34"/>
  <c i="20" r="O75"/>
  <c i="20" r="O71"/>
  <c i="20" r="Q71"/>
  <c i="20" r="P75"/>
  <c i="20" r="Q77"/>
  <c i="20" r="O70"/>
  <c i="20" r="R73"/>
  <c i="20" r="Q75"/>
  <c i="20" r="R76"/>
  <c i="20" r="P77"/>
  <c i="20" r="O72"/>
  <c i="20" r="R75"/>
  <c i="20" r="O77"/>
  <c i="20" r="R71"/>
  <c i="20" r="P72"/>
  <c i="20" r="P73"/>
  <c i="20" r="Q74"/>
  <c i="20" r="O76"/>
  <c i="20" r="Q76"/>
  <c i="20" r="P71"/>
  <c i="20" r="R77"/>
  <c i="20" r="P70"/>
  <c i="20" r="Q72"/>
  <c i="20" r="Q73"/>
  <c i="20" r="P76"/>
  <c i="20" r="Q70"/>
  <c i="20" r="P74"/>
  <c i="20" r="R74"/>
  <c i="20" r="O73"/>
  <c i="20" r="R72"/>
  <c i="20" r="R70"/>
  <c i="20" r="O74"/>
  <c i="20" r="K35"/>
  <c i="20" r="C32"/>
  <c i="20" r="D35"/>
  <c i="20" l="1" r="P90"/>
  <c i="20" r="V53" s="1"/>
  <c i="20" r="AD38" s="1"/>
  <c i="20" r="AE38" s="1"/>
  <c i="20" r="O90"/>
  <c i="20" r="V52" s="1"/>
  <c i="20" r="I34"/>
  <c i="20" r="J31"/>
  <c i="20" r="E32"/>
  <c i="20" r="E33"/>
  <c i="20" r="E34"/>
  <c i="20" r="E35"/>
  <c i="20" r="E36"/>
  <c i="20" r="I33"/>
  <c i="20" r="E37"/>
  <c i="20" r="E31"/>
  <c i="20" r="E38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C34"/>
  <c i="20" r="I37"/>
  <c i="20" r="C35"/>
  <c i="20" r="D33"/>
  <c i="20" r="D37"/>
  <c i="20" r="D38"/>
  <c i="20" r="D31"/>
  <c i="20" r="D36"/>
  <c i="20" r="C31"/>
  <c i="20" r="J35"/>
  <c i="20" r="P35" s="1"/>
  <c i="20" r="P48" s="1"/>
  <c i="20" r="P61" s="1"/>
  <c i="20" r="J34"/>
  <c i="20" r="J37"/>
  <c i="20" r="J33"/>
  <c i="20" r="J38"/>
  <c i="20" r="J32"/>
  <c i="20" r="J36"/>
  <c i="20" r="D34"/>
  <c i="20" r="C36"/>
  <c i="20" r="C33"/>
  <c i="20" r="C37"/>
  <c i="20" r="C38"/>
  <c i="20" r="D32"/>
  <c i="20" l="1" r="Q34"/>
  <c i="20" r="O33"/>
  <c i="20" r="O46" s="1"/>
  <c i="20" r="AD37"/>
  <c i="20" r="AE37" s="1"/>
  <c i="20" r="AD28"/>
  <c i="20" r="AE28" s="1"/>
  <c i="20" r="J40"/>
  <c i="20" r="E40"/>
  <c i="20" r="I40"/>
  <c i="20" r="K40"/>
  <c i="20" r="C40"/>
  <c i="20" r="D40"/>
  <c i="20" r="O34"/>
  <c i="20" r="O47" s="1"/>
  <c i="20" r="O60" s="1"/>
  <c i="20" r="P37"/>
  <c i="20" r="P50" s="1"/>
  <c i="20" r="P63" s="1"/>
  <c i="20" r="P33"/>
  <c i="20" r="P46" s="1"/>
  <c i="20" r="P32"/>
  <c i="20" r="P45" s="1"/>
  <c i="20" r="P58" s="1"/>
  <c i="20" r="P59" s="1"/>
  <c i="20" r="O35"/>
  <c i="20" r="O48" s="1"/>
  <c i="20" r="O61" s="1"/>
  <c i="20" r="O32"/>
  <c i="20" r="O45" s="1"/>
  <c i="20" r="O58" s="1"/>
  <c i="20" r="O59" s="1"/>
  <c i="20" r="O37"/>
  <c i="20" r="O50" s="1"/>
  <c i="20" r="O63" s="1"/>
  <c i="20" r="O36"/>
  <c i="20" r="O49" s="1"/>
  <c i="20" r="O62" s="1"/>
  <c i="20" r="Q31"/>
  <c i="20" r="Q44" s="1"/>
  <c i="20" r="Q57" s="1"/>
  <c i="20" r="P36"/>
  <c i="20" r="P49" s="1"/>
  <c i="20" r="P62" s="1"/>
  <c i="20" r="Q47"/>
  <c i="20" r="Q60" s="1"/>
  <c i="7" l="1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l="1" r="L18"/>
  <c i="7" r="S13"/>
  <c i="4" r="H11"/>
  <c i="4" r="H10"/>
  <c i="4" r="H9"/>
  <c i="4" r="H8"/>
  <c i="4" r="H7"/>
  <c i="11" r="J4"/>
  <c i="4" r="Q11"/>
  <c i="4" r="Q10"/>
  <c i="4" r="Q9"/>
  <c i="21" r="L23" s="1"/>
  <c i="11" r="R9" s="1"/>
  <c i="4" r="Q8"/>
  <c i="4" r="Q7"/>
  <c i="4" r="Q6"/>
  <c i="4" r="Q5"/>
  <c i="4" r="Q4"/>
  <c i="5" r="Q11"/>
  <c i="23" r="L25" s="1"/>
  <c i="11" r="S11" s="1"/>
  <c i="5" r="Q10"/>
  <c i="23" r="L24" s="1"/>
  <c i="11" r="S10" s="1"/>
  <c i="5" r="Q9"/>
  <c i="23" r="L23" s="1"/>
  <c i="11" r="S9" s="1"/>
  <c i="5" r="Q8"/>
  <c i="23" r="L22" s="1"/>
  <c i="11" r="S8" s="1"/>
  <c i="5" r="Q7"/>
  <c i="23" r="L21" s="1"/>
  <c i="11" r="S7" s="1"/>
  <c i="5" r="Q6"/>
  <c i="23" r="L20" s="1"/>
  <c i="11" r="S6" s="1"/>
  <c i="5" r="Q5"/>
  <c i="23" r="L19" s="1"/>
  <c i="11" r="S5" s="1"/>
  <c i="5" r="Q4"/>
  <c i="5" r="H11"/>
  <c i="5" r="H10"/>
  <c i="23" r="F24" s="1"/>
  <c i="5" r="H9"/>
  <c i="23" r="F23" s="1"/>
  <c i="5" r="H8"/>
  <c i="23" r="F22" s="1"/>
  <c i="5" r="H7"/>
  <c i="11" r="K4"/>
  <c i="10" r="H11"/>
  <c i="10" r="H10"/>
  <c i="10" r="H9"/>
  <c i="10" r="H8"/>
  <c i="10" r="H7"/>
  <c i="11" r="L5"/>
  <c i="11" r="L4"/>
  <c i="10" r="Q11"/>
  <c i="10" r="Q10"/>
  <c i="10" r="Q9"/>
  <c i="10" r="Q8"/>
  <c i="10" r="Q7"/>
  <c i="10" r="Q6"/>
  <c i="10" r="Q5"/>
  <c i="10" r="Q4"/>
  <c i="8" r="Q11"/>
  <c i="8" r="Q10"/>
  <c i="8" r="Q9"/>
  <c i="8" r="Q8"/>
  <c i="8" r="Q7"/>
  <c i="8" r="Q6"/>
  <c i="8" r="Q5"/>
  <c i="8" r="Q4"/>
  <c i="8" r="H11"/>
  <c i="8" r="H10"/>
  <c i="8" r="H9"/>
  <c i="8" r="H8"/>
  <c i="8" r="H7"/>
  <c i="6" r="H11"/>
  <c i="6" r="H10"/>
  <c i="6" r="H9"/>
  <c i="6" r="H8"/>
  <c i="6" r="H7"/>
  <c i="6" r="Q11"/>
  <c i="6" r="Q10"/>
  <c i="6" r="Q9"/>
  <c i="6" r="Q8"/>
  <c i="6" r="Q7"/>
  <c i="6" r="Q6"/>
  <c i="6" r="Q5"/>
  <c i="6" r="Q4"/>
  <c i="9" r="Q11"/>
  <c i="9" r="Q10"/>
  <c i="9" r="Q9"/>
  <c i="9" r="Q8"/>
  <c i="9" r="Q7"/>
  <c i="9" r="Q6"/>
  <c i="9" r="Q5"/>
  <c i="9" r="Q4"/>
  <c i="9" r="H11"/>
  <c i="9" r="H10"/>
  <c i="9" r="H9"/>
  <c i="9" r="H8"/>
  <c i="9" r="H7"/>
  <c i="7" r="I11"/>
  <c i="7" r="I10"/>
  <c i="7" r="I9"/>
  <c i="7" r="I8"/>
  <c i="7" r="I7"/>
  <c i="7" r="I6"/>
  <c i="7" r="I5"/>
  <c i="1" r="Q11"/>
  <c i="20" r="L25" s="1"/>
  <c i="11" r="Q11" s="1"/>
  <c i="1" r="Q10"/>
  <c i="1" r="Q9"/>
  <c i="20" r="L23" s="1"/>
  <c i="11" r="Q9" s="1"/>
  <c i="1" r="Q8"/>
  <c i="1" r="Q7"/>
  <c i="1" r="Q6"/>
  <c i="1" r="Q5"/>
  <c i="1" r="Q4"/>
  <c i="1" r="H11"/>
  <c i="1" r="H10"/>
  <c i="1" r="H9"/>
  <c i="1" r="H8"/>
  <c i="1" r="H7"/>
  <c i="11" r="I5"/>
  <c i="11" l="1" r="M4"/>
  <c i="11" r="I7"/>
  <c i="11" r="J11"/>
  <c i="11" r="L8"/>
  <c i="11" r="L6"/>
  <c i="11" r="J5"/>
  <c i="11" r="L10"/>
  <c i="11" r="J6"/>
  <c i="11" r="K7"/>
  <c i="11" r="J7"/>
  <c i="11" r="K8"/>
  <c i="11" r="J8"/>
  <c i="11" r="K5"/>
  <c i="11" r="K9"/>
  <c i="11" r="J9"/>
  <c i="11" r="M5"/>
  <c i="11" r="M6"/>
  <c i="11" r="M9"/>
  <c i="11" r="K10"/>
  <c i="11" r="J10"/>
  <c i="11" r="L9"/>
  <c i="11" r="K6"/>
  <c i="11" r="M10"/>
  <c i="11" r="K11"/>
  <c i="11" r="M8"/>
  <c i="11" r="L7"/>
  <c i="11" r="L11"/>
  <c i="11" r="M7"/>
  <c i="11" r="U4"/>
  <c i="25" r="L27"/>
  <c i="25" r="L39" s="1"/>
  <c i="9" r="H13"/>
  <c i="9" r="C26" s="1"/>
  <c i="6" r="H13"/>
  <c i="6" r="H26" s="1"/>
  <c i="10" r="Q13"/>
  <c i="10" r="N19" s="1"/>
  <c i="7" r="I13"/>
  <c i="11" r="I9"/>
  <c i="4" r="Q13"/>
  <c i="4" r="P26" s="1"/>
  <c i="10" r="M20"/>
  <c i="11" r="I6"/>
  <c i="11" r="I4"/>
  <c i="11" r="I8"/>
  <c i="11" r="I10"/>
  <c i="11" r="I11"/>
  <c i="6" r="Q13"/>
  <c i="6" r="O27" s="1"/>
  <c i="7" r="S26"/>
  <c i="7" r="R26"/>
  <c i="7" r="L26"/>
  <c i="7" r="Q26"/>
  <c i="7" r="N26"/>
  <c i="7" r="O26"/>
  <c i="7" r="M26"/>
  <c i="7" r="P26"/>
  <c i="9" r="Q13"/>
  <c i="8" r="Q13"/>
  <c i="8" r="Q19" s="1"/>
  <c i="8" r="U33" s="1"/>
  <c i="8" r="H13"/>
  <c i="10" r="H13"/>
  <c i="23" r="L18"/>
  <c i="11" r="S4" s="1"/>
  <c i="5" r="Q13"/>
  <c i="5" r="H13"/>
  <c i="4" r="H13"/>
  <c i="1" r="H13"/>
  <c i="1" r="Q13"/>
  <c i="24" r="L18"/>
  <c i="24" r="L19"/>
  <c i="11" r="T5" s="1"/>
  <c i="24" r="L21"/>
  <c i="11" r="T7" s="1"/>
  <c i="24" r="L20"/>
  <c i="11" r="T6" s="1"/>
  <c i="24" r="L22"/>
  <c i="11" r="T8" s="1"/>
  <c i="24" r="L23"/>
  <c i="11" r="T9" s="1"/>
  <c i="24" r="L24"/>
  <c i="11" r="T10" s="1"/>
  <c i="24" r="L25"/>
  <c i="11" r="T11" s="1"/>
  <c i="21" r="L21"/>
  <c i="11" r="R7" s="1"/>
  <c i="21" r="L24"/>
  <c i="11" r="R10" s="1"/>
  <c i="21" r="L25"/>
  <c i="11" r="R11" s="1"/>
  <c i="21" r="L22"/>
  <c i="11" r="R8" s="1"/>
  <c i="21" r="L19"/>
  <c i="11" r="R5" s="1"/>
  <c i="21" r="L18"/>
  <c i="21" r="L20"/>
  <c i="11" r="R6" s="1"/>
  <c i="20" r="L19"/>
  <c i="11" r="Q5" s="1"/>
  <c i="20" r="L18"/>
  <c i="20" r="L21"/>
  <c i="11" r="Q7" s="1"/>
  <c i="20" r="L22"/>
  <c i="11" r="Q8" s="1"/>
  <c i="20" r="L20"/>
  <c i="11" r="Q6" s="1"/>
  <c i="20" r="L24"/>
  <c i="11" r="Q10" s="1"/>
  <c i="11" r="E9"/>
  <c i="11" r="E11"/>
  <c i="11" r="E5"/>
  <c i="11" r="E10"/>
  <c i="11" r="E6"/>
  <c i="11" r="E8"/>
  <c i="11" r="E7"/>
  <c i="11" r="E4"/>
  <c i="10" l="1" r="M22"/>
  <c i="10" r="N22"/>
  <c i="6" r="B26"/>
  <c i="6" r="E26"/>
  <c i="9" r="D26"/>
  <c i="6" r="G26"/>
  <c i="6" r="C26"/>
  <c i="10" r="N21"/>
  <c i="6" r="F26"/>
  <c i="9" r="E26"/>
  <c i="6" r="D26"/>
  <c i="9" r="B26"/>
  <c i="9" r="G26"/>
  <c i="10" r="O22"/>
  <c i="9" r="H26"/>
  <c i="9" r="F26"/>
  <c i="10" r="N25"/>
  <c i="10" r="N27"/>
  <c i="10" r="M19"/>
  <c i="10" r="M25"/>
  <c i="10" r="L26"/>
  <c i="10" r="K26"/>
  <c i="10" r="O19"/>
  <c i="10" r="P19"/>
  <c i="10" r="O20"/>
  <c i="10" r="O26"/>
  <c i="10" r="O27"/>
  <c i="10" r="P20"/>
  <c i="10" r="P27"/>
  <c i="10" r="M21"/>
  <c i="10" r="P21"/>
  <c i="11" r="E13"/>
  <c i="11" r="E26" s="1"/>
  <c i="10" r="O21"/>
  <c i="10" r="N23"/>
  <c i="10" r="M18"/>
  <c i="10" r="O23"/>
  <c i="4" r="O21"/>
  <c i="4" r="P21"/>
  <c i="10" r="M24"/>
  <c i="4" r="N23"/>
  <c i="10" r="M27"/>
  <c i="10" r="M23"/>
  <c i="10" r="P23"/>
  <c i="4" r="M18"/>
  <c i="10" r="N24"/>
  <c i="10" r="O18"/>
  <c i="10" r="N26"/>
  <c i="10" r="O25"/>
  <c i="10" r="Q26"/>
  <c i="10" r="U40" s="1"/>
  <c i="10" r="P25"/>
  <c i="10" r="M26"/>
  <c i="10" r="N20"/>
  <c i="6" r="O23"/>
  <c i="6" r="O26"/>
  <c i="6" r="M22"/>
  <c i="6" r="N21"/>
  <c i="6" r="O24"/>
  <c i="6" r="N22"/>
  <c i="6" r="O25"/>
  <c i="6" r="O22"/>
  <c i="6" r="P22"/>
  <c i="6" r="O19"/>
  <c i="6" r="P27"/>
  <c i="6" r="N24"/>
  <c i="6" r="O18"/>
  <c i="6" r="P23"/>
  <c i="6" r="M25"/>
  <c i="6" r="P18"/>
  <c i="6" r="N25"/>
  <c i="6" r="P25"/>
  <c i="6" r="P26"/>
  <c i="6" r="L25"/>
  <c i="6" r="N27"/>
  <c i="6" r="P19"/>
  <c i="6" r="P24"/>
  <c i="6" r="N20"/>
  <c i="25" r="F27"/>
  <c i="25" r="F34" s="1"/>
  <c i="25" r="L31"/>
  <c i="25" r="L35"/>
  <c i="11" r="B5"/>
  <c i="11" r="B7"/>
  <c i="25" r="L32"/>
  <c i="11" r="B6"/>
  <c i="25" r="L40"/>
  <c i="25" r="L36"/>
  <c i="25" r="L37"/>
  <c i="25" r="L33"/>
  <c i="25" r="L38"/>
  <c i="25" r="L34"/>
  <c i="4" r="O19"/>
  <c i="4" r="M21"/>
  <c i="4" r="P25"/>
  <c i="4" r="N22"/>
  <c i="11" r="B9"/>
  <c i="4" r="O25"/>
  <c i="4" r="N21"/>
  <c i="4" r="N25"/>
  <c i="4" r="M23"/>
  <c i="4" r="O18"/>
  <c i="4" r="P23"/>
  <c i="4" r="Q26"/>
  <c i="4" r="U40" s="1"/>
  <c i="4" r="K26"/>
  <c i="4" r="N27"/>
  <c i="23" r="F26"/>
  <c i="4" r="M26"/>
  <c i="4" r="O24"/>
  <c i="4" r="N20"/>
  <c i="4" r="M24"/>
  <c i="4" r="O22"/>
  <c i="4" r="P18"/>
  <c i="4" r="O23"/>
  <c i="4" r="M22"/>
  <c i="11" r="M13"/>
  <c i="11" r="M26" s="1"/>
  <c i="24" r="F27"/>
  <c i="24" r="F37" s="1"/>
  <c i="4" r="M20"/>
  <c i="21" r="F27"/>
  <c i="21" r="F39" s="1"/>
  <c i="4" r="N18"/>
  <c i="4" r="P19"/>
  <c i="4" r="M27"/>
  <c i="11" r="B11"/>
  <c i="11" r="R4"/>
  <c i="21" r="L27"/>
  <c i="21" r="L39" s="1"/>
  <c i="4" r="N26"/>
  <c i="10" r="O24"/>
  <c i="6" r="O21"/>
  <c i="6" r="L26"/>
  <c i="6" r="L40" s="1"/>
  <c i="11" r="T4"/>
  <c i="24" r="L27"/>
  <c i="24" r="L39" s="1"/>
  <c i="4" r="O26"/>
  <c i="10" r="N18"/>
  <c i="6" r="P21"/>
  <c i="6" r="K26"/>
  <c i="6" r="K40" s="1"/>
  <c i="11" r="B10"/>
  <c i="11" r="J13"/>
  <c i="11" r="J26" s="1"/>
  <c i="4" r="L26"/>
  <c i="10" r="P26"/>
  <c i="6" r="M20"/>
  <c i="6" r="Q26"/>
  <c i="6" r="U40" s="1"/>
  <c i="10" r="P22"/>
  <c i="6" r="M18"/>
  <c i="6" r="N26"/>
  <c i="6" r="N40" s="1"/>
  <c i="11" r="B8"/>
  <c i="6" r="M21"/>
  <c i="6" r="M24"/>
  <c i="6" r="M23"/>
  <c i="6" r="M19"/>
  <c i="6" r="O20"/>
  <c i="6" r="P20"/>
  <c i="10" r="P24"/>
  <c i="6" r="N23"/>
  <c i="6" r="N18"/>
  <c i="6" r="M27"/>
  <c i="6" r="N19"/>
  <c i="6" r="M26"/>
  <c i="6" r="M40" s="1"/>
  <c i="10" r="P18"/>
  <c i="20" r="F27"/>
  <c i="20" r="F39" s="1"/>
  <c i="11" r="I13"/>
  <c i="11" r="I26" s="1"/>
  <c i="11" r="Q4"/>
  <c i="20" r="L27"/>
  <c i="20" r="L31" s="1"/>
  <c i="23" r="L26"/>
  <c i="23" r="L31" s="1"/>
  <c i="4" r="N24"/>
  <c i="4" r="P24"/>
  <c i="4" r="M19"/>
  <c i="4" r="M25"/>
  <c i="4" r="N19"/>
  <c i="4" r="O20"/>
  <c i="4" r="O27"/>
  <c i="4" r="P20"/>
  <c i="4" r="P27"/>
  <c i="4" r="P22"/>
  <c i="11" r="L13"/>
  <c i="11" r="L26" s="1"/>
  <c i="11" r="B4"/>
  <c i="11" r="U13"/>
  <c i="7" r="E26"/>
  <c i="7" r="O40" s="1"/>
  <c i="7" r="B26"/>
  <c i="7" r="L40" s="1"/>
  <c i="7" r="I26"/>
  <c i="7" r="S40" s="1"/>
  <c i="7" r="H26"/>
  <c i="7" r="R40" s="1"/>
  <c i="7" r="G26"/>
  <c i="7" r="Q40" s="1"/>
  <c i="7" r="F26"/>
  <c i="7" r="P40" s="1"/>
  <c i="7" r="D26"/>
  <c i="7" r="N40" s="1"/>
  <c i="7" r="C26"/>
  <c i="7" r="M40" s="1"/>
  <c i="9" r="P26"/>
  <c i="9" r="Q26"/>
  <c i="9" r="U40" s="1"/>
  <c i="9" r="K26"/>
  <c i="9" r="K40" s="1"/>
  <c i="9" r="L26"/>
  <c i="9" r="L40" s="1"/>
  <c i="9" r="M26"/>
  <c i="9" r="M40" s="1"/>
  <c i="9" r="O26"/>
  <c i="9" r="N26"/>
  <c i="9" r="N40" s="1"/>
  <c i="9" r="O23"/>
  <c i="9" r="N25"/>
  <c i="9" r="P23"/>
  <c i="9" r="O25"/>
  <c i="9" r="M18"/>
  <c i="9" r="M27"/>
  <c i="9" r="M24"/>
  <c i="9" r="P27"/>
  <c i="9" r="O24"/>
  <c i="9" r="N20"/>
  <c i="9" r="O18"/>
  <c i="9" r="P24"/>
  <c i="9" r="P18"/>
  <c i="9" r="N27"/>
  <c i="9" r="O20"/>
  <c i="9" r="O27"/>
  <c i="9" r="N18"/>
  <c i="9" r="N19"/>
  <c i="9" r="M19"/>
  <c i="9" r="P25"/>
  <c i="9" r="M20"/>
  <c i="9" r="M21"/>
  <c i="9" r="O19"/>
  <c i="9" r="M23"/>
  <c i="9" r="O22"/>
  <c i="9" r="P19"/>
  <c i="9" r="N21"/>
  <c i="9" r="O21"/>
  <c i="9" r="P20"/>
  <c i="9" r="P21"/>
  <c i="9" r="P22"/>
  <c i="9" r="N23"/>
  <c i="9" r="M22"/>
  <c i="9" r="N24"/>
  <c i="9" r="N22"/>
  <c i="9" r="M25"/>
  <c i="9" r="T40"/>
  <c i="6" r="T40"/>
  <c i="8" r="P26"/>
  <c i="8" r="Q26"/>
  <c i="8" r="U40" s="1"/>
  <c i="8" r="L26"/>
  <c i="8" r="M26"/>
  <c i="8" r="O26"/>
  <c i="8" r="N26"/>
  <c i="8" r="K26"/>
  <c i="8" r="O23"/>
  <c i="8" r="M23"/>
  <c i="8" r="O24"/>
  <c i="8" r="P23"/>
  <c i="8" r="N23"/>
  <c i="8" r="P18"/>
  <c i="8" r="M18"/>
  <c i="8" r="N24"/>
  <c i="8" r="M24"/>
  <c i="8" r="N25"/>
  <c i="8" r="O18"/>
  <c i="8" r="P24"/>
  <c i="8" r="N20"/>
  <c i="8" r="O27"/>
  <c i="8" r="N27"/>
  <c i="8" r="O20"/>
  <c i="8" r="M25"/>
  <c i="8" r="P25"/>
  <c i="8" r="P27"/>
  <c i="8" r="M27"/>
  <c i="8" r="M21"/>
  <c i="8" r="P19"/>
  <c i="8" r="N21"/>
  <c i="8" r="O25"/>
  <c i="8" r="N18"/>
  <c i="8" r="O21"/>
  <c i="8" r="O22"/>
  <c i="8" r="M19"/>
  <c i="8" r="N22"/>
  <c i="8" r="P22"/>
  <c i="8" r="N19"/>
  <c i="8" r="O19"/>
  <c i="8" r="M20"/>
  <c i="8" r="P20"/>
  <c i="8" r="P21"/>
  <c i="8" r="M22"/>
  <c i="8" r="B26"/>
  <c i="8" r="C26"/>
  <c i="8" r="E26"/>
  <c i="8" r="D26"/>
  <c i="8" r="F26"/>
  <c i="8" r="H26"/>
  <c i="8" r="G26"/>
  <c i="10" r="F26"/>
  <c i="10" r="O40" s="1"/>
  <c i="10" r="C26"/>
  <c i="10" r="L40" s="1"/>
  <c i="10" r="G26"/>
  <c i="10" r="E26"/>
  <c i="10" r="B26"/>
  <c i="10" r="H26"/>
  <c i="10" r="D26"/>
  <c i="5" r="K26"/>
  <c i="5" r="Q26"/>
  <c i="5" r="U40" s="1"/>
  <c i="5" r="L26"/>
  <c i="5" r="P26"/>
  <c i="5" r="M26"/>
  <c i="5" r="N26"/>
  <c i="5" r="O26"/>
  <c i="5" r="M21"/>
  <c i="5" r="N23"/>
  <c i="5" r="N25"/>
  <c i="5" r="O25"/>
  <c i="5" r="N22"/>
  <c i="5" r="P27"/>
  <c i="5" r="N18"/>
  <c i="5" r="P19"/>
  <c i="5" r="O21"/>
  <c i="5" r="N24"/>
  <c i="5" r="P25"/>
  <c i="5" r="O23"/>
  <c i="5" r="M18"/>
  <c i="5" r="O18"/>
  <c i="5" r="N20"/>
  <c i="5" r="O22"/>
  <c i="5" r="M25"/>
  <c i="5" r="P22"/>
  <c i="5" r="M27"/>
  <c i="5" r="N19"/>
  <c i="5" r="O24"/>
  <c i="5" r="N27"/>
  <c i="5" r="O27"/>
  <c i="5" r="P20"/>
  <c i="5" r="P21"/>
  <c i="5" r="P23"/>
  <c i="5" r="O19"/>
  <c i="5" r="P24"/>
  <c i="5" r="O20"/>
  <c i="5" r="M20"/>
  <c i="5" r="M22"/>
  <c i="5" r="P18"/>
  <c i="5" r="M23"/>
  <c i="5" r="M24"/>
  <c i="5" r="M19"/>
  <c i="5" r="N21"/>
  <c i="5" r="H26"/>
  <c i="5" r="B26"/>
  <c i="5" r="F26"/>
  <c i="5" r="C26"/>
  <c i="5" r="G26"/>
  <c i="5" r="D26"/>
  <c i="5" r="E26"/>
  <c i="4" r="C26"/>
  <c i="4" r="F26"/>
  <c i="4" r="D26"/>
  <c i="4" r="G26"/>
  <c i="4" r="P40" s="1"/>
  <c i="4" r="E26"/>
  <c i="4" r="H26"/>
  <c i="4" r="B26"/>
  <c i="1" r="K26"/>
  <c i="1" r="L26"/>
  <c i="1" r="M26"/>
  <c i="1" r="N26"/>
  <c i="1" r="O26"/>
  <c i="1" r="P26"/>
  <c i="1" r="Q26"/>
  <c i="1" r="U40" s="1"/>
  <c i="1" r="G26"/>
  <c i="1" r="F26"/>
  <c i="1" r="B26"/>
  <c i="1" r="C26"/>
  <c i="1" r="E26"/>
  <c i="1" r="H26"/>
  <c i="1" r="T40" s="1"/>
  <c i="1" r="D26"/>
  <c i="11" r="V9"/>
  <c i="11" r="V11"/>
  <c i="11" r="V6"/>
  <c i="11" r="V10"/>
  <c i="11" r="N5"/>
  <c i="11" r="V8"/>
  <c i="11" r="N11"/>
  <c i="11" r="N7"/>
  <c i="11" r="N10"/>
  <c i="11" r="V5"/>
  <c i="11" r="N9"/>
  <c i="11" r="V7"/>
  <c i="11" r="N4"/>
  <c i="11" r="N8"/>
  <c i="11" r="N6"/>
  <c i="1" r="B27"/>
  <c i="1" r="D18"/>
  <c i="1" r="D24"/>
  <c i="1" r="E18"/>
  <c i="1" r="G19"/>
  <c i="1" r="E24"/>
  <c i="1" r="F24"/>
  <c i="1" r="F19"/>
  <c i="1" r="G25"/>
  <c i="1" r="F18"/>
  <c i="1" r="F25"/>
  <c i="1" r="G18"/>
  <c i="1" r="G24"/>
  <c i="1" r="E19"/>
  <c i="1" r="D19"/>
  <c i="1" r="D25"/>
  <c i="1" r="E25"/>
  <c i="1" r="F20"/>
  <c i="1" r="G20"/>
  <c i="1" r="F21"/>
  <c i="1" r="G21"/>
  <c i="1" r="E23"/>
  <c i="1" r="D20"/>
  <c i="1" r="E27"/>
  <c i="1" r="D22"/>
  <c i="1" r="E21"/>
  <c i="1" r="G23"/>
  <c i="1" r="E22"/>
  <c i="1" r="F23"/>
  <c i="1" r="E20"/>
  <c i="1" r="D21"/>
  <c i="1" r="D27"/>
  <c i="1" r="D23"/>
  <c i="1" r="G22"/>
  <c i="1" r="F22"/>
  <c i="1" r="F27"/>
  <c i="1" r="G27"/>
  <c i="8" r="H25"/>
  <c i="8" r="T39" s="1"/>
  <c i="8" r="D18"/>
  <c i="8" r="D24"/>
  <c i="8" r="F24"/>
  <c i="8" r="F19"/>
  <c i="8" r="G25"/>
  <c i="8" r="E18"/>
  <c i="8" r="E24"/>
  <c i="8" r="F18"/>
  <c i="8" r="F25"/>
  <c i="8" r="G18"/>
  <c i="8" r="G24"/>
  <c i="8" r="G19"/>
  <c i="8" r="D19"/>
  <c i="8" r="D25"/>
  <c i="8" r="E19"/>
  <c i="8" r="E25"/>
  <c i="8" r="F20"/>
  <c i="8" r="F27"/>
  <c i="8" r="G20"/>
  <c i="8" r="G27"/>
  <c i="8" r="D21"/>
  <c i="8" r="F21"/>
  <c i="8" r="G21"/>
  <c i="8" r="E23"/>
  <c i="8" r="F23"/>
  <c i="8" r="D20"/>
  <c i="8" r="E20"/>
  <c i="8" r="E21"/>
  <c i="8" r="D22"/>
  <c i="8" r="E22"/>
  <c i="8" r="F22"/>
  <c i="8" r="G22"/>
  <c i="8" r="D23"/>
  <c i="8" r="G23"/>
  <c i="8" r="D27"/>
  <c i="8" r="E27"/>
  <c i="1" r="M21"/>
  <c i="1" r="O21"/>
  <c i="1" r="N21"/>
  <c i="1" r="P21"/>
  <c i="1" r="O22"/>
  <c i="1" r="M22"/>
  <c i="1" r="N22"/>
  <c i="1" r="P22"/>
  <c i="1" r="O23"/>
  <c i="1" r="P23"/>
  <c i="1" r="O18"/>
  <c i="1" r="O24"/>
  <c i="1" r="P18"/>
  <c i="1" r="P24"/>
  <c i="1" r="N20"/>
  <c i="1" r="N23"/>
  <c i="1" r="M19"/>
  <c i="1" r="O20"/>
  <c i="1" r="M24"/>
  <c i="1" r="O19"/>
  <c i="1" r="N24"/>
  <c i="1" r="P19"/>
  <c i="1" r="M25"/>
  <c i="1" r="N25"/>
  <c i="1" r="O25"/>
  <c i="1" r="P25"/>
  <c i="1" r="P27"/>
  <c i="1" r="N19"/>
  <c i="1" r="O27"/>
  <c i="1" r="N18"/>
  <c i="1" r="M20"/>
  <c i="1" r="M18"/>
  <c i="1" r="P20"/>
  <c i="1" r="M23"/>
  <c i="1" r="M27"/>
  <c i="1" r="N27"/>
  <c i="5" r="H24"/>
  <c i="5" r="T38" s="1"/>
  <c i="5" r="D18"/>
  <c i="5" r="D24"/>
  <c i="5" r="F18"/>
  <c i="5" r="F25"/>
  <c i="5" r="E18"/>
  <c i="5" r="E24"/>
  <c i="5" r="F24"/>
  <c i="5" r="G19"/>
  <c i="5" r="G25"/>
  <c i="5" r="G18"/>
  <c i="5" r="G24"/>
  <c i="5" r="E19"/>
  <c i="5" r="D19"/>
  <c i="5" r="D25"/>
  <c i="5" r="E25"/>
  <c i="5" r="F19"/>
  <c i="5" r="F20"/>
  <c i="5" r="F27"/>
  <c i="5" r="G20"/>
  <c i="5" r="G27"/>
  <c i="5" r="D21"/>
  <c i="5" r="F21"/>
  <c i="5" r="G21"/>
  <c i="5" r="E23"/>
  <c i="5" r="F23"/>
  <c i="5" r="G23"/>
  <c i="5" r="F22"/>
  <c i="5" r="D23"/>
  <c i="5" r="E27"/>
  <c i="5" r="D20"/>
  <c i="5" r="E20"/>
  <c i="5" r="E21"/>
  <c i="5" r="D22"/>
  <c i="5" r="E22"/>
  <c i="5" r="G22"/>
  <c i="5" r="D27"/>
  <c i="6" r="B27"/>
  <c i="6" r="D21"/>
  <c i="6" r="E21"/>
  <c i="6" r="F22"/>
  <c i="6" r="F21"/>
  <c i="6" r="G21"/>
  <c i="6" r="E22"/>
  <c i="6" r="D22"/>
  <c i="6" r="G22"/>
  <c i="6" r="F23"/>
  <c i="6" r="G23"/>
  <c i="6" r="D18"/>
  <c i="6" r="D24"/>
  <c i="6" r="F18"/>
  <c i="6" r="F24"/>
  <c i="6" r="G18"/>
  <c i="6" r="G24"/>
  <c i="6" r="E20"/>
  <c i="6" r="E27"/>
  <c i="6" r="F20"/>
  <c i="6" r="F27"/>
  <c i="6" r="O41" s="1"/>
  <c i="6" r="D23"/>
  <c i="6" r="E18"/>
  <c i="6" r="D19"/>
  <c i="6" r="E19"/>
  <c i="6" r="F19"/>
  <c i="6" r="G19"/>
  <c i="6" r="G27"/>
  <c i="6" r="D20"/>
  <c i="6" r="G20"/>
  <c i="6" r="E23"/>
  <c i="6" r="E24"/>
  <c i="6" r="D25"/>
  <c i="6" r="E25"/>
  <c i="6" r="N39" s="1"/>
  <c i="6" r="F25"/>
  <c i="6" r="G25"/>
  <c i="6" r="D27"/>
  <c i="10" r="C24"/>
  <c i="10" r="D21"/>
  <c i="10" r="M35" s="1"/>
  <c i="10" r="F22"/>
  <c i="10" r="O36" s="1"/>
  <c i="10" r="E21"/>
  <c i="10" r="F21"/>
  <c i="10" r="G22"/>
  <c i="10" r="G21"/>
  <c i="10" r="P35" s="1"/>
  <c i="10" r="D22"/>
  <c i="10" r="M36" s="1"/>
  <c i="10" r="E22"/>
  <c i="10" r="N36" s="1"/>
  <c i="10" r="F23"/>
  <c i="10" r="G23"/>
  <c i="10" r="D18"/>
  <c i="10" r="D24"/>
  <c i="10" r="F18"/>
  <c i="10" r="F24"/>
  <c i="10" r="G18"/>
  <c i="10" r="G24"/>
  <c i="10" r="E20"/>
  <c i="10" r="E27"/>
  <c i="10" r="F20"/>
  <c i="10" r="F27"/>
  <c i="10" r="D23"/>
  <c i="10" r="E23"/>
  <c i="10" r="E24"/>
  <c i="10" r="N38" s="1"/>
  <c i="10" r="D25"/>
  <c i="10" r="E25"/>
  <c i="10" r="N39" s="1"/>
  <c i="10" r="F25"/>
  <c i="10" r="G20"/>
  <c i="10" r="G25"/>
  <c i="10" r="D27"/>
  <c i="10" r="G27"/>
  <c i="10" r="D20"/>
  <c i="10" r="M34" s="1"/>
  <c i="10" r="G19"/>
  <c i="10" r="E18"/>
  <c i="10" r="N32" s="1"/>
  <c i="10" r="D19"/>
  <c i="10" r="M33" s="1"/>
  <c i="10" r="E19"/>
  <c i="10" r="N33" s="1"/>
  <c i="10" r="F19"/>
  <c i="9" r="C20"/>
  <c i="9" r="D18"/>
  <c i="9" r="D24"/>
  <c i="9" r="G19"/>
  <c i="9" r="E18"/>
  <c i="9" r="E24"/>
  <c i="9" r="F19"/>
  <c i="9" r="G25"/>
  <c i="9" r="F18"/>
  <c i="9" r="F24"/>
  <c i="9" r="G18"/>
  <c i="9" r="G24"/>
  <c i="9" r="F25"/>
  <c i="9" r="D19"/>
  <c i="9" r="D25"/>
  <c i="9" r="E19"/>
  <c i="9" r="E25"/>
  <c i="9" r="F20"/>
  <c i="9" r="F27"/>
  <c i="9" r="G20"/>
  <c i="9" r="G27"/>
  <c i="9" r="D21"/>
  <c i="9" r="F21"/>
  <c i="9" r="G21"/>
  <c i="9" r="E23"/>
  <c i="9" r="F23"/>
  <c i="9" r="G22"/>
  <c i="9" r="D23"/>
  <c i="9" r="G23"/>
  <c i="9" r="D27"/>
  <c i="9" r="E27"/>
  <c i="9" r="D20"/>
  <c i="9" r="E20"/>
  <c i="9" r="E21"/>
  <c i="9" r="D22"/>
  <c i="9" r="E22"/>
  <c i="9" r="F22"/>
  <c i="4" r="B18"/>
  <c i="4" r="D21"/>
  <c i="4" r="F21"/>
  <c i="4" r="E21"/>
  <c i="4" r="G21"/>
  <c i="4" r="D22"/>
  <c i="4" r="E22"/>
  <c i="4" r="G22"/>
  <c i="4" r="F22"/>
  <c i="4" r="F23"/>
  <c i="4" r="G23"/>
  <c i="4" r="F18"/>
  <c i="4" r="F24"/>
  <c i="4" r="G18"/>
  <c i="4" r="G24"/>
  <c i="4" r="P38" s="1"/>
  <c i="4" r="E20"/>
  <c i="4" r="E27"/>
  <c i="4" r="G27"/>
  <c i="4" r="F25"/>
  <c i="4" r="E24"/>
  <c i="4" r="D18"/>
  <c i="4" r="E18"/>
  <c i="4" r="D19"/>
  <c i="4" r="D24"/>
  <c i="4" r="E19"/>
  <c i="4" r="F19"/>
  <c i="4" r="G25"/>
  <c i="4" r="G19"/>
  <c i="4" r="E23"/>
  <c i="4" r="D25"/>
  <c i="4" r="F27"/>
  <c i="4" r="D20"/>
  <c i="4" r="F20"/>
  <c i="4" r="G20"/>
  <c i="4" r="D23"/>
  <c i="4" r="E25"/>
  <c i="4" r="D27"/>
  <c i="7" r="I23"/>
  <c i="10" r="C18"/>
  <c i="6" r="H25"/>
  <c i="6" r="T39" s="1"/>
  <c i="9" r="C27"/>
  <c i="9" r="B18"/>
  <c i="9" r="B23"/>
  <c i="9" r="B19"/>
  <c i="5" r="H18"/>
  <c i="5" r="T32" s="1"/>
  <c i="5" r="C20"/>
  <c i="5" r="B22"/>
  <c i="5" r="B23"/>
  <c i="7" r="S24"/>
  <c i="7" r="N22"/>
  <c i="7" r="R22"/>
  <c i="7" r="M22"/>
  <c i="7" r="O22"/>
  <c i="7" r="S22"/>
  <c i="7" r="L22"/>
  <c i="7" r="P22"/>
  <c i="7" r="Q22"/>
  <c i="4" r="L27"/>
  <c i="5" r="K23"/>
  <c i="8" r="Q23"/>
  <c i="8" r="U37" s="1"/>
  <c i="10" r="K27"/>
  <c i="9" r="L27"/>
  <c i="6" r="L21"/>
  <c i="4" r="C27"/>
  <c i="6" r="L27"/>
  <c i="4" r="B22"/>
  <c i="6" r="K18"/>
  <c i="6" r="Q18"/>
  <c i="6" r="U32" s="1"/>
  <c i="6" r="B18"/>
  <c i="6" r="K20"/>
  <c i="4" r="H25"/>
  <c i="4" r="T39" s="1"/>
  <c i="6" r="H19"/>
  <c i="6" r="T33" s="1"/>
  <c i="1" r="Q23"/>
  <c i="1" r="U37" s="1"/>
  <c i="9" r="B25"/>
  <c i="9" r="H21"/>
  <c i="9" r="T35" s="1"/>
  <c i="9" r="H24"/>
  <c i="9" r="T38" s="1"/>
  <c i="9" r="B21"/>
  <c i="9" r="C25"/>
  <c i="9" r="C24"/>
  <c i="9" r="H23"/>
  <c i="9" r="T37" s="1"/>
  <c i="9" r="H19"/>
  <c i="9" r="T33" s="1"/>
  <c i="9" r="C21"/>
  <c i="9" r="B24"/>
  <c i="9" r="H22"/>
  <c i="9" r="T36" s="1"/>
  <c i="9" r="H20"/>
  <c i="9" r="T34" s="1"/>
  <c i="9" r="H18"/>
  <c i="9" r="T32" s="1"/>
  <c i="9" r="C23"/>
  <c i="9" r="C19"/>
  <c i="9" r="H27"/>
  <c i="9" r="T41" s="1"/>
  <c i="9" r="H25"/>
  <c i="9" r="T39" s="1"/>
  <c i="9" r="B27"/>
  <c i="9" r="B22"/>
  <c i="9" r="B20"/>
  <c i="9" r="C22"/>
  <c i="9" r="C18"/>
  <c i="6" r="L22"/>
  <c i="6" r="H24"/>
  <c i="6" r="T38" s="1"/>
  <c i="6" r="C23"/>
  <c i="6" r="C27"/>
  <c i="6" r="C18"/>
  <c i="6" r="H20"/>
  <c i="6" r="T34" s="1"/>
  <c i="6" r="L23"/>
  <c i="6" r="B22"/>
  <c i="6" r="B25"/>
  <c i="6" r="C24"/>
  <c i="6" r="Q19"/>
  <c i="6" r="U33" s="1"/>
  <c i="6" r="L24"/>
  <c i="6" r="C19"/>
  <c i="6" r="H23"/>
  <c i="6" r="T37" s="1"/>
  <c i="6" r="C25"/>
  <c i="6" r="B19"/>
  <c i="6" r="H21"/>
  <c i="6" r="T35" s="1"/>
  <c i="6" r="K19"/>
  <c i="6" r="H27"/>
  <c i="6" r="T41" s="1"/>
  <c i="6" r="H18"/>
  <c i="6" r="T32" s="1"/>
  <c i="8" r="Q22"/>
  <c i="8" r="U36" s="1"/>
  <c i="8" r="K18"/>
  <c i="8" r="Q25"/>
  <c i="8" r="U39" s="1"/>
  <c i="8" r="Q27"/>
  <c i="8" r="U41" s="1"/>
  <c i="8" r="Q21"/>
  <c i="8" r="U35" s="1"/>
  <c i="8" r="L18"/>
  <c i="8" r="L23"/>
  <c i="8" r="L21"/>
  <c i="8" r="K25"/>
  <c i="8" r="L20"/>
  <c i="8" r="K22"/>
  <c i="8" r="L27"/>
  <c i="8" r="Q18"/>
  <c i="8" r="U32" s="1"/>
  <c i="8" r="K24"/>
  <c i="8" r="K21"/>
  <c i="8" r="L19"/>
  <c i="8" r="Q24"/>
  <c i="8" r="U38" s="1"/>
  <c i="8" r="K27"/>
  <c i="8" r="K20"/>
  <c i="8" r="L25"/>
  <c i="8" r="L22"/>
  <c i="8" r="Q20"/>
  <c i="8" r="U34" s="1"/>
  <c i="8" r="K19"/>
  <c i="10" r="L23"/>
  <c i="10" r="H22"/>
  <c i="10" r="T36" s="1"/>
  <c i="10" r="L19"/>
  <c i="10" r="K18"/>
  <c i="10" r="L24"/>
  <c i="10" r="Q27"/>
  <c i="10" r="U41" s="1"/>
  <c i="10" r="L21"/>
  <c i="10" r="L25"/>
  <c i="10" r="H23"/>
  <c i="10" r="T37" s="1"/>
  <c i="10" r="L18"/>
  <c i="10" r="L22"/>
  <c i="10" r="L27"/>
  <c i="10" r="H21"/>
  <c i="10" r="T35" s="1"/>
  <c i="10" r="B19"/>
  <c i="10" r="L20"/>
  <c i="5" r="C25"/>
  <c i="5" r="C18"/>
  <c i="5" r="C19"/>
  <c i="5" r="C24"/>
  <c i="5" r="B18"/>
  <c i="5" r="B19"/>
  <c i="5" r="H20"/>
  <c i="5" r="T34" s="1"/>
  <c i="5" r="H19"/>
  <c i="5" r="T33" s="1"/>
  <c i="5" r="B24"/>
  <c i="5" r="H22"/>
  <c i="5" r="T36" s="1"/>
  <c i="4" r="C23"/>
  <c i="4" r="B25"/>
  <c i="4" r="B20"/>
  <c i="4" r="B19"/>
  <c i="4" r="C19"/>
  <c i="4" r="H21"/>
  <c i="4" r="T35" s="1"/>
  <c i="4" r="B27"/>
  <c i="4" r="C18"/>
  <c i="4" r="H23"/>
  <c i="4" r="T37" s="1"/>
  <c i="4" r="H19"/>
  <c i="4" r="T33" s="1"/>
  <c i="4" r="B23"/>
  <c i="4" r="H27"/>
  <c i="4" r="T41" s="1"/>
  <c i="4" r="B21"/>
  <c i="4" r="C21"/>
  <c i="4" r="H24"/>
  <c i="4" r="T38" s="1"/>
  <c i="4" r="H22"/>
  <c i="4" r="T36" s="1"/>
  <c i="4" r="C22"/>
  <c i="4" r="B24"/>
  <c i="4" r="C25"/>
  <c i="4" r="C20"/>
  <c i="4" r="H20"/>
  <c i="4" r="T34" s="1"/>
  <c i="4" r="C24"/>
  <c i="4" r="H18"/>
  <c i="4" r="T32" s="1"/>
  <c i="10" r="H25"/>
  <c i="10" r="T39" s="1"/>
  <c i="10" r="B20"/>
  <c i="10" r="H27"/>
  <c i="10" r="T41" s="1"/>
  <c i="10" r="C22"/>
  <c i="10" r="B22"/>
  <c i="10" r="C21"/>
  <c i="10" r="B24"/>
  <c i="10" r="H19"/>
  <c i="10" r="T33" s="1"/>
  <c i="10" r="B25"/>
  <c i="10" r="B23"/>
  <c i="6" r="H22"/>
  <c i="6" r="T36" s="1"/>
  <c i="10" r="H18"/>
  <c i="10" r="T32" s="1"/>
  <c i="10" r="C25"/>
  <c i="10" r="B21"/>
  <c i="10" r="C27"/>
  <c i="6" r="C22"/>
  <c i="6" r="B21"/>
  <c i="6" r="C21"/>
  <c i="6" r="B24"/>
  <c i="6" r="B20"/>
  <c i="6" r="B23"/>
  <c i="5" r="B21"/>
  <c i="5" r="H27"/>
  <c i="5" r="T41" s="1"/>
  <c i="5" r="B25"/>
  <c i="5" r="C22"/>
  <c i="5" r="C27"/>
  <c i="10" r="C19"/>
  <c i="8" r="K23"/>
  <c i="5" r="B20"/>
  <c i="8" r="L24"/>
  <c i="5" r="H25"/>
  <c i="5" r="T39" s="1"/>
  <c i="6" r="Q22"/>
  <c i="10" r="K22"/>
  <c i="6" r="Q24"/>
  <c i="6" r="U38" s="1"/>
  <c i="5" r="C21"/>
  <c i="10" r="B18"/>
  <c i="6" r="C20"/>
  <c i="6" r="K21"/>
  <c i="10" r="K19"/>
  <c i="10" r="K20"/>
  <c i="10" r="Q20"/>
  <c i="10" r="U34" s="1"/>
  <c i="10" r="K23"/>
  <c i="10" r="Q23"/>
  <c i="10" r="U37" s="1"/>
  <c i="6" r="K27"/>
  <c i="5" r="H21"/>
  <c i="5" r="T35" s="1"/>
  <c i="10" r="C23"/>
  <c i="10" r="H20"/>
  <c i="10" r="T34" s="1"/>
  <c i="6" r="Q20"/>
  <c i="6" r="U34" s="1"/>
  <c i="10" r="Q18"/>
  <c i="6" r="K22"/>
  <c i="6" r="K24"/>
  <c i="6" r="K25"/>
  <c i="6" r="Q25"/>
  <c i="6" r="U39" s="1"/>
  <c i="10" r="K24"/>
  <c i="6" r="Q27"/>
  <c i="6" r="U41" s="1"/>
  <c i="5" r="H23"/>
  <c i="5" r="T37" s="1"/>
  <c i="10" r="B27"/>
  <c i="10" r="H24"/>
  <c i="10" r="T38" s="1"/>
  <c i="10" r="Q19"/>
  <c i="10" r="U33" s="1"/>
  <c i="6" r="Q23"/>
  <c i="6" r="U37" s="1"/>
  <c i="10" r="Q24"/>
  <c i="10" r="U38" s="1"/>
  <c i="6" r="L18"/>
  <c i="10" r="K25"/>
  <c i="6" r="L19"/>
  <c i="5" r="B27"/>
  <c i="10" r="C20"/>
  <c i="6" r="Q21"/>
  <c i="6" r="U35" s="1"/>
  <c i="6" r="K23"/>
  <c i="10" r="K21"/>
  <c i="10" r="Q21"/>
  <c i="10" r="U35" s="1"/>
  <c i="10" r="Q22"/>
  <c i="10" r="U36" s="1"/>
  <c i="10" r="Q25"/>
  <c i="10" r="U39" s="1"/>
  <c i="6" r="L20"/>
  <c i="5" r="C23"/>
  <c i="1" r="L18"/>
  <c i="1" r="K18"/>
  <c i="9" r="Q24"/>
  <c i="9" r="U38" s="1"/>
  <c i="1" r="L21"/>
  <c i="1" r="Q25"/>
  <c i="1" r="U39" s="1"/>
  <c i="1" r="K23"/>
  <c i="5" r="L25"/>
  <c i="1" r="L23"/>
  <c i="5" r="K27"/>
  <c i="4" r="Q23"/>
  <c i="4" r="U37" s="1"/>
  <c i="5" r="L27"/>
  <c i="5" r="L21"/>
  <c i="5" r="K19"/>
  <c i="9" r="Q18"/>
  <c i="9" r="U32" s="1"/>
  <c i="5" r="K20"/>
  <c i="5" r="Q20"/>
  <c i="5" r="U34" s="1"/>
  <c i="9" r="K25"/>
  <c i="5" r="Q25"/>
  <c i="5" r="U39" s="1"/>
  <c i="5" r="L22"/>
  <c i="1" r="Q21"/>
  <c i="1" r="U35" s="1"/>
  <c i="1" r="K21"/>
  <c i="1" r="L19"/>
  <c i="1" r="Q24"/>
  <c i="1" r="U38" s="1"/>
  <c i="1" r="L24"/>
  <c i="1" r="K24"/>
  <c i="1" r="L27"/>
  <c i="5" r="Q27"/>
  <c i="5" r="U41" s="1"/>
  <c i="5" r="K25"/>
  <c i="5" r="K22"/>
  <c i="5" r="L20"/>
  <c i="9" r="K20"/>
  <c i="9" r="Q19"/>
  <c i="9" r="U33" s="1"/>
  <c i="1" r="Q22"/>
  <c i="1" r="U36" s="1"/>
  <c i="1" r="K25"/>
  <c i="1" r="K22"/>
  <c i="1" r="L20"/>
  <c i="1" r="K20"/>
  <c i="1" r="Q27"/>
  <c i="1" r="U41" s="1"/>
  <c i="1" r="Q19"/>
  <c i="1" r="U33" s="1"/>
  <c i="5" r="Q19"/>
  <c i="5" r="U33" s="1"/>
  <c i="5" r="Q18"/>
  <c i="5" r="K24"/>
  <c i="5" r="K21"/>
  <c i="5" r="L19"/>
  <c i="5" r="Q24"/>
  <c i="5" r="U38" s="1"/>
  <c i="5" r="L24"/>
  <c i="9" r="Q21"/>
  <c i="9" r="U35" s="1"/>
  <c i="9" r="K18"/>
  <c i="1" r="K27"/>
  <c i="1" r="L22"/>
  <c i="1" r="Q20"/>
  <c i="1" r="U34" s="1"/>
  <c i="1" r="K19"/>
  <c i="1" r="Q18"/>
  <c i="1" r="U32" s="1"/>
  <c i="1" r="L25"/>
  <c i="5" r="Q23"/>
  <c i="5" r="U37" s="1"/>
  <c i="5" r="Q21"/>
  <c i="5" r="U35" s="1"/>
  <c i="5" r="Q22"/>
  <c i="5" r="L18"/>
  <c i="5" r="K18"/>
  <c i="5" r="L23"/>
  <c i="9" r="L24"/>
  <c i="7" r="S27"/>
  <c i="7" r="O25"/>
  <c i="7" r="O24"/>
  <c i="7" r="O23"/>
  <c i="7" r="O21"/>
  <c i="7" r="O20"/>
  <c i="7" r="O19"/>
  <c i="7" r="P27"/>
  <c i="7" r="L27"/>
  <c i="7" r="P25"/>
  <c i="7" r="L25"/>
  <c i="7" r="P24"/>
  <c i="7" r="L24"/>
  <c i="7" r="P23"/>
  <c i="7" r="L23"/>
  <c i="7" r="P21"/>
  <c i="7" r="L21"/>
  <c i="7" r="P20"/>
  <c i="7" r="L20"/>
  <c i="7" r="P19"/>
  <c i="7" r="L19"/>
  <c i="7" r="Q27"/>
  <c i="7" r="M27"/>
  <c i="7" r="Q25"/>
  <c i="7" r="M25"/>
  <c i="7" r="Q24"/>
  <c i="7" r="M24"/>
  <c i="7" r="Q23"/>
  <c i="7" r="M23"/>
  <c i="7" r="Q21"/>
  <c i="7" r="M21"/>
  <c i="7" r="Q20"/>
  <c i="7" r="M20"/>
  <c i="7" r="Q19"/>
  <c i="7" r="M19"/>
  <c i="7" r="R27"/>
  <c i="7" r="N27"/>
  <c i="7" r="R25"/>
  <c i="7" r="N25"/>
  <c i="7" r="R24"/>
  <c i="7" r="N24"/>
  <c i="7" r="R23"/>
  <c i="7" r="N23"/>
  <c i="7" r="R21"/>
  <c i="7" r="N21"/>
  <c i="7" r="R20"/>
  <c i="7" r="N20"/>
  <c i="7" r="R19"/>
  <c i="7" r="N19"/>
  <c i="7" r="O27"/>
  <c i="7" r="S21"/>
  <c i="7" r="S19"/>
  <c i="7" r="S25"/>
  <c i="7" r="S23"/>
  <c i="7" r="S20"/>
  <c i="9" r="L18"/>
  <c i="9" r="Q27"/>
  <c i="9" r="L20"/>
  <c i="9" r="L25"/>
  <c i="9" r="L23"/>
  <c i="9" r="Q23"/>
  <c i="9" r="U37" s="1"/>
  <c i="9" r="K19"/>
  <c i="9" r="K27"/>
  <c i="9" r="Q22"/>
  <c i="9" r="L22"/>
  <c i="9" r="K22"/>
  <c i="9" r="Q20"/>
  <c i="9" r="Q25"/>
  <c i="9" r="K24"/>
  <c i="9" r="K23"/>
  <c i="9" r="L21"/>
  <c i="9" r="K21"/>
  <c i="9" r="L19"/>
  <c i="4" r="K25"/>
  <c i="4" r="L19"/>
  <c i="4" r="Q25"/>
  <c i="4" r="L23"/>
  <c i="4" r="K18"/>
  <c i="4" r="L24"/>
  <c i="4" r="L20"/>
  <c i="4" r="Q19"/>
  <c i="4" r="Q27"/>
  <c i="4" r="U41" s="1"/>
  <c i="4" r="Q21"/>
  <c i="4" r="K23"/>
  <c i="4" r="Q18"/>
  <c i="4" r="L25"/>
  <c i="4" r="L21"/>
  <c i="4" r="K27"/>
  <c i="4" r="Q24"/>
  <c i="4" r="K24"/>
  <c i="4" r="K21"/>
  <c i="4" r="Q22"/>
  <c i="4" r="L22"/>
  <c i="4" r="L18"/>
  <c i="4" r="K22"/>
  <c i="4" r="Q20"/>
  <c i="4" r="U34" s="1"/>
  <c i="4" r="K20"/>
  <c i="4" r="K19"/>
  <c i="7" r="I19"/>
  <c i="7" r="F27"/>
  <c i="7" r="D27"/>
  <c i="7" r="E27"/>
  <c i="7" r="I20"/>
  <c i="7" r="I25"/>
  <c i="7" r="C27"/>
  <c i="7" r="I27"/>
  <c i="7" r="E25"/>
  <c i="7" r="E24"/>
  <c i="7" r="E23"/>
  <c i="7" r="E22"/>
  <c i="7" r="E21"/>
  <c i="7" r="E20"/>
  <c i="7" r="E19"/>
  <c i="7" r="F25"/>
  <c i="7" r="B25"/>
  <c i="7" r="F24"/>
  <c i="7" r="B24"/>
  <c i="7" r="F23"/>
  <c i="7" r="B23"/>
  <c i="7" r="F22"/>
  <c i="7" r="B22"/>
  <c i="7" r="F21"/>
  <c i="7" r="B21"/>
  <c i="7" r="F20"/>
  <c i="7" r="B20"/>
  <c i="7" r="F19"/>
  <c i="7" r="B19"/>
  <c i="7" r="C25"/>
  <c i="7" r="G24"/>
  <c i="7" r="C24"/>
  <c i="7" r="C23"/>
  <c i="7" r="G22"/>
  <c i="7" r="G21"/>
  <c i="7" r="G20"/>
  <c i="7" r="G19"/>
  <c i="7" r="H25"/>
  <c i="7" r="H24"/>
  <c i="7" r="H23"/>
  <c i="7" r="D23"/>
  <c i="7" r="D22"/>
  <c i="7" r="D21"/>
  <c i="7" r="D20"/>
  <c i="7" r="D19"/>
  <c i="7" r="G25"/>
  <c i="7" r="G23"/>
  <c i="7" r="C22"/>
  <c i="7" r="C21"/>
  <c i="7" r="C20"/>
  <c i="7" r="C19"/>
  <c i="7" r="D25"/>
  <c i="7" r="D24"/>
  <c i="7" r="H22"/>
  <c i="7" r="H21"/>
  <c i="7" r="H20"/>
  <c i="7" r="H19"/>
  <c i="7" r="I22"/>
  <c i="7" r="G27"/>
  <c i="7" r="H27"/>
  <c i="7" r="I21"/>
  <c i="7" r="B27"/>
  <c i="7" r="I24"/>
  <c i="8" r="B21"/>
  <c i="8" r="B27"/>
  <c i="8" r="B19"/>
  <c i="8" r="C25"/>
  <c i="8" r="B25"/>
  <c i="8" r="C21"/>
  <c i="8" r="B23"/>
  <c i="8" r="C20"/>
  <c i="8" r="C24"/>
  <c i="8" r="H18"/>
  <c i="8" r="H20"/>
  <c i="8" r="H22"/>
  <c i="8" r="H24"/>
  <c i="8" r="C19"/>
  <c i="8" r="C23"/>
  <c i="8" r="B18"/>
  <c i="8" r="B20"/>
  <c i="8" r="B22"/>
  <c i="8" r="B24"/>
  <c i="8" r="H27"/>
  <c i="8" r="C18"/>
  <c i="8" r="C22"/>
  <c i="8" r="C27"/>
  <c i="8" r="H19"/>
  <c i="8" r="H21"/>
  <c i="8" r="H23"/>
  <c i="1" r="H18"/>
  <c i="1" r="H27"/>
  <c i="1" r="C25"/>
  <c i="1" r="B24"/>
  <c i="1" r="C21"/>
  <c i="1" r="B20"/>
  <c i="1" r="B21"/>
  <c i="1" r="C18"/>
  <c i="1" r="C24"/>
  <c i="1" r="B23"/>
  <c i="1" r="C20"/>
  <c i="1" r="B19"/>
  <c i="1" r="H24"/>
  <c i="1" r="C23"/>
  <c i="1" r="B22"/>
  <c i="1" r="H20"/>
  <c i="1" r="C19"/>
  <c i="1" r="B18"/>
  <c i="1" r="C27"/>
  <c i="1" r="B25"/>
  <c i="1" r="H23"/>
  <c i="1" r="C22"/>
  <c i="1" r="H19"/>
  <c i="1" r="H22"/>
  <c i="1" r="H21"/>
  <c i="1" r="H25"/>
  <c i="6" l="1" r="P40"/>
  <c i="10" r="N35"/>
  <c i="9" r="O40"/>
  <c i="6" r="P39"/>
  <c i="9" r="P40"/>
  <c i="10" r="K40"/>
  <c i="10" r="P33"/>
  <c i="6" r="O40"/>
  <c i="10" r="M39"/>
  <c i="10" r="N41"/>
  <c i="6" r="N35"/>
  <c i="10" r="N34"/>
  <c i="10" r="M40"/>
  <c i="10" r="O33"/>
  <c i="10" r="P34"/>
  <c i="6" r="N37"/>
  <c i="10" r="P41"/>
  <c i="10" r="O34"/>
  <c i="10" r="O41"/>
  <c i="10" r="P38"/>
  <c i="4" r="N32"/>
  <c i="6" r="M38"/>
  <c i="25" r="F38"/>
  <c i="10" r="M32"/>
  <c i="6" r="O33"/>
  <c i="10" r="O35"/>
  <c i="6" r="O38"/>
  <c i="6" r="M41"/>
  <c i="10" r="N37"/>
  <c i="6" r="N36"/>
  <c i="4" r="O36"/>
  <c i="10" r="P32"/>
  <c i="4" r="P32"/>
  <c i="6" r="P41"/>
  <c i="4" r="P35"/>
  <c i="10" r="M38"/>
  <c i="4" r="O35"/>
  <c i="4" r="O40"/>
  <c i="9" r="N41"/>
  <c i="6" r="P36"/>
  <c i="10" r="O37"/>
  <c i="6" r="P35"/>
  <c i="4" r="O37"/>
  <c i="9" r="M35"/>
  <c i="10" r="P37"/>
  <c i="4" r="M34"/>
  <c i="4" r="M36"/>
  <c i="4" r="N37"/>
  <c i="10" r="M41"/>
  <c i="4" r="P39"/>
  <c i="9" r="N33"/>
  <c i="4" r="O33"/>
  <c i="4" r="M35"/>
  <c i="6" r="O32"/>
  <c i="4" r="M32"/>
  <c i="10" r="M37"/>
  <c i="6" r="P37"/>
  <c i="9" r="O33"/>
  <c i="6" r="M39"/>
  <c i="6" r="N38"/>
  <c i="9" r="P37"/>
  <c i="6" r="L39"/>
  <c i="4" r="M41"/>
  <c i="10" r="N40"/>
  <c i="10" r="O32"/>
  <c i="4" r="M37"/>
  <c i="4" r="N36"/>
  <c i="8" r="M41"/>
  <c i="4" r="N35"/>
  <c i="6" r="N41"/>
  <c i="10" r="P39"/>
  <c i="10" r="O39"/>
  <c i="6" r="P32"/>
  <c i="6" r="O37"/>
  <c i="25" r="F32"/>
  <c i="25" r="R32" s="1"/>
  <c i="25" r="R45" s="1"/>
  <c i="4" r="P41"/>
  <c i="25" r="F31"/>
  <c i="25" r="R31" s="1"/>
  <c i="25" r="R44" s="1"/>
  <c i="4" r="N41"/>
  <c i="6" r="M36"/>
  <c i="6" r="O35"/>
  <c i="6" r="M35"/>
  <c i="9" r="O35"/>
  <c i="4" r="P36"/>
  <c i="11" r="B13"/>
  <c i="11" r="B19" s="1"/>
  <c i="25" r="F40"/>
  <c i="25" r="F39"/>
  <c i="25" r="R39" s="1"/>
  <c i="25" r="R52" s="1"/>
  <c i="6" r="O39"/>
  <c i="4" r="N34"/>
  <c i="25" r="F36"/>
  <c i="25" r="R36" s="1"/>
  <c i="25" r="R49" s="1"/>
  <c i="6" r="P34"/>
  <c i="9" r="P36"/>
  <c i="9" r="M38"/>
  <c i="6" r="O36"/>
  <c i="6" r="M33"/>
  <c i="6" r="O34"/>
  <c i="25" r="F37"/>
  <c i="25" r="R37" s="1"/>
  <c i="25" r="R50" s="1"/>
  <c i="8" r="O36"/>
  <c i="25" r="F35"/>
  <c i="25" r="R35" s="1"/>
  <c i="25" r="R48" s="1"/>
  <c i="4" r="M38"/>
  <c i="8" r="M33"/>
  <c i="25" r="F33"/>
  <c i="25" r="R33" s="1"/>
  <c i="25" r="R46" s="1"/>
  <c i="23" r="F39"/>
  <c i="4" r="N39"/>
  <c i="5" r="P34"/>
  <c i="6" r="P33"/>
  <c i="11" r="M19"/>
  <c i="11" r="M21"/>
  <c i="11" r="M25"/>
  <c i="6" r="N34"/>
  <c i="5" r="M37"/>
  <c i="9" r="P32"/>
  <c i="6" r="P38"/>
  <c i="5" r="O35"/>
  <c i="8" r="P41"/>
  <c i="6" r="M34"/>
  <c i="5" r="O34"/>
  <c i="4" r="O32"/>
  <c i="11" r="M27"/>
  <c i="11" r="M20"/>
  <c i="9" r="O41"/>
  <c i="5" r="P38"/>
  <c i="11" r="M18"/>
  <c i="11" r="M23"/>
  <c i="24" r="F38"/>
  <c i="5" r="O39"/>
  <c i="23" r="F36"/>
  <c i="23" r="F37"/>
  <c i="5" r="M38"/>
  <c i="23" r="F38"/>
  <c i="23" r="F31"/>
  <c i="23" r="R31" s="1"/>
  <c i="23" r="R44" s="1"/>
  <c i="23" r="R56" s="1"/>
  <c i="23" r="R79" s="1"/>
  <c i="23" r="V37" s="1"/>
  <c i="23" r="AD13" s="1"/>
  <c i="23" r="AE13" s="1"/>
  <c i="8" r="N35"/>
  <c i="9" r="N35"/>
  <c i="6" r="M32"/>
  <c i="23" r="F33"/>
  <c i="4" r="O39"/>
  <c i="9" r="P39"/>
  <c i="10" r="P40"/>
  <c i="5" r="P41"/>
  <c i="8" r="M35"/>
  <c i="23" r="L36"/>
  <c i="11" r="V4"/>
  <c i="4" r="O38"/>
  <c i="10" r="O38"/>
  <c i="4" r="P37"/>
  <c i="6" r="N33"/>
  <c i="6" r="N32"/>
  <c i="8" r="P33"/>
  <c i="4" r="K40"/>
  <c i="4" r="N40"/>
  <c i="5" r="N35"/>
  <c i="5" r="P33"/>
  <c i="21" r="F40"/>
  <c i="5" r="P32"/>
  <c i="4" r="P33"/>
  <c i="10" r="P36"/>
  <c i="23" r="F32"/>
  <c i="4" r="M40"/>
  <c i="5" r="N38"/>
  <c i="23" r="F34"/>
  <c i="23" r="R34" s="1"/>
  <c i="23" r="R47" s="1"/>
  <c i="23" r="R82" s="1"/>
  <c i="23" r="AD5" s="1"/>
  <c i="23" r="AE5" s="1"/>
  <c i="23" r="F35"/>
  <c i="23" r="R35" s="1"/>
  <c i="23" r="R48" s="1"/>
  <c i="23" r="R83" s="1"/>
  <c i="4" r="L40"/>
  <c i="11" r="I24"/>
  <c i="9" r="P35"/>
  <c i="8" r="N33"/>
  <c i="5" r="K40"/>
  <c i="5" r="N33"/>
  <c i="5" r="P36"/>
  <c i="21" r="R39"/>
  <c i="21" r="R52" s="1"/>
  <c i="21" r="R65" s="1"/>
  <c i="21" r="R90" s="1"/>
  <c i="21" r="V51" s="1"/>
  <c i="8" r="P37"/>
  <c i="24" r="F39"/>
  <c i="24" r="R39" s="1"/>
  <c i="24" r="R52" s="1"/>
  <c i="24" r="F40"/>
  <c i="24" r="F32"/>
  <c i="24" r="F31"/>
  <c i="11" r="J18"/>
  <c i="24" r="F34"/>
  <c i="24" r="R34" s="1"/>
  <c i="24" r="R47" s="1"/>
  <c i="24" r="R85" s="1"/>
  <c i="6" r="Q40"/>
  <c i="11" r="J23"/>
  <c i="6" r="V40"/>
  <c i="11" r="J22"/>
  <c i="24" r="F36"/>
  <c i="9" r="O39"/>
  <c i="5" r="O36"/>
  <c i="5" r="O32"/>
  <c i="11" r="J19"/>
  <c i="24" r="F33"/>
  <c i="8" r="O38"/>
  <c i="11" r="J20"/>
  <c i="5" r="O37"/>
  <c i="11" r="J21"/>
  <c i="11" r="J27"/>
  <c i="11" r="J25"/>
  <c i="11" r="J24"/>
  <c i="11" r="M24"/>
  <c i="24" r="F35"/>
  <c i="11" r="I25"/>
  <c i="9" r="M41"/>
  <c i="11" r="M22"/>
  <c i="9" r="O34"/>
  <c i="5" r="O33"/>
  <c i="8" r="O37"/>
  <c i="8" r="O34"/>
  <c i="11" r="I27"/>
  <c i="11" r="I18"/>
  <c i="11" r="I19"/>
  <c i="5" r="N39"/>
  <c i="11" r="I20"/>
  <c i="11" r="I22"/>
  <c i="9" r="M34"/>
  <c i="5" r="M34"/>
  <c i="11" r="L23"/>
  <c i="8" r="N32"/>
  <c i="11" r="I23"/>
  <c i="6" r="M37"/>
  <c i="5" r="N36"/>
  <c i="11" r="I21"/>
  <c i="5" r="N32"/>
  <c i="8" r="P39"/>
  <c i="9" r="N32"/>
  <c i="23" r="L37"/>
  <c i="23" r="L34"/>
  <c i="5" r="O41"/>
  <c i="8" r="P34"/>
  <c i="5" r="M36"/>
  <c i="23" r="L35"/>
  <c i="8" r="M37"/>
  <c i="23" r="L33"/>
  <c i="23" r="L38"/>
  <c i="23" r="L32"/>
  <c i="5" r="N34"/>
  <c i="8" r="P40"/>
  <c i="9" r="N37"/>
  <c i="4" r="O34"/>
  <c i="5" r="M41"/>
  <c i="9" r="P41"/>
  <c i="5" r="L40"/>
  <c i="4" r="O41"/>
  <c i="5" r="O40"/>
  <c i="4" r="M39"/>
  <c i="8" r="P32"/>
  <c i="21" r="L40"/>
  <c i="5" r="O38"/>
  <c i="8" r="P36"/>
  <c i="8" r="O32"/>
  <c i="1" r="V40"/>
  <c i="9" r="M39"/>
  <c i="5" r="N41"/>
  <c i="11" r="U25"/>
  <c i="11" r="U21"/>
  <c i="11" r="U22"/>
  <c i="11" r="U20"/>
  <c i="11" r="U23"/>
  <c i="11" r="U18"/>
  <c i="11" r="U24"/>
  <c i="11" r="U19"/>
  <c i="11" r="U27"/>
  <c i="23" r="L39"/>
  <c i="4" r="N33"/>
  <c i="20" r="L39"/>
  <c i="20" r="R39" s="1"/>
  <c i="20" r="R52" s="1"/>
  <c i="20" r="R65" s="1"/>
  <c i="20" r="R90" s="1"/>
  <c i="20" r="V51" s="1"/>
  <c i="20" r="AD36" s="1"/>
  <c i="20" r="AE36" s="1"/>
  <c i="4" r="M33"/>
  <c i="9" r="N36"/>
  <c i="9" r="P38"/>
  <c i="5" r="P37"/>
  <c i="9" r="M36"/>
  <c i="4" r="P34"/>
  <c i="9" r="O38"/>
  <c i="5" r="N37"/>
  <c i="8" r="M32"/>
  <c i="8" r="O40"/>
  <c i="11" r="U26"/>
  <c i="11" r="U40" s="1"/>
  <c i="8" r="N39"/>
  <c i="4" r="N38"/>
  <c i="9" r="O32"/>
  <c i="5" r="P35"/>
  <c i="8" r="N37"/>
  <c i="8" r="M40"/>
  <c i="8" r="P35"/>
  <c i="24" r="L40"/>
  <c i="8" r="N40"/>
  <c i="5" r="M35"/>
  <c i="8" r="O35"/>
  <c i="8" r="L40"/>
  <c i="9" r="O37"/>
  <c i="9" r="M32"/>
  <c i="9" r="P34"/>
  <c i="9" r="N39"/>
  <c i="9" r="M33"/>
  <c i="9" r="O36"/>
  <c i="9" r="N34"/>
  <c i="9" r="N38"/>
  <c i="9" r="V40"/>
  <c i="9" r="Q40"/>
  <c i="9" r="M37"/>
  <c i="9" r="P33"/>
  <c i="8" r="K40"/>
  <c i="8" r="O41"/>
  <c i="8" r="M39"/>
  <c i="8" r="P38"/>
  <c i="8" r="N41"/>
  <c i="8" r="O39"/>
  <c i="8" r="N36"/>
  <c i="8" r="M36"/>
  <c i="8" r="O33"/>
  <c i="8" r="N38"/>
  <c i="8" r="N34"/>
  <c i="8" r="M34"/>
  <c i="8" r="M38"/>
  <c i="8" r="T40"/>
  <c i="8" r="V40" s="1"/>
  <c i="8" r="Q40"/>
  <c i="10" r="Q40"/>
  <c i="10" r="T40"/>
  <c i="10" r="V40" s="1"/>
  <c i="5" r="M32"/>
  <c i="5" r="M39"/>
  <c i="5" r="M33"/>
  <c i="5" r="N40"/>
  <c i="5" r="M40"/>
  <c i="5" r="P39"/>
  <c i="5" r="P40"/>
  <c i="5" r="T40"/>
  <c i="5" r="V40" s="1"/>
  <c i="5" r="Q40"/>
  <c i="4" r="T40"/>
  <c i="4" r="V40" s="1"/>
  <c i="4" r="Q40"/>
  <c i="1" r="Q40"/>
  <c i="1" r="P40"/>
  <c i="1" r="O40"/>
  <c i="1" r="N40"/>
  <c i="1" r="M40"/>
  <c i="1" r="L40"/>
  <c i="1" r="K40"/>
  <c i="11" r="L24"/>
  <c i="11" r="L19"/>
  <c i="11" r="L18"/>
  <c i="11" r="L27"/>
  <c i="11" r="L21"/>
  <c i="11" r="L20"/>
  <c i="11" r="L22"/>
  <c i="11" r="L25"/>
  <c i="10" r="L38"/>
  <c i="1" r="P36"/>
  <c i="1" r="K41"/>
  <c i="24" r="L35"/>
  <c i="24" r="L38"/>
  <c i="9" r="L34"/>
  <c i="6" r="K41"/>
  <c i="24" r="L31"/>
  <c i="4" r="K32"/>
  <c i="21" r="L34"/>
  <c i="21" r="F34"/>
  <c i="21" r="R34" s="1"/>
  <c i="21" r="R47" s="1"/>
  <c i="1" r="O34"/>
  <c i="21" r="F38"/>
  <c i="21" r="F32"/>
  <c i="7" r="S37"/>
  <c i="1" r="O37"/>
  <c i="24" r="L37"/>
  <c i="24" r="R37" s="1"/>
  <c i="1" r="M37"/>
  <c i="21" r="L33"/>
  <c i="20" r="F35"/>
  <c i="23" r="P79"/>
  <c i="23" r="V38" s="1"/>
  <c i="23" r="AD14" s="1"/>
  <c i="23" r="AE14" s="1"/>
  <c i="23" r="O80"/>
  <c i="23" r="V35" s="1"/>
  <c i="23" r="P80"/>
  <c i="23" r="V36" s="1"/>
  <c i="23" r="AD12" s="1"/>
  <c i="23" r="AE12" s="1"/>
  <c i="24" r="O88"/>
  <c i="24" r="V46" s="1"/>
  <c i="24" r="AD31" s="1"/>
  <c i="24" r="AE31" s="1"/>
  <c i="24" r="P88"/>
  <c i="24" r="V47" s="1"/>
  <c i="24" r="AD32" s="1"/>
  <c i="24" r="AE32" s="1"/>
  <c i="23" r="P84"/>
  <c i="23" r="V41" s="1"/>
  <c i="23" r="AD17" s="1"/>
  <c i="23" r="AE17" s="1"/>
  <c i="23" r="O84"/>
  <c i="23" r="V40" s="1"/>
  <c i="24" r="P86"/>
  <c i="24" r="V33" s="1"/>
  <c i="24" r="AD7" s="1"/>
  <c i="24" r="AE7" s="1"/>
  <c i="24" r="O86"/>
  <c i="24" r="V32" s="1"/>
  <c i="24" r="AD6" s="1"/>
  <c i="24" r="AE6" s="1"/>
  <c i="24" r="P82"/>
  <c i="24" r="V41" s="1"/>
  <c i="24" r="AD22" s="1"/>
  <c i="24" r="AE22" s="1"/>
  <c i="24" r="L32"/>
  <c i="1" r="M33"/>
  <c i="24" r="L34"/>
  <c i="21" r="F37"/>
  <c i="24" r="L36"/>
  <c i="21" r="F31"/>
  <c i="24" r="L33"/>
  <c i="21" r="F33"/>
  <c i="20" r="L32"/>
  <c i="21" r="L32"/>
  <c i="21" r="L37"/>
  <c i="21" r="L31"/>
  <c i="21" r="L38"/>
  <c i="21" r="L36"/>
  <c i="21" r="L35"/>
  <c i="21" r="F35"/>
  <c i="21" r="F36"/>
  <c i="1" r="P33"/>
  <c i="1" r="P38"/>
  <c i="1" r="N38"/>
  <c i="1" r="O33"/>
  <c i="1" r="N34"/>
  <c i="1" r="P32"/>
  <c i="1" r="O38"/>
  <c i="1" r="M41"/>
  <c i="1" r="O32"/>
  <c i="1" r="M38"/>
  <c i="20" r="F31"/>
  <c i="1" r="N37"/>
  <c i="20" r="L37"/>
  <c i="20" r="L36"/>
  <c i="20" r="L38"/>
  <c i="20" r="F37"/>
  <c i="20" r="F32"/>
  <c i="20" r="F36"/>
  <c i="20" r="F38"/>
  <c i="1" r="P37"/>
  <c i="20" r="L34"/>
  <c i="1" r="M32"/>
  <c i="20" r="L35"/>
  <c i="1" r="N36"/>
  <c i="1" r="N32"/>
  <c i="1" r="M36"/>
  <c i="20" r="L33"/>
  <c i="20" r="F34"/>
  <c i="1" r="N35"/>
  <c i="20" r="F33"/>
  <c i="1" r="N41"/>
  <c i="1" r="P34"/>
  <c i="1" r="M34"/>
  <c i="1" r="O41"/>
  <c i="1" r="O36"/>
  <c i="1" r="N33"/>
  <c i="1" r="P35"/>
  <c i="1" r="P41"/>
  <c i="1" r="P39"/>
  <c i="1" r="O35"/>
  <c i="1" r="O39"/>
  <c i="1" r="M35"/>
  <c i="1" r="N39"/>
  <c i="1" r="M39"/>
  <c i="9" r="K37"/>
  <c i="7" r="S38"/>
  <c i="9" r="L38"/>
  <c i="5" r="K36"/>
  <c i="6" r="K37"/>
  <c i="10" r="V41"/>
  <c i="5" r="L34"/>
  <c i="9" r="V37"/>
  <c i="4" r="V41"/>
  <c i="9" r="L41"/>
  <c i="10" r="K37"/>
  <c i="10" r="L32"/>
  <c i="6" r="V39"/>
  <c i="10" r="L37"/>
  <c i="9" r="V33"/>
  <c i="6" r="V33"/>
  <c i="6" r="L37"/>
  <c i="10" r="K35"/>
  <c i="5" r="K37"/>
  <c i="7" r="Q36"/>
  <c i="7" r="P36"/>
  <c i="7" r="L36"/>
  <c i="7" r="S36"/>
  <c i="7" r="O36"/>
  <c i="7" r="M36"/>
  <c i="7" r="R36"/>
  <c i="7" r="N36"/>
  <c i="10" r="K41"/>
  <c i="9" r="L33"/>
  <c i="4" r="K35"/>
  <c i="10" r="L34"/>
  <c i="9" r="L37"/>
  <c i="8" r="V39"/>
  <c i="6" r="L35"/>
  <c i="8" r="Q39"/>
  <c i="4" r="L41"/>
  <c i="5" r="L32"/>
  <c i="6" r="L34"/>
  <c i="6" r="V32"/>
  <c i="8" r="K34"/>
  <c i="9" r="L39"/>
  <c i="10" r="V39"/>
  <c i="6" r="Q38"/>
  <c i="6" r="V38"/>
  <c i="4" r="L37"/>
  <c i="9" r="K33"/>
  <c i="6" r="K32"/>
  <c i="5" r="L33"/>
  <c i="4" r="K34"/>
  <c i="9" r="K39"/>
  <c i="4" r="K36"/>
  <c i="10" r="V33"/>
  <c i="4" r="L32"/>
  <c i="9" r="K36"/>
  <c i="5" r="K33"/>
  <c i="6" r="L33"/>
  <c i="7" r="L35"/>
  <c i="1" r="L32"/>
  <c i="10" r="K38"/>
  <c i="4" r="K33"/>
  <c i="6" r="K39"/>
  <c i="6" r="Q33"/>
  <c i="9" r="V35"/>
  <c i="7" r="L37"/>
  <c i="5" r="L39"/>
  <c i="6" r="K34"/>
  <c i="8" r="K35"/>
  <c i="8" r="L36"/>
  <c i="10" r="L39"/>
  <c i="10" r="L35"/>
  <c i="1" r="L33"/>
  <c i="8" r="K32"/>
  <c i="4" r="K39"/>
  <c i="6" r="V37"/>
  <c i="6" r="K35"/>
  <c i="6" r="K33"/>
  <c i="6" r="L38"/>
  <c i="6" r="L41"/>
  <c i="8" r="K38"/>
  <c i="9" r="L35"/>
  <c i="5" r="K35"/>
  <c i="6" r="K38"/>
  <c i="8" r="L32"/>
  <c i="11" r="E18"/>
  <c i="7" r="R35"/>
  <c i="9" r="K35"/>
  <c i="9" r="L32"/>
  <c i="9" r="K41"/>
  <c i="9" r="V38"/>
  <c i="9" r="K38"/>
  <c i="9" r="L36"/>
  <c i="9" r="K32"/>
  <c i="9" r="K34"/>
  <c i="9" r="V32"/>
  <c i="6" r="V35"/>
  <c i="6" r="L36"/>
  <c i="6" r="Q35"/>
  <c i="6" r="Q32"/>
  <c i="6" r="L32"/>
  <c i="6" r="K36"/>
  <c i="8" r="K39"/>
  <c i="8" r="L34"/>
  <c i="8" r="L41"/>
  <c i="8" r="L37"/>
  <c i="8" r="K37"/>
  <c i="8" r="K33"/>
  <c i="8" r="K36"/>
  <c i="8" r="L33"/>
  <c i="8" r="L35"/>
  <c i="8" r="K41"/>
  <c i="8" r="L39"/>
  <c i="10" r="K34"/>
  <c i="10" r="Q41"/>
  <c i="10" r="V36"/>
  <c i="10" r="K33"/>
  <c i="10" r="L33"/>
  <c i="10" r="L36"/>
  <c i="10" r="K32"/>
  <c i="10" r="Q39"/>
  <c i="10" r="V35"/>
  <c i="10" r="L41"/>
  <c i="10" r="K36"/>
  <c i="10" r="K39"/>
  <c i="10" r="V37"/>
  <c i="5" r="K32"/>
  <c i="5" r="L38"/>
  <c i="5" r="K38"/>
  <c i="5" r="V33"/>
  <c i="5" r="K34"/>
  <c i="5" r="V39"/>
  <c i="5" r="K39"/>
  <c i="4" r="L35"/>
  <c i="4" r="L38"/>
  <c i="4" r="K38"/>
  <c i="4" r="L39"/>
  <c i="4" r="L33"/>
  <c i="4" r="K41"/>
  <c i="4" r="V37"/>
  <c i="4" r="L36"/>
  <c i="4" r="V34"/>
  <c i="4" r="K37"/>
  <c i="4" r="L34"/>
  <c i="1" r="K39"/>
  <c i="10" r="Q35"/>
  <c i="10" r="Q36"/>
  <c i="10" r="Q34"/>
  <c i="10" r="Q32"/>
  <c i="8" r="L38"/>
  <c i="6" r="Q36"/>
  <c i="10" r="V38"/>
  <c i="10" r="V34"/>
  <c i="5" r="L36"/>
  <c i="5" r="L37"/>
  <c i="5" r="L41"/>
  <c i="5" r="V35"/>
  <c i="6" r="Q39"/>
  <c i="5" r="L35"/>
  <c i="1" r="K32"/>
  <c i="5" r="K41"/>
  <c i="10" r="Q33"/>
  <c i="4" r="Q37"/>
  <c i="6" r="Q37"/>
  <c i="1" r="L37"/>
  <c i="7" r="N35"/>
  <c i="7" r="N37"/>
  <c i="7" r="N33"/>
  <c i="6" r="Q34"/>
  <c i="1" r="K34"/>
  <c i="10" r="Q37"/>
  <c i="9" r="Q33"/>
  <c i="10" r="U32"/>
  <c i="10" r="V32" s="1"/>
  <c i="10" r="Q38"/>
  <c i="6" r="V41"/>
  <c i="1" r="K33"/>
  <c i="6" r="V34"/>
  <c i="6" r="Q41"/>
  <c i="6" r="U36"/>
  <c i="6" r="V36" s="1"/>
  <c i="5" r="V34"/>
  <c i="7" r="M39"/>
  <c i="7" r="L33"/>
  <c i="4" r="Q34"/>
  <c i="9" r="Q37"/>
  <c i="9" r="Q32"/>
  <c i="7" r="O37"/>
  <c i="7" r="L39"/>
  <c i="7" r="O33"/>
  <c i="7" r="N39"/>
  <c i="7" r="M35"/>
  <c i="7" r="Q37"/>
  <c i="7" r="Q35"/>
  <c i="5" r="Q35"/>
  <c i="7" r="M33"/>
  <c i="1" r="K38"/>
  <c i="7" r="M37"/>
  <c i="9" r="Q38"/>
  <c i="9" r="Q35"/>
  <c i="5" r="V41"/>
  <c i="1" r="L38"/>
  <c i="1" r="L35"/>
  <c i="1" r="L36"/>
  <c i="1" r="K37"/>
  <c i="1" r="L41"/>
  <c i="1" r="K35"/>
  <c i="1" r="L39"/>
  <c i="11" r="E21"/>
  <c i="11" r="E19"/>
  <c i="11" r="E27"/>
  <c i="11" r="E24"/>
  <c i="11" r="E25"/>
  <c i="11" r="E22"/>
  <c i="11" r="E23"/>
  <c i="11" r="E20"/>
  <c i="5" r="Q39"/>
  <c i="5" r="V38"/>
  <c i="5" r="Q34"/>
  <c i="1" r="L34"/>
  <c i="5" r="Q33"/>
  <c i="5" r="Q38"/>
  <c i="1" r="Q41"/>
  <c i="1" r="T41"/>
  <c i="1" r="V41" s="1"/>
  <c i="8" r="Q33"/>
  <c i="8" r="T33"/>
  <c i="8" r="V33" s="1"/>
  <c i="8" r="Q36"/>
  <c i="8" r="T36"/>
  <c i="8" r="V36" s="1"/>
  <c i="1" r="Q35"/>
  <c i="1" r="T35"/>
  <c i="1" r="V35" s="1"/>
  <c i="1" r="Q37"/>
  <c i="1" r="T37"/>
  <c i="1" r="V37" s="1"/>
  <c i="1" r="Q38"/>
  <c i="1" r="T38"/>
  <c i="1" r="V38" s="1"/>
  <c i="1" r="Q32"/>
  <c i="1" r="T32"/>
  <c i="1" r="V32" s="1"/>
  <c i="8" r="Q35"/>
  <c i="8" r="T35"/>
  <c i="8" r="V35" s="1"/>
  <c i="8" r="Q38"/>
  <c i="8" r="T38"/>
  <c i="8" r="V38" s="1"/>
  <c i="4" r="Q38"/>
  <c i="4" r="U38"/>
  <c i="4" r="V38" s="1"/>
  <c i="4" r="Q32"/>
  <c i="4" r="U32"/>
  <c i="4" r="V32" s="1"/>
  <c i="4" r="Q33"/>
  <c i="4" r="U33"/>
  <c i="4" r="V33" s="1"/>
  <c i="4" r="Q39"/>
  <c i="4" r="U39"/>
  <c i="4" r="V39" s="1"/>
  <c i="4" r="Q41"/>
  <c i="5" r="V37"/>
  <c i="5" r="Q41"/>
  <c i="8" r="Q37"/>
  <c i="8" r="T37"/>
  <c i="8" r="V37" s="1"/>
  <c i="9" r="Q41"/>
  <c i="9" r="U41"/>
  <c i="9" r="V41" s="1"/>
  <c i="1" r="Q33"/>
  <c i="1" r="T33"/>
  <c i="1" r="V33" s="1"/>
  <c i="8" r="Q34"/>
  <c i="8" r="T34"/>
  <c i="8" r="V34" s="1"/>
  <c i="4" r="Q35"/>
  <c i="4" r="U35"/>
  <c i="4" r="V35" s="1"/>
  <c i="9" r="Q39"/>
  <c i="9" r="U39"/>
  <c i="9" r="V39" s="1"/>
  <c i="9" r="Q36"/>
  <c i="9" r="U36"/>
  <c i="9" r="V36" s="1"/>
  <c i="1" r="K36"/>
  <c i="1" r="Q39"/>
  <c i="1" r="T39"/>
  <c i="1" r="V39" s="1"/>
  <c i="8" r="Q32"/>
  <c i="8" r="T32"/>
  <c i="8" r="V32" s="1"/>
  <c i="9" r="Q34"/>
  <c i="9" r="U34"/>
  <c i="9" r="V34" s="1"/>
  <c i="1" r="Q36"/>
  <c i="1" r="T36"/>
  <c i="1" r="V36" s="1"/>
  <c i="1" r="Q34"/>
  <c i="1" r="T34"/>
  <c i="1" r="V34" s="1"/>
  <c i="8" r="Q41"/>
  <c i="8" r="T41"/>
  <c i="8" r="V41" s="1"/>
  <c i="4" r="Q36"/>
  <c i="4" r="U36"/>
  <c i="4" r="V36" s="1"/>
  <c i="5" r="U36"/>
  <c i="5" r="V36" s="1"/>
  <c i="5" r="Q36"/>
  <c i="5" r="Q32"/>
  <c i="5" r="U32"/>
  <c i="5" r="V32" s="1"/>
  <c i="5" r="Q37"/>
  <c i="7" r="L41"/>
  <c i="7" r="Q39"/>
  <c i="7" r="R39"/>
  <c i="7" r="O34"/>
  <c i="7" r="O38"/>
  <c i="7" r="S35"/>
  <c i="7" r="R33"/>
  <c i="7" r="N38"/>
  <c i="7" r="Q33"/>
  <c i="7" r="O35"/>
  <c i="7" r="O39"/>
  <c i="7" r="S33"/>
  <c i="7" r="M34"/>
  <c i="7" r="S34"/>
  <c i="7" r="P34"/>
  <c i="7" r="P38"/>
  <c i="7" r="S39"/>
  <c i="7" r="P41"/>
  <c i="7" r="Q41"/>
  <c i="7" r="R38"/>
  <c i="7" r="Q38"/>
  <c i="7" r="L34"/>
  <c i="7" r="L38"/>
  <c i="7" r="M41"/>
  <c i="7" r="N41"/>
  <c i="7" r="R41"/>
  <c i="7" r="R34"/>
  <c i="7" r="N34"/>
  <c i="7" r="R37"/>
  <c i="7" r="Q34"/>
  <c i="7" r="M38"/>
  <c i="7" r="P33"/>
  <c i="7" r="P35"/>
  <c i="7" r="P37"/>
  <c i="7" r="P39"/>
  <c i="7" r="S41"/>
  <c i="7" r="O41"/>
  <c i="20" l="1" r="R34"/>
  <c i="25" r="R63"/>
  <c i="25" r="R88" s="1"/>
  <c i="25" r="V36" s="1"/>
  <c i="25" r="AD16" s="1"/>
  <c i="25" r="AE16" s="1"/>
  <c i="23" r="R32"/>
  <c i="23" r="R45" s="1"/>
  <c i="23" r="R57" s="1"/>
  <c i="23" r="R80" s="1"/>
  <c i="23" r="V34" s="1"/>
  <c i="25" r="R58"/>
  <c i="25" r="R83" s="1"/>
  <c i="25" r="V33" s="1"/>
  <c i="11" r="U35"/>
  <c i="11" r="U39"/>
  <c i="11" r="U33"/>
  <c i="23" r="R33"/>
  <c i="23" r="R46" s="1"/>
  <c i="23" r="R58" s="1"/>
  <c i="23" r="R81" s="1"/>
  <c i="23" r="V31" s="1"/>
  <c i="23" r="AD4" s="1"/>
  <c i="23" r="AE4" s="1"/>
  <c i="11" r="N12"/>
  <c i="11" r="N13" s="1"/>
  <c i="11" r="N26" s="1"/>
  <c i="11" r="K13"/>
  <c i="23" r="R37"/>
  <c i="23" r="R50" s="1"/>
  <c i="23" r="R62" s="1"/>
  <c i="23" r="R85" s="1"/>
  <c i="23" r="V42" s="1"/>
  <c i="23" r="AD18" s="1"/>
  <c i="23" r="AE18" s="1"/>
  <c i="11" r="U41"/>
  <c i="21" r="AD41"/>
  <c i="21" r="AE41" s="1"/>
  <c i="21" r="AD31"/>
  <c i="21" r="AE31" s="1"/>
  <c i="25" r="R59"/>
  <c i="25" r="R84" s="1"/>
  <c i="25" r="V32" s="1"/>
  <c i="11" r="U32"/>
  <c i="11" r="U34"/>
  <c i="11" r="B22"/>
  <c i="11" r="E36" s="1"/>
  <c i="24" r="R32"/>
  <c i="24" r="R45" s="1"/>
  <c i="25" r="R61"/>
  <c i="25" r="R86" s="1"/>
  <c i="25" r="V31" s="1"/>
  <c i="25" r="R57"/>
  <c i="25" r="R82" s="1"/>
  <c i="25" r="V34" s="1"/>
  <c i="25" r="R65"/>
  <c i="25" r="R90" s="1"/>
  <c i="25" r="V37" s="1"/>
  <c i="25" r="AD18" s="1"/>
  <c i="25" r="AE18" s="1"/>
  <c i="11" r="B23"/>
  <c i="11" r="E37" s="1"/>
  <c i="11" r="U37"/>
  <c i="11" r="B21"/>
  <c i="11" r="E35" s="1"/>
  <c i="11" r="B25"/>
  <c i="11" r="E39" s="1"/>
  <c i="11" r="B27"/>
  <c i="11" r="E41" s="1"/>
  <c i="24" r="R35"/>
  <c i="24" r="R48" s="1"/>
  <c i="25" r="R62"/>
  <c i="25" r="R87" s="1"/>
  <c i="25" r="V35" s="1"/>
  <c i="23" r="R36"/>
  <c i="23" r="R49" s="1"/>
  <c i="23" r="R61" s="1"/>
  <c i="23" r="R84" s="1"/>
  <c i="23" r="V39" s="1"/>
  <c i="11" r="B26"/>
  <c i="11" r="E40" s="1"/>
  <c i="11" r="B24"/>
  <c i="11" r="E38" s="1"/>
  <c i="11" r="B18"/>
  <c i="11" r="E32" s="1"/>
  <c i="11" r="U36"/>
  <c i="24" r="R33"/>
  <c i="24" r="R46" s="1"/>
  <c i="11" r="E33"/>
  <c i="11" r="B20"/>
  <c i="11" r="E34" s="1"/>
  <c i="24" r="R36"/>
  <c i="24" r="R49" s="1"/>
  <c i="24" r="R31"/>
  <c i="24" r="R44" s="1"/>
  <c i="11" r="U38"/>
  <c i="20" r="L40"/>
  <c i="11" r="R13"/>
  <c i="11" r="R26" s="1"/>
  <c i="11" r="R40" s="1"/>
  <c i="11" r="T13"/>
  <c i="11" r="V12"/>
  <c i="11" r="V13" s="1"/>
  <c i="11" r="V24" s="1"/>
  <c i="11" r="Q13"/>
  <c i="11" r="S13"/>
  <c i="20" r="R31"/>
  <c i="20" r="R44" s="1"/>
  <c i="20" r="R57" s="1"/>
  <c i="20" r="R82" s="1"/>
  <c i="20" r="V43" s="1"/>
  <c i="20" r="F40"/>
  <c i="20" r="R36"/>
  <c i="20" r="R49" s="1"/>
  <c i="20" r="R62" s="1"/>
  <c i="20" r="R87" s="1"/>
  <c i="20" r="V45" s="1"/>
  <c i="20" r="AD26" s="1"/>
  <c i="20" r="AE26" s="1"/>
  <c i="20" r="R37"/>
  <c i="20" r="R50" s="1"/>
  <c i="20" r="R63" s="1"/>
  <c i="20" r="R88" s="1"/>
  <c i="20" r="V48" s="1"/>
  <c i="20" r="AD32" s="1"/>
  <c i="20" r="AE32" s="1"/>
  <c i="21" r="R36"/>
  <c i="21" r="R49" s="1"/>
  <c i="21" r="R62" s="1"/>
  <c i="21" r="R87" s="1"/>
  <c i="21" r="V45" s="1"/>
  <c i="21" r="AD32" s="1"/>
  <c i="21" r="AE32" s="1"/>
  <c i="21" r="R37"/>
  <c i="21" r="R50" s="1"/>
  <c i="21" r="R63" s="1"/>
  <c i="21" r="R88" s="1"/>
  <c i="21" r="V48" s="1"/>
  <c i="24" r="R50"/>
  <c i="24" r="R65" s="1"/>
  <c i="24" r="R90" s="1"/>
  <c i="24" r="V48" s="1"/>
  <c i="24" r="AD33" s="1"/>
  <c i="24" r="AE33" s="1"/>
  <c i="21" r="R35"/>
  <c i="21" r="R48" s="1"/>
  <c i="21" r="R61" s="1"/>
  <c i="21" r="R86" s="1"/>
  <c i="21" r="V34" s="1"/>
  <c i="21" r="R38"/>
  <c i="21" r="R51" s="1"/>
  <c i="21" r="R64" s="1"/>
  <c i="21" r="R89" s="1"/>
  <c i="21" r="V31" s="1"/>
  <c i="21" r="AD5" s="1"/>
  <c i="21" r="AE5" s="1"/>
  <c i="21" r="R32"/>
  <c i="21" r="R45" s="1"/>
  <c i="21" r="R58" s="1"/>
  <c i="21" r="R83" s="1"/>
  <c i="21" r="V40" s="1"/>
  <c i="21" r="AD21" s="1"/>
  <c i="21" r="AE21" s="1"/>
  <c i="20" r="R32"/>
  <c i="20" r="R45" s="1"/>
  <c i="20" r="R58" s="1"/>
  <c i="20" r="R83" s="1"/>
  <c i="20" r="V40" s="1"/>
  <c i="20" r="AD19" s="1"/>
  <c i="20" r="AE19" s="1"/>
  <c i="21" r="R33"/>
  <c i="21" r="R46" s="1"/>
  <c i="21" r="R59" s="1"/>
  <c i="21" r="R84" s="1"/>
  <c i="21" r="V37" s="1"/>
  <c i="20" r="R35"/>
  <c i="20" r="R48" s="1"/>
  <c i="20" r="R61" s="1"/>
  <c i="20" r="R86" s="1"/>
  <c i="20" r="V34" s="1"/>
  <c i="20" r="AD8" s="1"/>
  <c i="20" r="AE8" s="1"/>
  <c i="21" r="R31"/>
  <c i="21" r="R44" s="1"/>
  <c i="21" r="R57" s="1"/>
  <c i="21" r="R82" s="1"/>
  <c i="21" r="V43" s="1"/>
  <c i="21" r="AD27" s="1"/>
  <c i="21" r="AE27" s="1"/>
  <c i="24" r="O87"/>
  <c i="24" r="V43" s="1"/>
  <c i="24" r="AD27" s="1"/>
  <c i="24" r="AE27" s="1"/>
  <c i="24" r="P87"/>
  <c i="24" r="V44" s="1"/>
  <c i="24" r="AD28" s="1"/>
  <c i="24" r="AE28" s="1"/>
  <c i="23" r="O81"/>
  <c i="23" r="V32" s="1"/>
  <c i="23" r="P81"/>
  <c i="23" r="V33" s="1"/>
  <c i="24" r="O83"/>
  <c i="24" r="V38" s="1"/>
  <c i="24" r="AD18" s="1"/>
  <c i="24" r="AE18" s="1"/>
  <c i="24" r="Q83"/>
  <c i="24" r="V39" s="1"/>
  <c i="24" r="AD19" s="1"/>
  <c i="24" r="AE19" s="1"/>
  <c i="23" r="P85"/>
  <c i="23" r="V44" s="1"/>
  <c i="23" r="O85"/>
  <c i="23" r="V43" s="1"/>
  <c i="23" r="AD21" s="1"/>
  <c i="23" r="AE21" s="1"/>
  <c i="23" r="AD20"/>
  <c i="23" r="AE20" s="1"/>
  <c i="23" r="AD11"/>
  <c i="23" r="AE11" s="1"/>
  <c i="23" r="AD10"/>
  <c i="23" r="AE10" s="1"/>
  <c i="21" r="O87"/>
  <c i="21" r="V46" s="1"/>
  <c i="21" r="AD34" s="1"/>
  <c i="21" r="AE34" s="1"/>
  <c i="21" r="P87"/>
  <c i="21" r="V47" s="1"/>
  <c i="21" r="AD35" s="1"/>
  <c i="21" r="AE35" s="1"/>
  <c i="21" r="O86"/>
  <c i="21" r="V35" s="1"/>
  <c i="21" r="P86"/>
  <c i="21" r="V36" s="1"/>
  <c i="21" r="AD12" s="1"/>
  <c i="21" r="AE12" s="1"/>
  <c i="21" r="P89"/>
  <c i="21" r="V33" s="1"/>
  <c i="21" r="AD7" s="1"/>
  <c i="21" r="AE7" s="1"/>
  <c i="21" r="O89"/>
  <c i="21" r="V32" s="1"/>
  <c i="21" r="AD6" s="1"/>
  <c i="21" r="AE6" s="1"/>
  <c i="21" r="P82"/>
  <c i="21" r="V44" s="1"/>
  <c i="21" r="AD28" s="1"/>
  <c i="21" r="AE28" s="1"/>
  <c i="21" r="O88"/>
  <c i="21" r="V49" s="1"/>
  <c i="21" r="AD38" s="1"/>
  <c i="21" r="AE38" s="1"/>
  <c i="21" r="P88"/>
  <c i="21" r="V50" s="1"/>
  <c i="21" r="AD39" s="1"/>
  <c i="21" r="AE39" s="1"/>
  <c i="20" r="R33"/>
  <c i="20" r="R46" s="1"/>
  <c i="20" r="P86"/>
  <c i="20" r="V36" s="1"/>
  <c i="20" r="AD10" s="1"/>
  <c i="20" r="AE10" s="1"/>
  <c i="20" r="O86"/>
  <c i="20" r="V35" s="1"/>
  <c i="20" r="O87"/>
  <c i="20" r="V46" s="1"/>
  <c i="20" r="P87"/>
  <c i="20" r="V47" s="1"/>
  <c i="20" r="O83"/>
  <c i="20" r="V41" s="1"/>
  <c i="20" r="P83"/>
  <c i="20" r="V42" s="1"/>
  <c i="20" r="AD21" s="1"/>
  <c i="20" r="AE21" s="1"/>
  <c i="20" r="P88"/>
  <c i="20" r="V50" s="1"/>
  <c i="20" r="AD35" s="1"/>
  <c i="20" r="AE35" s="1"/>
  <c i="20" r="O88"/>
  <c i="20" r="V49" s="1"/>
  <c i="20" r="Q82"/>
  <c i="20" r="V44" s="1"/>
  <c i="20" r="AD25" s="1"/>
  <c i="20" r="AE25" s="1"/>
  <c i="20" r="R47"/>
  <c i="20" r="R60" s="1"/>
  <c i="20" l="1" r="AD31"/>
  <c i="20" r="AE31" s="1"/>
  <c i="21" r="AD37"/>
  <c i="21" r="AE37" s="1"/>
  <c i="20" r="AD24"/>
  <c i="20" r="AE24" s="1"/>
  <c i="20" r="AD23"/>
  <c i="20" r="AE23" s="1"/>
  <c i="20" r="AD34"/>
  <c i="20" r="AE34" s="1"/>
  <c i="20" r="AD33"/>
  <c i="20" r="AE33" s="1"/>
  <c i="20" r="AD30"/>
  <c i="20" r="AE30" s="1"/>
  <c i="20" r="AD29"/>
  <c i="20" r="AE29" s="1"/>
  <c i="11" r="N27"/>
  <c i="25" r="AD6"/>
  <c i="25" r="AE6" s="1"/>
  <c i="25" r="AD8"/>
  <c i="25" r="AE8" s="1"/>
  <c i="25" r="AD13"/>
  <c i="25" r="AE13" s="1"/>
  <c i="25" r="AD7"/>
  <c i="25" r="AE7" s="1"/>
  <c i="25" r="AD5"/>
  <c i="25" r="AE5" s="1"/>
  <c i="11" r="N25"/>
  <c i="11" r="N22"/>
  <c i="11" r="N19"/>
  <c i="11" r="N21"/>
  <c i="11" r="N20"/>
  <c i="11" r="N23"/>
  <c i="11" r="N18"/>
  <c i="11" r="N24"/>
  <c i="11" r="K26"/>
  <c i="11" r="K24"/>
  <c i="11" r="K21"/>
  <c i="11" r="K25"/>
  <c i="11" r="K20"/>
  <c i="11" r="K22"/>
  <c i="11" r="K18"/>
  <c i="11" r="K19"/>
  <c i="11" r="K27"/>
  <c i="11" r="K23"/>
  <c i="21" r="AD16"/>
  <c i="21" r="AE16" s="1"/>
  <c i="21" r="AD14"/>
  <c i="21" r="AE14" s="1"/>
  <c i="21" r="AD10"/>
  <c i="21" r="AE10" s="1"/>
  <c i="21" r="AD8"/>
  <c i="21" r="AE8" s="1"/>
  <c i="21" r="AD11"/>
  <c i="21" r="AE11" s="1"/>
  <c i="21" r="AD9"/>
  <c i="21" r="AE9" s="1"/>
  <c i="20" r="AD20"/>
  <c i="20" r="AE20" s="1"/>
  <c i="20" r="AD27"/>
  <c i="20" r="AE27" s="1"/>
  <c i="20" r="AD22"/>
  <c i="20" r="AE22" s="1"/>
  <c i="11" r="V25"/>
  <c i="23" r="AD22"/>
  <c i="23" r="AE22" s="1"/>
  <c i="23" r="AD23"/>
  <c i="23" r="AE23" s="1"/>
  <c i="23" r="AD19"/>
  <c i="23" r="AE19" s="1"/>
  <c i="11" r="V21"/>
  <c i="11" r="V20"/>
  <c i="11" r="V23"/>
  <c i="11" r="V27"/>
  <c i="11" r="V41" s="1"/>
  <c i="11" r="V18"/>
  <c i="11" r="V19"/>
  <c i="24" r="R62"/>
  <c i="11" r="S22"/>
  <c i="11" r="S24"/>
  <c i="11" r="S18"/>
  <c i="11" r="S27"/>
  <c i="11" r="S25"/>
  <c i="11" r="S20"/>
  <c i="11" r="S21"/>
  <c i="11" r="S19"/>
  <c i="11" r="S23"/>
  <c i="11" r="S26"/>
  <c i="11" r="Q26"/>
  <c i="11" r="Q40" s="1"/>
  <c i="11" r="Q21"/>
  <c i="11" r="Q35" s="1"/>
  <c i="11" r="Q22"/>
  <c i="11" r="Q36" s="1"/>
  <c i="11" r="Q24"/>
  <c i="11" r="Q38" s="1"/>
  <c i="11" r="Q20"/>
  <c i="11" r="Q34" s="1"/>
  <c i="11" r="Q27"/>
  <c i="11" r="Q41" s="1"/>
  <c i="11" r="Q18"/>
  <c i="11" r="Q32" s="1"/>
  <c i="11" r="Q25"/>
  <c i="11" r="Q39" s="1"/>
  <c i="11" r="Q23"/>
  <c i="11" r="Q37" s="1"/>
  <c i="11" r="Q19"/>
  <c i="11" r="Q33" s="1"/>
  <c i="11" r="V26"/>
  <c i="11" r="V22"/>
  <c i="11" r="T27"/>
  <c i="11" r="T41" s="1"/>
  <c i="11" r="T21"/>
  <c i="11" r="T35" s="1"/>
  <c i="11" r="T20"/>
  <c i="11" r="T34" s="1"/>
  <c i="11" r="T18"/>
  <c i="11" r="T32" s="1"/>
  <c i="11" r="T25"/>
  <c i="11" r="T39" s="1"/>
  <c i="11" r="T19"/>
  <c i="11" r="T33" s="1"/>
  <c i="11" r="T23"/>
  <c i="11" r="T37" s="1"/>
  <c i="11" r="T24"/>
  <c i="11" r="T38" s="1"/>
  <c i="11" r="T22"/>
  <c i="11" r="T36" s="1"/>
  <c i="11" r="T26"/>
  <c i="11" r="T40" s="1"/>
  <c i="11" r="R27"/>
  <c i="11" r="R41" s="1"/>
  <c i="11" r="R23"/>
  <c i="11" r="R37" s="1"/>
  <c i="11" r="R25"/>
  <c i="11" r="R39" s="1"/>
  <c i="11" r="R21"/>
  <c i="11" r="R35" s="1"/>
  <c i="11" r="R24"/>
  <c i="11" r="R38" s="1"/>
  <c i="11" r="R20"/>
  <c i="11" r="R34" s="1"/>
  <c i="11" r="R19"/>
  <c i="11" r="R33" s="1"/>
  <c i="11" r="R18"/>
  <c i="11" r="R32" s="1"/>
  <c i="11" r="R22"/>
  <c i="11" r="R36" s="1"/>
  <c i="24" r="R61"/>
  <c i="24" r="R63"/>
  <c i="24" r="R58"/>
  <c i="24" r="R57"/>
  <c i="24" r="R59"/>
  <c i="20" r="R59"/>
  <c i="20" r="R84" s="1"/>
  <c i="20" r="V37" s="1"/>
  <c i="20" r="AD11" s="1"/>
  <c i="20" r="AE11" s="1"/>
  <c i="23" r="AD16"/>
  <c i="23" r="AE16" s="1"/>
  <c i="23" r="AD9"/>
  <c i="23" r="AE9" s="1"/>
  <c i="24" r="Q84"/>
  <c i="24" r="V36" s="1"/>
  <c i="24" r="AD14" s="1"/>
  <c i="24" r="AE14" s="1"/>
  <c i="23" r="AD15"/>
  <c i="23" r="AE15" s="1"/>
  <c i="23" r="AD8"/>
  <c i="23" r="AE8" s="1"/>
  <c i="24" r="O84"/>
  <c i="24" r="V35" s="1"/>
  <c i="24" r="AD13" s="1"/>
  <c i="24" r="AE13" s="1"/>
  <c i="21" r="P83"/>
  <c i="21" r="V42" s="1"/>
  <c i="21" r="AD23" s="1"/>
  <c i="21" r="AE23" s="1"/>
  <c i="21" r="P84"/>
  <c i="21" r="V38" s="1"/>
  <c i="21" r="AD17" s="1"/>
  <c i="21" r="AE17" s="1"/>
  <c i="21" r="O83"/>
  <c i="21" r="V41" s="1"/>
  <c i="21" r="AD22" s="1"/>
  <c i="21" r="AE22" s="1"/>
  <c i="21" r="O84"/>
  <c i="21" r="V39" s="1"/>
  <c i="21" r="AD18" s="1"/>
  <c i="21" r="AE18" s="1"/>
  <c i="20" r="P84"/>
  <c i="20" r="V39" s="1"/>
  <c i="20" r="AD16" s="1"/>
  <c i="20" r="AE16" s="1"/>
  <c i="20" r="O84"/>
  <c i="20" r="V38" s="1"/>
  <c i="20" r="AD15" s="1"/>
  <c i="20" r="AE15" s="1"/>
  <c i="20" r="R85"/>
  <c i="20" r="V31" s="1"/>
  <c i="20" r="AD5" s="1"/>
  <c i="20" r="AE5" s="1"/>
  <c i="20" r="O85"/>
  <c i="20" r="V32" s="1"/>
  <c i="20" r="AD6" s="1"/>
  <c i="20" r="AE6" s="1"/>
  <c i="20" r="Q85"/>
  <c i="20" r="V33" s="1"/>
  <c i="20" r="AD7" s="1"/>
  <c i="20" r="AE7" s="1"/>
  <c i="11" l="1" r="S41"/>
  <c i="11" r="S32"/>
  <c i="11" r="S37"/>
  <c i="11" r="S33"/>
  <c i="11" r="S35"/>
  <c i="11" r="S39"/>
  <c i="11" r="S40"/>
  <c i="11" r="S38"/>
  <c i="11" r="S34"/>
  <c i="11" r="S36"/>
  <c i="20" r="AD9"/>
  <c i="20" r="AE9" s="1"/>
  <c i="20" r="AF1" s="1"/>
  <c i="24" r="R82"/>
  <c i="24" r="V40" s="1"/>
  <c i="24" r="AD21" s="1"/>
  <c i="24" r="AE21" s="1"/>
  <c i="24" r="R88"/>
  <c i="24" r="V45" s="1"/>
  <c i="24" r="AD29" s="1"/>
  <c i="24" r="AE29" s="1"/>
  <c i="24" r="R83"/>
  <c i="24" r="V37" s="1"/>
  <c i="24" r="AD17" s="1"/>
  <c i="24" r="AE17" s="1"/>
  <c i="24" r="R84"/>
  <c i="24" r="V34" s="1"/>
  <c i="24" r="AD8" s="1"/>
  <c i="24" r="AE8" s="1"/>
  <c i="24" r="R87"/>
  <c i="24" r="V42" s="1"/>
  <c i="24" r="AD24" s="1"/>
  <c i="24" r="AE24" s="1"/>
  <c i="24" r="R86"/>
  <c i="24" r="V31" s="1"/>
  <c i="24" r="AD5" s="1"/>
  <c i="24" r="AE5" s="1"/>
</calcChain>
</file>

<file path=xl/sharedStrings.xml><?xml version="1.0" encoding="utf-8"?>
<sst xmlns="http://schemas.openxmlformats.org/spreadsheetml/2006/main" count="2909" uniqueCount="314">
  <si>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</si>
  <si>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</si>
  <si>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</si>
  <si>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</si>
  <si>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</si>
  <si>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</si>
  <si>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</si>
  <si>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</si>
  <si>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</si>
  <si>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</si>
  <si>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</si>
  <si>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</si>
  <si>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</si>
  <si>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</si>
  <si>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</si>
  <si>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</si>
  <si>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</si>
  <si>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</si>
  <si>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</si>
  <si>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</si>
  <si>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</si>
  <si>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</si>
  <si>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</si>
  <si>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</si>
  <si>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</si>
  <si>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</si>
  <si>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</si>
  <si>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</si>
  <si>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</si>
  <si>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</si>
  <si>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</si>
  <si>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</si>
  <si>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</si>
  <si>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</si>
  <si>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</si>
  <si>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</si>
  <si>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</si>
  <si>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</si>
  <si>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</si>
  <si>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</si>
  <si>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</si>
  <si>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</si>
  <si>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</si>
  <si>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</si>
  <si>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</si>
  <si>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</si>
  <si>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</si>
  <si>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</si>
  <si>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</si>
  <si>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</si>
  <si>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</si>
  <si>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</si>
  <si>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</si>
  <si>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</si>
  <si>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</si>
  <si>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</si>
  <si>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</si>
  <si>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</si>
  <si>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</si>
  <si>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</si>
  <si>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</si>
  <si>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</si>
  <si>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</si>
  <si>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</si>
  <si>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</si>
  <si>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</si>
  <si>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</si>
  <si>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</si>
  <si>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</si>
  <si>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</si>
  <si>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</si>
  <si>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</si>
  <si>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</si>
  <si>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</si>
  <si>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</si>
  <si>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</si>
  <si>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</si>
  <si>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</si>
  <si>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</si>
  <si>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</si>
  <si>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</si>
  <si>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</si>
  <si>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</si>
  <si>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</si>
  <si>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</si>
  <si>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</si>
  <si>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</si>
  <si>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</si>
  <si>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</si>
  <si>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</si>
  <si>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</si>
  <si>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</si>
  <si>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</si>
  <si>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</si>
  <si>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</si>
  <si>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</si>
  <si>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</si>
  <si>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</si>
  <si>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</si>
  <si>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</si>
  <si>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</si>
  <si>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</si>
  <si>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</si>
  <si>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</si>
  <si>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</si>
  <si>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</si>
  <si>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</si>
  <si>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</si>
  <si>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</si>
  <si>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</si>
  <si>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</si>
  <si>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</si>
  <si>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</si>
  <si>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</si>
  <si>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</si>
  <si>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</si>
  <si>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</si>
  <si>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</si>
  <si>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</si>
  <si>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</si>
  <si>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</si>
  <si>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</si>
  <si>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</si>
  <si>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</si>
  <si>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</si>
  <si>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</si>
  <si>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</si>
  <si>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</si>
  <si>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</si>
  <si>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</si>
  <si>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</si>
  <si>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</si>
  <si>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</si>
  <si>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</si>
  <si>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</si>
  <si>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</si>
  <si>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</si>
  <si>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</si>
  <si>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</si>
  <si>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</si>
  <si>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</si>
  <si>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</si>
  <si>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</si>
  <si>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</si>
  <si>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</si>
  <si>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</si>
  <si>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</si>
  <si>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</si>
  <si>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</si>
  <si>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</si>
  <si>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</si>
  <si>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</si>
  <si>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</si>
  <si>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</si>
  <si>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</si>
  <si>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</si>
  <si>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</si>
  <si>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</si>
  <si>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</si>
  <si>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</si>
  <si>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</si>
  <si>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</si>
  <si>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</si>
  <si>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</si>
  <si>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</si>
  <si>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</si>
  <si>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</si>
  <si>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</si>
  <si>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</si>
  <si>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</si>
  <si>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</si>
  <si>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</si>
  <si>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</si>
  <si>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</si>
  <si>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</si>
  <si>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</si>
  <si>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</si>
  <si>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</si>
  <si>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</si>
  <si>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</si>
  <si>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</si>
  <si>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</si>
  <si>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</si>
  <si>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</si>
  <si>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</si>
  <si>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</si>
  <si>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</si>
  <si>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</si>
  <si>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</si>
  <si>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</si>
  <si>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</si>
  <si>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</si>
  <si>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</si>
  <si>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</si>
  <si>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</si>
  <si>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</si>
  <si>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</si>
  <si>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</si>
  <si>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</si>
  <si>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</si>
  <si>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</si>
  <si>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</si>
  <si>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</si>
  <si>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</si>
  <si>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</si>
  <si>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</si>
  <si>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</si>
  <si>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</si>
  <si>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</si>
  <si>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</si>
  <si>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</si>
  <si>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</si>
  <si>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</si>
  <si>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</si>
  <si>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</si>
  <si>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</si>
  <si>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</si>
  <si>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</si>
  <si>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</si>
  <si>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</si>
  <si>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</si>
  <si>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</si>
  <si>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</si>
  <si>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</si>
  <si>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</si>
  <si>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</si>
  <si>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</si>
  <si>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</si>
  <si>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</si>
  <si>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</si>
  <si>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</si>
  <si>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</si>
  <si>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</si>
  <si>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</si>
  <si>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</si>
  <si>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</si>
  <si>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</si>
  <si>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</si>
  <si>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</si>
  <si>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</si>
  <si>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</si>
  <si>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</si>
  <si>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</si>
  <si>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</si>
  <si>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AI3:AI49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</si>
  <si>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</si>
  <si>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</si>
  <si>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</si>
  <si>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</si>
  <si>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</si>
  <si>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</si>
  <si>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</si>
  <si>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</si>
  <si>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</si>
  <si>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</si>
  <si>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</si>
  <si>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</si>
  <si>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</si>
  <si>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</si>
  <si>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</si>
  <si>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</si>
  <si>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</si>
  <si>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</si>
  <si>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</si>
  <si>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</si>
  <si>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</si>
  <si>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</si>
  <si>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</si>
  <si>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</si>
  <si>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</si>
  <si>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</si>
  <si>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</si>
  <si>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</si>
  <si>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</si>
  <si>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sb-nocars</t>
  </si>
  <si>
    <t>sb-carsltd</t>
  </si>
  <si>
    <t>43, 37</t>
  </si>
  <si>
    <t>s3-carsltw</t>
  </si>
  <si>
    <t>Calibration coefficients for school tour purpose</t>
  </si>
  <si>
    <t>Calibration coefficients for escort tour purpose</t>
  </si>
  <si>
    <t>Calibration coefficients for other tour purpose</t>
  </si>
  <si>
    <t>Open "OtherHomeBasedTourModeCoefficients_SACOG-v1.5.F12" in UltraEdit</t>
  </si>
  <si>
    <t>Open "OtherHomeBasedTourModeCoefficients_SACOG-v1.5.F12"</t>
  </si>
  <si>
    <t>Open "OtherHomeBasedTourModeCoefficients_SACOG-v1.5.F12" ini Notepad+</t>
  </si>
  <si>
    <t>Open "EscortTourModeCoefficients_SACOG-v1.5.F12" in UltraEdit</t>
  </si>
  <si>
    <t>Open "EscortTourModeCoefficients_SACOG-v1.5.F12"</t>
  </si>
  <si>
    <t>Open "EscortTourModeCoefficients_SACOG-v1.5.F12" ini Notepad+</t>
  </si>
  <si>
    <t>Open "SchoolTourModeCoefficients_SACOG-v1.5.F12" ini Notepad+</t>
  </si>
  <si>
    <t>Open "SchoolTourModeCoefficients_SACOG-v1.5.F12" in UltraEdit</t>
  </si>
  <si>
    <t>Open "SchoolTourModeCoefficients_SACOG-v1.5.F12"</t>
  </si>
  <si>
    <t>Open "WorkTourModeCoefficients_SACOG-v1.5.F12" ini Notepad+</t>
  </si>
  <si>
    <t>Open "WorkTourModeCoefficients_SACOG-v1.5.F12" in UltraEdit</t>
  </si>
  <si>
    <t>Open "WorkTourModeCoefficients_SACOG-v1.5.F12"</t>
  </si>
  <si>
    <t>Survey (adjusted for transit)</t>
  </si>
  <si>
    <t>Open "WorkBasedSubtourModeCoefficients_SACOG-v1.5.F12" in Notepad+</t>
  </si>
  <si>
    <t>Open "WorkBasedSubtourModeCoefficients_SACOG-v1.5.F12" in UltraEdit</t>
  </si>
  <si>
    <t>Open "WorkBasedSubtourModeCoefficients_SACOG-v1.5.F12"</t>
  </si>
  <si>
    <t>WorkBased</t>
  </si>
  <si>
    <t>ABM</t>
  </si>
  <si>
    <t>Count</t>
  </si>
  <si>
    <t>Share</t>
  </si>
  <si>
    <t>ABM (share) -Survey (share)</t>
  </si>
  <si>
    <t>TNC</t>
  </si>
  <si>
    <t>Refer to "summary_transit_targets_08292024.xlsx"</t>
  </si>
  <si>
    <t>Survey (Nashville HTS and OBS) - updated on 8/29/2024</t>
  </si>
  <si>
    <t>Apr</t>
  </si>
  <si>
    <t>wt-inc75p</t>
  </si>
  <si>
    <t>014:02:09</t>
  </si>
  <si>
    <t>s2-carsltd</t>
  </si>
  <si>
    <t>014:17:24</t>
  </si>
  <si>
    <t>015:26:24</t>
  </si>
  <si>
    <t>015:24:16</t>
  </si>
  <si>
    <t>015:55:36</t>
  </si>
  <si>
    <t>SCALED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</si>
</sst>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mm/dd/yyyy\ hh:mm:ss"/>
    <numFmt numFmtId="166" formatCode="0.000000"/>
    <numFmt numFmtId="167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</cellStyleXfs>
  <cellXfs count="108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borderId="0" fillId="0" fontId="0" numFmtId="0" xfId="0">
      <alignment horizontal="center"/>
    </xf>
    <xf applyBorder="1" applyNumberFormat="1" borderId="3" fillId="0" fontId="0" numFmtId="3" xfId="0"/>
    <xf applyNumberFormat="1" borderId="0" fillId="0" fontId="0" numFmtId="164" xfId="0"/>
    <xf applyBorder="1" applyNumberFormat="1" borderId="3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Font="1" borderId="0" fillId="0" fontId="0" numFmtId="9" xfId="8"/>
    <xf applyAlignment="1" borderId="0" fillId="0" fontId="0" numFmtId="0" xfId="0">
      <alignment horizontal="right"/>
    </xf>
    <xf applyFont="1" applyNumberFormat="1" borderId="0" fillId="0" fontId="1" numFmtId="3" xfId="0"/>
    <xf applyBorder="1" applyFont="1" borderId="2" fillId="0" fontId="1" numFmtId="0" xfId="0"/>
    <xf applyAlignment="1" applyBorder="1" applyFont="1" borderId="2" fillId="0" fontId="1" numFmtId="0" xfId="0">
      <alignment horizontal="right"/>
    </xf>
    <xf applyAlignment="1" applyBorder="1" applyNumberFormat="1" borderId="5" fillId="0" fontId="0" numFmtId="2" xfId="0">
      <alignment horizontal="center"/>
    </xf>
    <xf applyAlignment="1" applyNumberFormat="1" borderId="0" fillId="0" fontId="0" numFmtId="2" xfId="0">
      <alignment horizontal="center"/>
    </xf>
    <xf applyAlignment="1" applyBorder="1" applyNumberFormat="1" borderId="3" fillId="0" fontId="0" numFmtId="2" xfId="0">
      <alignment horizontal="center"/>
    </xf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Alignmen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NumberFormat="1" borderId="5" fillId="0" fontId="0" numFmtId="166" xfId="0">
      <alignment horizontal="center"/>
    </xf>
    <xf applyAlignment="1" applyNumberFormat="1" borderId="0" fillId="0" fontId="0" numFmtId="166" xfId="0">
      <alignment horizontal="center"/>
    </xf>
    <xf applyAlignment="1" applyBorder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NumberFormat="1" borderId="6" fillId="0" fontId="0" numFmtId="2" xfId="0">
      <alignment horizontal="center"/>
    </xf>
    <xf applyAlignment="1" applyBorder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applyNumberFormat="1" borderId="8" fillId="0" fontId="0" numFmtId="2" xfId="0">
      <alignment horizontal="center"/>
    </xf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applyNumberFormat="1" borderId="3" fillId="2" fontId="0" numFmtId="3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Font="1" applyNumberFormat="1" borderId="0" fillId="0" fontId="0" numFmtId="164" xfId="8"/>
    <xf applyBorder="1" applyFill="1" applyNumberFormat="1" borderId="5" fillId="2" fontId="0" numFmtId="3" xfId="0"/>
    <xf applyBorder="1" applyFont="1" applyNumberFormat="1" borderId="1" fillId="0" fontId="1" numFmtId="3" xfId="0"/>
    <xf applyFill="1" applyNumberFormat="1" borderId="0" fillId="4" fontId="0" numFmtId="3" xfId="0"/>
    <xf applyFill="1" applyNumberFormat="1" borderId="0" fillId="4" fontId="0" numFmtId="164" xfId="0"/>
    <xf applyBorder="1" applyFont="1" applyNumberFormat="1" borderId="1" fillId="0" fontId="1" numFmtId="164" xfId="0"/>
    <xf applyBorder="1" applyFill="1" applyNumberFormat="1" borderId="5" fillId="2" fontId="0" numFmtId="164" xfId="0"/>
    <xf applyFill="1" applyNumberFormat="1" borderId="0" fillId="2" fontId="0" numFmtId="164" xfId="0"/>
    <xf applyBorder="1" applyFill="1" applyNumberFormat="1" borderId="3" fillId="2" fontId="0" numFmtId="164" xfId="0"/>
    <xf applyBorder="1" applyFill="1" applyFont="1" applyNumberFormat="1" borderId="1" fillId="2" fontId="1" numFmtId="3" xfId="0"/>
    <xf applyBorder="1" applyFill="1" applyFont="1" applyNumberFormat="1" borderId="1" fillId="2" fontId="1" numFmtId="164" xfId="0"/>
    <xf applyBorder="1" applyFont="1" borderId="4" fillId="0" fontId="1" numFmtId="0" xfId="0"/>
    <xf applyBorder="1" applyFont="1" applyNumberFormat="1" borderId="4" fillId="0" fontId="1" numFmtId="164" xfId="0"/>
    <xf applyBorder="1" applyFill="1" applyFont="1" borderId="0" fillId="2" fontId="0" numFmtId="9" xfId="8"/>
    <xf applyBorder="1" applyFill="1" applyFont="1" applyNumberFormat="1" borderId="0" fillId="2" fontId="1" numFmtId="164" xfId="8"/>
    <xf applyBorder="1" applyFill="1" applyFont="1" applyNumberFormat="1" borderId="0" fillId="2" fontId="0" numFmtId="164" xfId="8"/>
    <xf applyBorder="1" applyNumberFormat="1" borderId="1" fillId="0" fontId="0" numFmtId="164" xfId="0"/>
    <xf applyBorder="1" applyFont="1" borderId="0" fillId="0" fontId="0" numFmtId="9" xfId="8"/>
    <xf applyBorder="1" applyFont="1" borderId="10" fillId="0" fontId="1" numFmtId="0" xfId="0"/>
    <xf applyFill="1" applyNumberFormat="1" borderId="0" fillId="9" fontId="0" numFmtId="3" xfId="0"/>
    <xf applyFill="1" applyNumberFormat="1" borderId="0" fillId="10" fontId="0" numFmtId="3" xfId="0"/>
    <xf applyAlignment="1" applyFill="1" applyFont="1" borderId="0" fillId="2" fontId="1" numFmtId="0" xfId="0">
      <alignment horizontal="right"/>
    </xf>
    <xf applyAlignment="1" applyFill="1" applyFont="1" borderId="0" fillId="2" fontId="1" numFmtId="0" xfId="0">
      <alignment horizontal="center"/>
    </xf>
    <xf applyAlignme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Font="1" applyNumberFormat="1" borderId="0" fillId="0" fontId="6" numFmtId="3" xfId="0">
      <alignment horizontal="center"/>
    </xf>
    <xf applyFill="1" applyFont="1" applyNumberFormat="1" borderId="0" fillId="2" fontId="1" numFmtId="10" xfId="8"/>
  </cellXfs>
  <cellStyles count="9">
    <cellStyle builtinId="0" name="Normal" xfId="0"/>
    <cellStyle builtinId="5" name="Percent" xfId="8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22"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worksheets/sheet21.xml" Type="http://schemas.openxmlformats.org/officeDocument/2006/relationships/worksheet"/>
    <Relationship Id="rId22" Target="theme/theme1.xml" Type="http://schemas.openxmlformats.org/officeDocument/2006/relationships/theme"/>
    <Relationship Id="rId23" Target="styles.xml" Type="http://schemas.openxmlformats.org/officeDocument/2006/relationships/styles"/>
    <Relationship Id="rId24" Target="sharedStrings.xml" Type="http://schemas.openxmlformats.org/officeDocument/2006/relationships/sharedStrings"/>
    <Relationship Id="rId25" Target="calcChain.xml" Type="http://schemas.openxmlformats.org/officeDocument/2006/relationships/calcChain"/>
    <Relationship Id="rId26" Target="../customXml/item1.xml" Type="http://schemas.openxmlformats.org/officeDocument/2006/relationships/customXml"/>
    <Relationship Id="rId27" Target="../customXml/item2.xml" Type="http://schemas.openxmlformats.org/officeDocument/2006/relationships/customXml"/>
    <Relationship Id="rId28" Target="../customXml/item3.xml" Type="http://schemas.openxmlformats.org/officeDocument/2006/relationships/customXml"/>
    <Relationship Id="rId29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 Mode Shares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AllPurposes!$Z$1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AllPurposes!$X$4:$X$11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AllPurposes!$AD$18:$AD$25</c:f>
              <c:numCache>
                <c:formatCode>0.0%</c:formatCode>
                <c:ptCount val="8"/>
                <c:pt idx="0">
                  <c:v>0.4447764487286674</c:v>
                </c:pt>
                <c:pt idx="1">
                  <c:v>0.27155527433985038</c:v>
                </c:pt>
                <c:pt idx="2">
                  <c:v>0.18775524280830214</c:v>
                </c:pt>
                <c:pt formatCode="0.00%" idx="3">
                  <c:v>3.4253124128167485E-4</c:v>
                </c:pt>
                <c:pt idx="4">
                  <c:v>6.4120338920860857E-3</c:v>
                </c:pt>
                <c:pt idx="5">
                  <c:v>5.2252096011844006E-3</c:v>
                </c:pt>
                <c:pt idx="6">
                  <c:v>3.5894743306394222E-2</c:v>
                </c:pt>
                <c:pt idx="7">
                  <c:v>4.8038516082233834E-2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E-4A92-B10D-DEB5F079B6E4}"/>
            </c:ext>
          </c:extLst>
        </c:ser>
        <c:ser>
          <c:idx val="1"/>
          <c:order val="1"/>
          <c:tx>
            <c:strRef>
              <c:f>AllPurposes!$P$1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27432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AllPurposes!$X$4:$X$11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AllPurposes!$V$18:$V$25</c:f>
              <c:numCache>
                <c:formatCode>0.0%</c:formatCode>
                <c:ptCount val="8"/>
                <c:pt idx="0">
                  <c:v>0.4448877673913032</c:v>
                </c:pt>
                <c:pt idx="1">
                  <c:v>0.2716856614786935</c:v>
                </c:pt>
                <c:pt idx="2">
                  <c:v>0.18867342472449941</c:v>
                </c:pt>
                <c:pt formatCode="0.00%" idx="3">
                  <c:v>3.4617594028761139E-4</c:v>
                </c:pt>
                <c:pt idx="4">
                  <c:v>6.0341212111097173E-3</c:v>
                </c:pt>
                <c:pt idx="5">
                  <c:v>5.339077449194778E-3</c:v>
                </c:pt>
                <c:pt idx="6">
                  <c:v>3.4741420570388121E-2</c:v>
                </c:pt>
                <c:pt idx="7">
                  <c:v>4.8292351234523703E-2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EE-4A92-B10D-DEB5F079B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6803519"/>
        <c:axId val="1276805439"/>
      </c:barChart>
      <c:catAx>
        <c:axId val="1276803519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Mode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805439"/>
        <c:crosses val="autoZero"/>
        <c:auto val="1"/>
        <c:lblAlgn val="ctr"/>
        <c:lblOffset val="100"/>
        <c:noMultiLvlLbl val="0"/>
      </c:catAx>
      <c:valAx>
        <c:axId val="1276805439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803519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31</xdr:col>
      <xdr:colOff>526253</xdr:colOff>
      <xdr:row>6</xdr:row>
      <xdr:rowOff>152400</xdr:rowOff>
    </xdr:from>
    <xdr:to>
      <xdr:col>41</xdr:col>
      <xdr:colOff>47624</xdr:colOff>
      <xdr:row>22</xdr:row>
      <xdr:rowOff>157163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8D785B-2F1D-BFB4-4F17-0B793160EE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    <Relationship Id="rId1" Target="../printerSettings/printerSettings12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    <Relationship Id="rId1" Target="../printerSettings/printerSettings13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    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2"/>
  <sheetViews>
    <sheetView tabSelected="1" topLeftCell="M14" workbookViewId="0">
      <selection activeCell="X35" sqref="X35"/>
    </sheetView>
  </sheetViews>
  <sheetFormatPr defaultRowHeight="14.25" x14ac:dyDescent="0.45"/>
  <cols>
    <col min="1" max="2" customWidth="true" width="16.73046875" collapsed="true"/>
    <col min="4" max="5" customWidth="true" width="16.73046875" collapsed="true"/>
    <col min="8" max="8" bestFit="true" customWidth="true" width="14.1328125" collapsed="true"/>
    <col min="13" max="13" bestFit="true" customWidth="true" width="11.0" collapsed="true"/>
    <col min="15" max="15" customWidth="true" width="6.265625" collapsed="true"/>
    <col min="16" max="16" bestFit="true" customWidth="true" width="14.1328125" collapsed="true"/>
    <col min="21" max="21" bestFit="true" customWidth="true" width="10.59765625" collapsed="true"/>
    <col min="25" max="25" bestFit="true" customWidth="true" width="21.265625" collapsed="true"/>
  </cols>
  <sheetData>
    <row r="1" spans="1:30" x14ac:dyDescent="0.45">
      <c r="H1" s="103" t="s">
        <v>304</v>
      </c>
      <c r="I1" s="103"/>
      <c r="J1" s="103"/>
      <c r="K1" s="103"/>
      <c r="L1" s="103"/>
      <c r="M1" s="103"/>
      <c r="N1" s="103"/>
      <c r="O1" s="65"/>
      <c r="P1" s="103" t="s">
        <v>298</v>
      </c>
      <c r="Q1" s="103"/>
      <c r="R1" s="103"/>
      <c r="S1" s="103"/>
      <c r="T1" s="103"/>
      <c r="U1" s="103"/>
      <c r="V1" s="103"/>
      <c r="Y1" s="28" t="s">
        <v>313</v>
      </c>
      <c r="Z1" s="5" t="s">
        <v>46</v>
      </c>
    </row>
    <row ht="14.65" r="2" spans="1:30" thickBot="1" x14ac:dyDescent="0.5">
      <c r="A2" s="1" t="s">
        <v>251</v>
      </c>
      <c r="B2" s="3"/>
      <c r="D2" s="1" t="s">
        <v>24</v>
      </c>
      <c r="E2" s="3"/>
      <c r="H2" s="15" t="s">
        <v>299</v>
      </c>
      <c r="I2" s="16"/>
      <c r="J2" s="16"/>
      <c r="K2" s="16"/>
      <c r="L2" s="16"/>
      <c r="M2" s="16"/>
      <c r="N2" s="16"/>
      <c r="O2" s="65"/>
      <c r="P2" s="15" t="str">
        <f>H2</f>
        <v>Count</v>
      </c>
      <c r="Q2" s="16"/>
      <c r="R2" s="16"/>
      <c r="S2" s="16"/>
      <c r="T2" s="16"/>
      <c r="U2" s="16"/>
      <c r="V2" s="16"/>
    </row>
    <row r="3" spans="1:30" x14ac:dyDescent="0.45">
      <c r="A3" s="2" t="s">
        <v>0</v>
      </c>
      <c r="B3" s="7" t="s">
        <v>19</v>
      </c>
      <c r="D3" s="2" t="s">
        <v>0</v>
      </c>
      <c r="E3" s="7" t="s">
        <v>19</v>
      </c>
      <c r="H3" s="66" t="str">
        <f>A3</f>
        <v>Mode</v>
      </c>
      <c r="I3" s="102" t="s">
        <v>219</v>
      </c>
      <c r="J3" s="102" t="s">
        <v>229</v>
      </c>
      <c r="K3" s="102" t="s">
        <v>193</v>
      </c>
      <c r="L3" s="102" t="s">
        <v>194</v>
      </c>
      <c r="M3" s="102" t="s">
        <v>297</v>
      </c>
      <c r="N3" s="67" t="s">
        <v>19</v>
      </c>
      <c r="O3" s="65"/>
      <c r="P3" s="66" t="str">
        <f>D3</f>
        <v>Mode</v>
      </c>
      <c r="Q3" s="67" t="str">
        <f>I3</f>
        <v>Work</v>
      </c>
      <c r="R3" s="67" t="str">
        <f ref="R3:U3" si="0" t="shared">J3</f>
        <v>School</v>
      </c>
      <c r="S3" s="67" t="str">
        <f si="0" t="shared"/>
        <v>Escort</v>
      </c>
      <c r="T3" s="67" t="str">
        <f si="0" t="shared"/>
        <v>Other</v>
      </c>
      <c r="U3" s="67" t="str">
        <f si="0" t="shared"/>
        <v>WorkBased</v>
      </c>
      <c r="V3" s="67" t="str">
        <f>N3</f>
        <v>Total</v>
      </c>
      <c r="X3" s="66" t="str">
        <f>Q3</f>
        <v>Work</v>
      </c>
      <c r="Y3" s="67" t="s">
        <v>219</v>
      </c>
      <c r="Z3" s="67" t="s">
        <v>229</v>
      </c>
      <c r="AA3" s="67" t="s">
        <v>193</v>
      </c>
      <c r="AB3" s="67" t="s">
        <v>194</v>
      </c>
      <c r="AC3" s="67" t="s">
        <v>297</v>
      </c>
      <c r="AD3" s="67" t="s">
        <v>19</v>
      </c>
    </row>
    <row r="4" spans="1:30" x14ac:dyDescent="0.45">
      <c r="A4" s="9" t="s">
        <v>1</v>
      </c>
      <c r="B4" s="9">
        <f>Calibration_Work!F18+Calibration_School!F18+Calibration_Escort!F18+Calibration_Other!F18+Calibration_WorkBased!F18</f>
        <v>843179.70723333908</v>
      </c>
      <c r="D4" s="9" t="s">
        <v>1</v>
      </c>
      <c r="E4" s="9">
        <f>SUM(Work!Q4,Workbased!S5,School!Q4,Escort!Q4,Personal_Business!Q4,Shop!Q4,Meal!Q4,SocRec!Q4)</f>
        <v>826351</v>
      </c>
      <c r="H4" s="65" t="str">
        <f ref="H4:H13" si="1" t="shared">A4</f>
        <v>Drive Alone</v>
      </c>
      <c r="I4" s="82">
        <f>Calibration_Work!F18</f>
        <v>478933.26253336162</v>
      </c>
      <c r="J4" s="82">
        <f>Calibration_School!F18</f>
        <v>22077.587855011756</v>
      </c>
      <c r="K4" s="82">
        <f>Calibration_Escort!F18</f>
        <v>4767.8428029311453</v>
      </c>
      <c r="L4" s="82">
        <f>Calibration_Other!F18</f>
        <v>282564.02292050916</v>
      </c>
      <c r="M4" s="82">
        <f>Calibration_WorkBased!F18</f>
        <v>54836.991121525432</v>
      </c>
      <c r="N4" s="68">
        <f>SUM(I4:M4)</f>
        <v>843179.70723333908</v>
      </c>
      <c r="O4" s="65"/>
      <c r="P4" s="65" t="str">
        <f ref="P4:P13" si="2" t="shared">D4</f>
        <v>Drive Alone</v>
      </c>
      <c r="Q4" s="17">
        <f>Calibration_Work!L18</f>
        <v>475818</v>
      </c>
      <c r="R4" s="17">
        <f>Calibration_School!L18</f>
        <v>21339</v>
      </c>
      <c r="S4" s="17">
        <f>Calibration_Escort!L18</f>
        <v>3697</v>
      </c>
      <c r="T4" s="17">
        <f>Calibration_Other!L18</f>
        <v>271053</v>
      </c>
      <c r="U4" s="17">
        <f>Calibration_WorkBased!L18</f>
        <v>54444</v>
      </c>
      <c r="V4" s="68">
        <f>SUM(Q4:U4)</f>
        <v>826351</v>
      </c>
      <c r="X4" s="65" t="str">
        <f>H4</f>
        <v>Drive Alone</v>
      </c>
      <c r="Y4" s="17">
        <f>I4*Q$13/I$13</f>
        <v>475129.69673993398</v>
      </c>
      <c r="Z4" s="17">
        <f ref="Z4:AC13" si="3" t="shared">J4*R$13/J$13</f>
        <v>21166.398538907455</v>
      </c>
      <c r="AA4" s="17">
        <f si="3" t="shared"/>
        <v>4031.0444585789164</v>
      </c>
      <c r="AB4" s="17">
        <f si="3" t="shared"/>
        <v>271431.39858307934</v>
      </c>
      <c r="AC4" s="17">
        <f si="3" t="shared"/>
        <v>54385.694276729919</v>
      </c>
      <c r="AD4" s="68">
        <f>SUM(Y4:AC4)</f>
        <v>826144.23259722965</v>
      </c>
    </row>
    <row r="5" spans="1:30" x14ac:dyDescent="0.45">
      <c r="A5" s="9" t="s">
        <v>2</v>
      </c>
      <c r="B5" s="9">
        <f>Calibration_Work!F19+Calibration_School!F19+Calibration_Escort!F19+Calibration_Other!F19+Calibration_WorkBased!F19</f>
        <v>532372.89084907796</v>
      </c>
      <c r="D5" s="9" t="s">
        <v>2</v>
      </c>
      <c r="E5" s="9">
        <f>SUM(Work!Q5,Workbased!S6,School!Q5,Escort!Q5,Personal_Business!Q5,Shop!Q5,Meal!Q5,SocRec!Q5)</f>
        <v>504639</v>
      </c>
      <c r="H5" s="65" t="str">
        <f si="1" t="shared"/>
        <v>Shared Ride 2</v>
      </c>
      <c r="I5" s="17">
        <f>Calibration_Work!F19</f>
        <v>135556.67472182235</v>
      </c>
      <c r="J5" s="17">
        <f>Calibration_School!F19</f>
        <v>35435.494350136651</v>
      </c>
      <c r="K5" s="17">
        <f>Calibration_Escort!F19</f>
        <v>103692.27273317946</v>
      </c>
      <c r="L5" s="17">
        <f>Calibration_Other!F19</f>
        <v>233958.94061756233</v>
      </c>
      <c r="M5" s="17">
        <f>Calibration_WorkBased!F19</f>
        <v>23729.50842637715</v>
      </c>
      <c r="N5" s="68">
        <f ref="N5:N11" si="4" t="shared">SUM(I5:M5)</f>
        <v>532372.89084907796</v>
      </c>
      <c r="O5" s="65"/>
      <c r="P5" s="65" t="str">
        <f si="2" t="shared"/>
        <v>Shared Ride 2</v>
      </c>
      <c r="Q5" s="17">
        <f>Calibration_Work!L19</f>
        <v>135442</v>
      </c>
      <c r="R5" s="17">
        <f>Calibration_School!L19</f>
        <v>33434</v>
      </c>
      <c r="S5" s="17">
        <f>Calibration_Escort!L19</f>
        <v>86789</v>
      </c>
      <c r="T5" s="17">
        <f>Calibration_Other!L19</f>
        <v>225103</v>
      </c>
      <c r="U5" s="17">
        <f>Calibration_WorkBased!L19</f>
        <v>23871</v>
      </c>
      <c r="V5" s="68">
        <f ref="V5:V11" si="5" t="shared">SUM(Q5:U5)</f>
        <v>504639</v>
      </c>
      <c r="X5" s="65" t="str">
        <f ref="X5:X13" si="6" t="shared">H5</f>
        <v>Shared Ride 2</v>
      </c>
      <c r="Y5" s="17">
        <f ref="Y5:Y13" si="7" t="shared">I5*Q$13/I$13</f>
        <v>134480.11819218099</v>
      </c>
      <c r="Z5" s="17">
        <f si="3" t="shared"/>
        <v>33972.995635387379</v>
      </c>
      <c r="AA5" s="17">
        <f si="3" t="shared"/>
        <v>87668.192655506282</v>
      </c>
      <c r="AB5" s="17">
        <f si="3" t="shared"/>
        <v>224741.28803264321</v>
      </c>
      <c r="AC5" s="17">
        <f si="3" t="shared"/>
        <v>23534.219588270771</v>
      </c>
      <c r="AD5" s="68">
        <f ref="AD5:AD12" si="8" t="shared">SUM(Y5:AC5)</f>
        <v>504396.81410398858</v>
      </c>
    </row>
    <row r="6" spans="1:30" x14ac:dyDescent="0.45">
      <c r="A6" s="9" t="s">
        <v>3</v>
      </c>
      <c r="B6" s="9">
        <f>Calibration_Work!F20+Calibration_School!F20+Calibration_Escort!F20+Calibration_Other!F20+Calibration_WorkBased!F20</f>
        <v>372937.78213589743</v>
      </c>
      <c r="D6" s="9" t="s">
        <v>3</v>
      </c>
      <c r="E6" s="9">
        <f>SUM(Work!Q6,Workbased!S7,School!Q6,Escort!Q6,Personal_Business!Q6,Shop!Q6,Meal!Q6,SocRec!Q6)</f>
        <v>350449</v>
      </c>
      <c r="H6" s="65" t="str">
        <f si="1" t="shared"/>
        <v>Shared Ride 3+</v>
      </c>
      <c r="I6" s="17">
        <f>Calibration_Work!F20</f>
        <v>50762.314926553125</v>
      </c>
      <c r="J6" s="17">
        <f>Calibration_School!F20</f>
        <v>74504.546627723554</v>
      </c>
      <c r="K6" s="17">
        <f>Calibration_Escort!F20</f>
        <v>97773.06088199075</v>
      </c>
      <c r="L6" s="17">
        <f>Calibration_Other!F20</f>
        <v>140305.71297491645</v>
      </c>
      <c r="M6" s="17">
        <f>Calibration_WorkBased!F20</f>
        <v>9592.1467247135843</v>
      </c>
      <c r="N6" s="68">
        <f si="4" t="shared"/>
        <v>372937.78213589743</v>
      </c>
      <c r="O6" s="65"/>
      <c r="P6" s="65" t="str">
        <f si="2" t="shared"/>
        <v>Shared Ride 3+</v>
      </c>
      <c r="Q6" s="17">
        <f>Calibration_Work!L20</f>
        <v>49547</v>
      </c>
      <c r="R6" s="17">
        <f>Calibration_School!L20</f>
        <v>71271</v>
      </c>
      <c r="S6" s="17">
        <f>Calibration_Escort!L20</f>
        <v>84187</v>
      </c>
      <c r="T6" s="17">
        <f>Calibration_Other!L20</f>
        <v>135310</v>
      </c>
      <c r="U6" s="17">
        <f>Calibration_WorkBased!L20</f>
        <v>10134</v>
      </c>
      <c r="V6" s="68">
        <f si="5" t="shared"/>
        <v>350449</v>
      </c>
      <c r="X6" s="65" t="str">
        <f si="6" t="shared"/>
        <v>Shared Ride 3+</v>
      </c>
      <c r="Y6" s="17">
        <f si="7" t="shared"/>
        <v>50359.173571057087</v>
      </c>
      <c r="Z6" s="17">
        <f si="3" t="shared"/>
        <v>71429.584483570405</v>
      </c>
      <c r="AA6" s="17">
        <f si="3" t="shared"/>
        <v>82663.705905813113</v>
      </c>
      <c r="AB6" s="17">
        <f si="3" t="shared"/>
        <v>134777.86559080551</v>
      </c>
      <c r="AC6" s="17">
        <f si="3" t="shared"/>
        <v>9513.2053848781161</v>
      </c>
      <c r="AD6" s="68">
        <f si="8" t="shared"/>
        <v>348743.53493612423</v>
      </c>
    </row>
    <row r="7" spans="1:30" x14ac:dyDescent="0.45">
      <c r="A7" s="9" t="s">
        <v>4</v>
      </c>
      <c r="B7" s="9">
        <f>Calibration_Work!F21+Calibration_School!F21+Calibration_Escort!F21+Calibration_Other!F21+Calibration_WorkBased!F21</f>
        <v>641.32342827594528</v>
      </c>
      <c r="D7" s="9" t="s">
        <v>4</v>
      </c>
      <c r="E7" s="9">
        <f>SUM(Work!Q7,Workbased!S8,School!Q7,Escort!Q7,Personal_Business!Q7,Shop!Q7,Meal!Q7,SocRec!Q7)</f>
        <v>643</v>
      </c>
      <c r="H7" s="65" t="str">
        <f si="1" t="shared"/>
        <v>Drive-Transit</v>
      </c>
      <c r="I7" s="17">
        <f>Calibration_Work!F21</f>
        <v>641.32342827594528</v>
      </c>
      <c r="J7" s="17">
        <f>Calibration_School!F21</f>
        <v>0</v>
      </c>
      <c r="K7" s="17">
        <f>Calibration_Escort!F21</f>
        <v>0</v>
      </c>
      <c r="L7" s="17">
        <f>Calibration_Other!F21</f>
        <v>0</v>
      </c>
      <c r="M7" s="17">
        <f>Calibration_WorkBased!F21</f>
        <v>0</v>
      </c>
      <c r="N7" s="68">
        <f si="4" t="shared"/>
        <v>641.32342827594528</v>
      </c>
      <c r="O7" s="65"/>
      <c r="P7" s="65" t="str">
        <f si="2" t="shared"/>
        <v>Drive-Transit</v>
      </c>
      <c r="Q7" s="17">
        <f>Calibration_Work!L21</f>
        <v>643</v>
      </c>
      <c r="R7" s="17">
        <f>Calibration_School!L21</f>
        <v>0</v>
      </c>
      <c r="S7" s="17">
        <f>Calibration_Escort!L21</f>
        <v>0</v>
      </c>
      <c r="T7" s="17">
        <f>Calibration_Other!L21</f>
        <v>0</v>
      </c>
      <c r="U7" s="17">
        <f>Calibration_WorkBased!L21</f>
        <v>0</v>
      </c>
      <c r="V7" s="68">
        <f si="5" t="shared"/>
        <v>643</v>
      </c>
      <c r="X7" s="65" t="str">
        <f si="6" t="shared"/>
        <v>Drive-Transit</v>
      </c>
      <c r="Y7" s="17">
        <f si="7" t="shared"/>
        <v>636.23020121251022</v>
      </c>
      <c r="Z7" s="17">
        <f si="3" t="shared"/>
        <v>0</v>
      </c>
      <c r="AA7" s="17">
        <f si="3" t="shared"/>
        <v>0</v>
      </c>
      <c r="AB7" s="17">
        <f si="3" t="shared"/>
        <v>0</v>
      </c>
      <c r="AC7" s="17">
        <f si="3" t="shared"/>
        <v>0</v>
      </c>
      <c r="AD7" s="68">
        <f si="8" t="shared"/>
        <v>636.23020121251022</v>
      </c>
    </row>
    <row r="8" spans="1:30" x14ac:dyDescent="0.45">
      <c r="A8" s="9" t="s">
        <v>5</v>
      </c>
      <c r="B8" s="9">
        <f>Calibration_Work!F22+Calibration_School!F22+Calibration_Escort!F22+Calibration_Other!F22+Calibration_WorkBased!F22</f>
        <v>12285.444489569863</v>
      </c>
      <c r="D8" s="9" t="s">
        <v>5</v>
      </c>
      <c r="E8" s="9">
        <f>SUM(Work!Q8,Workbased!S9,School!Q8,Escort!Q8,Personal_Business!Q8,Shop!Q8,Meal!Q8,SocRec!Q8)</f>
        <v>11208</v>
      </c>
      <c r="H8" s="65" t="str">
        <f si="1" t="shared"/>
        <v>Walk-Transit</v>
      </c>
      <c r="I8" s="17">
        <f>Calibration_Work!F22</f>
        <v>5400.8349511248553</v>
      </c>
      <c r="J8" s="17">
        <f>Calibration_School!F22</f>
        <v>934.11626042263595</v>
      </c>
      <c r="K8" s="17">
        <f>Calibration_Escort!F22</f>
        <v>596.65074156725905</v>
      </c>
      <c r="L8" s="17">
        <f>Calibration_Other!F22</f>
        <v>5062.3080165035417</v>
      </c>
      <c r="M8" s="17">
        <f>Calibration_WorkBased!F22</f>
        <v>291.53451995157036</v>
      </c>
      <c r="N8" s="68">
        <f si="4" t="shared"/>
        <v>12285.444489569863</v>
      </c>
      <c r="O8" s="65"/>
      <c r="P8" s="65" t="str">
        <f si="2" t="shared"/>
        <v>Walk-Transit</v>
      </c>
      <c r="Q8" s="17">
        <f>Calibration_Work!L22</f>
        <v>5015</v>
      </c>
      <c r="R8" s="17">
        <f>Calibration_School!L22</f>
        <v>941</v>
      </c>
      <c r="S8" s="17">
        <f>Calibration_Escort!L22</f>
        <v>0</v>
      </c>
      <c r="T8" s="17">
        <f>Calibration_Other!L22</f>
        <v>4997</v>
      </c>
      <c r="U8" s="17">
        <f>Calibration_WorkBased!L22</f>
        <v>255</v>
      </c>
      <c r="V8" s="68">
        <f si="5" t="shared"/>
        <v>11208</v>
      </c>
      <c r="X8" s="65" t="str">
        <f si="6" t="shared"/>
        <v>Walk-Transit</v>
      </c>
      <c r="Y8" s="17">
        <f si="7" t="shared"/>
        <v>5357.9428977156058</v>
      </c>
      <c r="Z8" s="17">
        <f si="3" t="shared"/>
        <v>895.56328253002664</v>
      </c>
      <c r="AA8" s="17">
        <f si="3" t="shared"/>
        <v>504.44734965320004</v>
      </c>
      <c r="AB8" s="17">
        <f si="3" t="shared"/>
        <v>4862.8602140352577</v>
      </c>
      <c r="AC8" s="17">
        <f si="3" t="shared"/>
        <v>289.13525248061183</v>
      </c>
      <c r="AD8" s="68">
        <f si="8" t="shared"/>
        <v>11909.948996414701</v>
      </c>
    </row>
    <row r="9" spans="1:30" x14ac:dyDescent="0.45">
      <c r="A9" s="9" t="s">
        <v>6</v>
      </c>
      <c r="B9" s="9">
        <f>Calibration_Work!F23+Calibration_School!F23+Calibration_Escort!F23+Calibration_Other!F23+Calibration_WorkBased!F23</f>
        <v>9945.0963669364683</v>
      </c>
      <c r="D9" s="9" t="s">
        <v>6</v>
      </c>
      <c r="E9" s="9">
        <f>SUM(Work!Q9,Workbased!S10,School!Q9,Escort!Q9,Personal_Business!Q9,Shop!Q9,Meal!Q9,SocRec!Q9)</f>
        <v>9917</v>
      </c>
      <c r="H9" s="65" t="str">
        <f si="1" t="shared"/>
        <v>Bike</v>
      </c>
      <c r="I9" s="17">
        <f>Calibration_Work!F23</f>
        <v>4492.4701638365323</v>
      </c>
      <c r="J9" s="17">
        <f>Calibration_School!F23</f>
        <v>471.50088389216228</v>
      </c>
      <c r="K9" s="17">
        <f>Calibration_Escort!F23</f>
        <v>0</v>
      </c>
      <c r="L9" s="17">
        <f>Calibration_Other!F23</f>
        <v>4602.910576054549</v>
      </c>
      <c r="M9" s="17">
        <f>Calibration_WorkBased!F23</f>
        <v>378.2147431532249</v>
      </c>
      <c r="N9" s="68">
        <f si="4" t="shared"/>
        <v>9945.0963669364683</v>
      </c>
      <c r="O9" s="65"/>
      <c r="P9" s="65" t="str">
        <f si="2" t="shared"/>
        <v>Bike</v>
      </c>
      <c r="Q9" s="17">
        <f>Calibration_Work!L23</f>
        <v>4434</v>
      </c>
      <c r="R9" s="17">
        <f>Calibration_School!L23</f>
        <v>393</v>
      </c>
      <c r="S9" s="17">
        <f>Calibration_Escort!L23</f>
        <v>443</v>
      </c>
      <c r="T9" s="17">
        <f>Calibration_Other!L23</f>
        <v>4256</v>
      </c>
      <c r="U9" s="17">
        <f>Calibration_WorkBased!L23</f>
        <v>391</v>
      </c>
      <c r="V9" s="68">
        <f si="5" t="shared"/>
        <v>9917</v>
      </c>
      <c r="X9" s="65" t="str">
        <f si="6" t="shared"/>
        <v>Bike</v>
      </c>
      <c r="Y9" s="17">
        <f si="7" t="shared"/>
        <v>4456.7921118407749</v>
      </c>
      <c r="Z9" s="17">
        <f si="3" t="shared"/>
        <v>452.04103299007448</v>
      </c>
      <c r="AA9" s="17">
        <f si="3" t="shared"/>
        <v>0</v>
      </c>
      <c r="AB9" s="17">
        <f si="3" t="shared"/>
        <v>4421.562385395423</v>
      </c>
      <c r="AC9" s="17">
        <f si="3" t="shared"/>
        <v>375.10211576887531</v>
      </c>
      <c r="AD9" s="68">
        <f si="8" t="shared"/>
        <v>9705.4976459951486</v>
      </c>
    </row>
    <row r="10" spans="1:30" x14ac:dyDescent="0.45">
      <c r="A10" s="9" t="s">
        <v>7</v>
      </c>
      <c r="B10" s="9">
        <f>Calibration_Work!F24+Calibration_School!F24+Calibration_Escort!F24+Calibration_Other!F24+Calibration_WorkBased!F24</f>
        <v>69326.909800628666</v>
      </c>
      <c r="D10" s="9" t="s">
        <v>7</v>
      </c>
      <c r="E10" s="9">
        <f>SUM(Work!Q10,Workbased!S11,School!Q10,Escort!Q10,Personal_Business!Q10,Shop!Q10,Meal!Q10,SocRec!Q10)</f>
        <v>64530</v>
      </c>
      <c r="H10" s="65" t="str">
        <f si="1" t="shared"/>
        <v>Walk</v>
      </c>
      <c r="I10" s="17">
        <f>Calibration_Work!F24</f>
        <v>6179.119275025565</v>
      </c>
      <c r="J10" s="17">
        <f>Calibration_School!F24</f>
        <v>5431.0509294303747</v>
      </c>
      <c r="K10" s="17">
        <f>Calibration_Escort!F24</f>
        <v>5406.0302374397561</v>
      </c>
      <c r="L10" s="17">
        <f>Calibration_Other!F24</f>
        <v>35790.104894453922</v>
      </c>
      <c r="M10" s="17">
        <f>Calibration_WorkBased!F24</f>
        <v>16520.604464279044</v>
      </c>
      <c r="N10" s="68">
        <f si="4" t="shared"/>
        <v>69326.909800628666</v>
      </c>
      <c r="O10" s="65"/>
      <c r="P10" s="65" t="str">
        <f si="2" t="shared"/>
        <v>Walk</v>
      </c>
      <c r="Q10" s="17">
        <f>Calibration_Work!L24</f>
        <v>5651</v>
      </c>
      <c r="R10" s="17">
        <f>Calibration_School!L24</f>
        <v>5274</v>
      </c>
      <c r="S10" s="17">
        <f>Calibration_Escort!L24</f>
        <v>4322</v>
      </c>
      <c r="T10" s="17">
        <f>Calibration_Other!L24</f>
        <v>33896</v>
      </c>
      <c r="U10" s="17">
        <f>Calibration_WorkBased!L24</f>
        <v>15387</v>
      </c>
      <c r="V10" s="68">
        <f si="5" t="shared"/>
        <v>64530</v>
      </c>
      <c r="X10" s="65" t="str">
        <f si="6" t="shared"/>
        <v>Walk</v>
      </c>
      <c r="Y10" s="17">
        <f si="7" t="shared"/>
        <v>6130.0462860590496</v>
      </c>
      <c r="Z10" s="17">
        <f si="3" t="shared"/>
        <v>5206.8998303784956</v>
      </c>
      <c r="AA10" s="17">
        <f si="3" t="shared"/>
        <v>4570.6096304484854</v>
      </c>
      <c r="AB10" s="17">
        <f si="3" t="shared"/>
        <v>34380.025194041205</v>
      </c>
      <c r="AC10" s="17">
        <f si="3" t="shared"/>
        <v>16384.643381871712</v>
      </c>
      <c r="AD10" s="68">
        <f si="8" t="shared"/>
        <v>66672.224322798953</v>
      </c>
    </row>
    <row r="11" spans="1:30" x14ac:dyDescent="0.45">
      <c r="A11" s="9" t="s">
        <v>8</v>
      </c>
      <c r="B11" s="9">
        <f>Calibration_Work!F25+Calibration_School!F25+Calibration_Escort!F25+Calibration_Other!F25+Calibration_WorkBased!F25</f>
        <v>93069.703093382923</v>
      </c>
      <c r="D11" s="9" t="s">
        <v>8</v>
      </c>
      <c r="E11" s="9">
        <f>SUM(Work!Q11,School!Q11,Escort!Q11,Personal_Business!Q11,Shop!Q11,Meal!Q11,SocRec!Q11)</f>
        <v>89700</v>
      </c>
      <c r="H11" s="65" t="str">
        <f si="1" t="shared"/>
        <v>School Bus</v>
      </c>
      <c r="I11" s="17">
        <f>Calibration_Work!F25</f>
        <v>0</v>
      </c>
      <c r="J11" s="17">
        <f>Calibration_School!F25</f>
        <v>93069.703093382923</v>
      </c>
      <c r="K11" s="17">
        <f>Calibration_Escort!F25</f>
        <v>0</v>
      </c>
      <c r="L11" s="17">
        <f>Calibration_Other!F25</f>
        <v>0</v>
      </c>
      <c r="M11" s="17">
        <f>Calibration_WorkBased!F25</f>
        <v>0</v>
      </c>
      <c r="N11" s="68">
        <f si="4" t="shared"/>
        <v>93069.703093382923</v>
      </c>
      <c r="O11" s="65"/>
      <c r="P11" s="65" t="str">
        <f si="2" t="shared"/>
        <v>School Bus</v>
      </c>
      <c r="Q11" s="17">
        <f>Calibration_Work!L25</f>
        <v>0</v>
      </c>
      <c r="R11" s="17">
        <f>Calibration_School!L25</f>
        <v>89700</v>
      </c>
      <c r="S11" s="17">
        <f>Calibration_Escort!L25</f>
        <v>0</v>
      </c>
      <c r="T11" s="17">
        <f>Calibration_Other!L25</f>
        <v>0</v>
      </c>
      <c r="U11" s="100">
        <v>0</v>
      </c>
      <c r="V11" s="68">
        <f si="5" t="shared"/>
        <v>89700</v>
      </c>
      <c r="X11" s="65" t="str">
        <f si="6" t="shared"/>
        <v>School Bus</v>
      </c>
      <c r="Y11" s="17">
        <f si="7" t="shared"/>
        <v>0</v>
      </c>
      <c r="Z11" s="17">
        <f si="3" t="shared"/>
        <v>89228.517196236149</v>
      </c>
      <c r="AA11" s="17">
        <f si="3" t="shared"/>
        <v>0</v>
      </c>
      <c r="AB11" s="17">
        <f si="3" t="shared"/>
        <v>0</v>
      </c>
      <c r="AC11" s="100">
        <f si="3" t="shared"/>
        <v>0</v>
      </c>
      <c r="AD11" s="68">
        <f si="8" t="shared"/>
        <v>89228.517196236149</v>
      </c>
    </row>
    <row r="12" spans="1:30" x14ac:dyDescent="0.45">
      <c r="A12" s="12" t="s">
        <v>302</v>
      </c>
      <c r="B12" s="12">
        <f>Calibration_Work!F26+Calibration_School!F26+Calibration_Other!F26+Calibration_WorkBased!F26</f>
        <v>0</v>
      </c>
      <c r="D12" s="12" t="s">
        <v>302</v>
      </c>
      <c r="E12" s="9">
        <f>SUM(Work!Q12,Workbased!S12,School!Q12,Escort!Q12,Personal_Business!Q12,Shop!Q12,Meal!Q12,SocRec!Q12)</f>
        <v>0</v>
      </c>
      <c r="H12" s="65" t="s">
        <v>302</v>
      </c>
      <c r="I12" s="69">
        <f>Calibration_Work!F26</f>
        <v>0</v>
      </c>
      <c r="J12" s="69">
        <f>Calibration_School!F26</f>
        <v>0</v>
      </c>
      <c r="K12" s="69">
        <v>0</v>
      </c>
      <c r="L12" s="69">
        <f>Calibration_Other!F26</f>
        <v>0</v>
      </c>
      <c r="M12" s="69">
        <f>Calibration_WorkBased!F26</f>
        <v>0</v>
      </c>
      <c r="N12" s="70">
        <f ref="N12" si="9" t="shared">SUM(I12:M12)</f>
        <v>0</v>
      </c>
      <c r="O12" s="65"/>
      <c r="P12" s="65" t="str">
        <f si="2" t="shared"/>
        <v>TNC</v>
      </c>
      <c r="Q12" s="17">
        <f>Calibration_Work!L26</f>
        <v>0</v>
      </c>
      <c r="R12" s="17">
        <f>Calibration_School!L26</f>
        <v>0</v>
      </c>
      <c r="S12" s="100">
        <v>0</v>
      </c>
      <c r="T12" s="17">
        <f>Calibration_Other!L26</f>
        <v>0</v>
      </c>
      <c r="U12" s="69">
        <f>Calibration_WorkBased!L25</f>
        <v>0</v>
      </c>
      <c r="V12" s="70">
        <f ref="V12" si="10" t="shared">SUM(Q12:U12)</f>
        <v>0</v>
      </c>
      <c r="X12" s="65" t="str">
        <f si="6" t="shared"/>
        <v>TNC</v>
      </c>
      <c r="Y12" s="17">
        <f si="7" t="shared"/>
        <v>0</v>
      </c>
      <c r="Z12" s="17">
        <f si="3" t="shared"/>
        <v>0</v>
      </c>
      <c r="AA12" s="100">
        <f si="3" t="shared"/>
        <v>0</v>
      </c>
      <c r="AB12" s="17">
        <f si="3" t="shared"/>
        <v>0</v>
      </c>
      <c r="AC12" s="69">
        <f si="3" t="shared"/>
        <v>0</v>
      </c>
      <c r="AD12" s="70">
        <f si="8" t="shared"/>
        <v>0</v>
      </c>
    </row>
    <row ht="14.65" r="13" spans="1:30" thickBot="1" x14ac:dyDescent="0.5">
      <c r="A13" s="10" t="s">
        <v>19</v>
      </c>
      <c r="B13" s="10">
        <f>SUM(B4:B12)</f>
        <v>1933758.8573971086</v>
      </c>
      <c r="D13" s="10" t="s">
        <v>19</v>
      </c>
      <c r="E13" s="10">
        <f>SUM(E4:E12)</f>
        <v>1857437</v>
      </c>
      <c r="H13" s="71" t="str">
        <f si="1" t="shared"/>
        <v>Total</v>
      </c>
      <c r="I13" s="90">
        <f>SUM(I4:I12)</f>
        <v>681966</v>
      </c>
      <c r="J13" s="90">
        <f ref="J13:N13" si="11" t="shared">SUM(J4:J12)</f>
        <v>231924.00000000006</v>
      </c>
      <c r="K13" s="90">
        <f si="11" t="shared"/>
        <v>212235.85739710837</v>
      </c>
      <c r="L13" s="90">
        <f si="11" t="shared"/>
        <v>702284</v>
      </c>
      <c r="M13" s="90">
        <f si="11" t="shared"/>
        <v>105349</v>
      </c>
      <c r="N13" s="72">
        <f si="11" t="shared"/>
        <v>1933758.8573971086</v>
      </c>
      <c r="O13" s="65"/>
      <c r="P13" s="71" t="str">
        <f si="2" t="shared"/>
        <v>Total</v>
      </c>
      <c r="Q13" s="72">
        <f>SUM(Q4:Q12)</f>
        <v>676550</v>
      </c>
      <c r="R13" s="72">
        <f ref="R13" si="12" t="shared">SUM(R4:R12)</f>
        <v>222352</v>
      </c>
      <c r="S13" s="72">
        <f ref="S13" si="13" t="shared">SUM(S4:S12)</f>
        <v>179438</v>
      </c>
      <c r="T13" s="72">
        <f ref="T13" si="14" t="shared">SUM(T4:T12)</f>
        <v>674615</v>
      </c>
      <c r="U13" s="72">
        <f ref="U13" si="15" t="shared">SUM(U4:U12)</f>
        <v>104482</v>
      </c>
      <c r="V13" s="72">
        <f ref="V13" si="16" t="shared">SUM(V4:V12)</f>
        <v>1857437</v>
      </c>
      <c r="X13" s="71" t="str">
        <f si="6" t="shared"/>
        <v>Total</v>
      </c>
      <c r="Y13" s="72">
        <f si="7" t="shared"/>
        <v>676550</v>
      </c>
      <c r="Z13" s="72">
        <f si="3" t="shared"/>
        <v>222352</v>
      </c>
      <c r="AA13" s="72">
        <f si="3" t="shared"/>
        <v>179438</v>
      </c>
      <c r="AB13" s="72">
        <f si="3" t="shared"/>
        <v>674615</v>
      </c>
      <c r="AC13" s="72">
        <f si="3" t="shared"/>
        <v>104482</v>
      </c>
      <c r="AD13" s="72">
        <f ref="Z13:AD13" si="17" t="shared">SUM(AD4:AD12)</f>
        <v>1857436.9999999998</v>
      </c>
    </row>
    <row r="14" spans="1:30" x14ac:dyDescent="0.45"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</row>
    <row r="15" spans="1:30" x14ac:dyDescent="0.45">
      <c r="E15" s="8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ht="14.65" r="16" spans="1:30" thickBot="1" x14ac:dyDescent="0.5">
      <c r="A16" s="1" t="s">
        <v>44</v>
      </c>
      <c r="B16" s="3"/>
      <c r="D16" s="1" t="s">
        <v>25</v>
      </c>
      <c r="E16" s="3"/>
      <c r="H16" s="15" t="s">
        <v>300</v>
      </c>
      <c r="I16" s="16"/>
      <c r="J16" s="16"/>
      <c r="K16" s="16"/>
      <c r="L16" s="16"/>
      <c r="M16" s="16"/>
      <c r="N16" s="16"/>
      <c r="O16" s="65"/>
      <c r="P16" s="15" t="str">
        <f>H16</f>
        <v>Share</v>
      </c>
      <c r="Q16" s="16"/>
      <c r="R16" s="16"/>
      <c r="S16" s="16"/>
      <c r="T16" s="16"/>
      <c r="U16" s="16"/>
      <c r="V16" s="16"/>
      <c r="X16" s="15" t="str">
        <f>P16</f>
        <v>Share</v>
      </c>
      <c r="Y16" s="16"/>
      <c r="Z16" s="16"/>
      <c r="AA16" s="16"/>
      <c r="AB16" s="16"/>
      <c r="AC16" s="16"/>
      <c r="AD16" s="16"/>
    </row>
    <row r="17" spans="1:30" x14ac:dyDescent="0.45">
      <c r="A17" s="2" t="s">
        <v>0</v>
      </c>
      <c r="B17" s="7" t="s">
        <v>19</v>
      </c>
      <c r="D17" s="2" t="s">
        <v>0</v>
      </c>
      <c r="E17" s="7" t="s">
        <v>19</v>
      </c>
      <c r="H17" s="66" t="str">
        <f>H3</f>
        <v>Mode</v>
      </c>
      <c r="I17" s="67" t="str">
        <f ref="I17:N17" si="18" t="shared">I3</f>
        <v>Work</v>
      </c>
      <c r="J17" s="67" t="str">
        <f si="18" t="shared"/>
        <v>School</v>
      </c>
      <c r="K17" s="67" t="str">
        <f si="18" t="shared"/>
        <v>Escort</v>
      </c>
      <c r="L17" s="67" t="str">
        <f si="18" t="shared"/>
        <v>Other</v>
      </c>
      <c r="M17" s="67" t="str">
        <f si="18" t="shared"/>
        <v>WorkBased</v>
      </c>
      <c r="N17" s="67" t="str">
        <f si="18" t="shared"/>
        <v>Total</v>
      </c>
      <c r="O17" s="65"/>
      <c r="P17" s="66" t="str">
        <f>P3</f>
        <v>Mode</v>
      </c>
      <c r="Q17" s="67" t="str">
        <f ref="Q17:V17" si="19" t="shared">Q3</f>
        <v>Work</v>
      </c>
      <c r="R17" s="67" t="str">
        <f si="19" t="shared"/>
        <v>School</v>
      </c>
      <c r="S17" s="67" t="str">
        <f si="19" t="shared"/>
        <v>Escort</v>
      </c>
      <c r="T17" s="67" t="str">
        <f si="19" t="shared"/>
        <v>Other</v>
      </c>
      <c r="U17" s="67" t="str">
        <f si="19" t="shared"/>
        <v>WorkBased</v>
      </c>
      <c r="V17" s="67" t="str">
        <f si="19" t="shared"/>
        <v>Total</v>
      </c>
      <c r="X17" s="66" t="str">
        <f>X3</f>
        <v>Work</v>
      </c>
      <c r="Y17" s="67" t="str">
        <f ref="Y17:AD17" si="20" t="shared">Y3</f>
        <v>Work</v>
      </c>
      <c r="Z17" s="67" t="str">
        <f si="20" t="shared"/>
        <v>School</v>
      </c>
      <c r="AA17" s="67" t="str">
        <f si="20" t="shared"/>
        <v>Escort</v>
      </c>
      <c r="AB17" s="67" t="str">
        <f si="20" t="shared"/>
        <v>Other</v>
      </c>
      <c r="AC17" s="67" t="str">
        <f si="20" t="shared"/>
        <v>WorkBased</v>
      </c>
      <c r="AD17" s="67" t="str">
        <f si="20" t="shared"/>
        <v>Total</v>
      </c>
    </row>
    <row r="18" spans="1:30" x14ac:dyDescent="0.45">
      <c r="A18" s="9" t="s">
        <v>1</v>
      </c>
      <c r="B18" s="13">
        <f ref="B18:B27" si="21" t="shared">B4/$B$13</f>
        <v>0.43603146483749355</v>
      </c>
      <c r="D18" s="9" t="s">
        <v>1</v>
      </c>
      <c r="E18" s="13">
        <f ref="E18:E27" si="22" t="shared">E4/$E$13</f>
        <v>0.4448877673913032</v>
      </c>
      <c r="H18" s="65" t="str">
        <f ref="H18" si="23" t="shared">H4</f>
        <v>Drive Alone</v>
      </c>
      <c r="I18" s="73">
        <f>I4/I$13</f>
        <v>0.70228319671854844</v>
      </c>
      <c r="J18" s="73">
        <f ref="J18:N18" si="24" t="shared">J4/J$13</f>
        <v>9.5193200595935529E-2</v>
      </c>
      <c r="K18" s="73">
        <f si="24" t="shared"/>
        <v>2.246483163309286E-2</v>
      </c>
      <c r="L18" s="73">
        <f si="24" t="shared"/>
        <v>0.40235007905706122</v>
      </c>
      <c r="M18" s="73">
        <f si="24" t="shared"/>
        <v>0.52052692594638228</v>
      </c>
      <c r="N18" s="74">
        <f si="24" t="shared"/>
        <v>0.43603146483749355</v>
      </c>
      <c r="O18" s="65"/>
      <c r="P18" s="65" t="str">
        <f ref="P18" si="25" t="shared">P4</f>
        <v>Drive Alone</v>
      </c>
      <c r="Q18" s="73">
        <f>Q4/Q$13</f>
        <v>0.7033005690636317</v>
      </c>
      <c r="R18" s="73">
        <f ref="R18:V18" si="26" t="shared">R4/R$13</f>
        <v>9.5969453838958052E-2</v>
      </c>
      <c r="S18" s="73">
        <f si="26" t="shared"/>
        <v>2.0603216709949954E-2</v>
      </c>
      <c r="T18" s="73">
        <f si="26" t="shared"/>
        <v>0.40178916863692626</v>
      </c>
      <c r="U18" s="73">
        <f si="26" t="shared"/>
        <v>0.52108497157405098</v>
      </c>
      <c r="V18" s="74">
        <f si="26" t="shared"/>
        <v>0.4448877673913032</v>
      </c>
      <c r="X18" s="65" t="str">
        <f ref="X18:X25" si="27" t="shared">X4</f>
        <v>Drive Alone</v>
      </c>
      <c r="Y18" s="73">
        <f>Y4/Y$13</f>
        <v>0.70228319671854844</v>
      </c>
      <c r="Z18" s="73">
        <f ref="Z18:AD18" si="28" t="shared">Z4/Z$13</f>
        <v>9.5193200595935515E-2</v>
      </c>
      <c r="AA18" s="73">
        <f si="28" t="shared"/>
        <v>2.246483163309286E-2</v>
      </c>
      <c r="AB18" s="73">
        <f si="28" t="shared"/>
        <v>0.40235007905706122</v>
      </c>
      <c r="AC18" s="73">
        <f si="28" t="shared"/>
        <v>0.52052692594638228</v>
      </c>
      <c r="AD18" s="74">
        <f si="28" t="shared"/>
        <v>0.4447764487286674</v>
      </c>
    </row>
    <row r="19" spans="1:30" x14ac:dyDescent="0.45">
      <c r="A19" s="9" t="s">
        <v>2</v>
      </c>
      <c r="B19" s="13">
        <f si="21" t="shared"/>
        <v>0.27530469417767334</v>
      </c>
      <c r="D19" s="9" t="s">
        <v>2</v>
      </c>
      <c r="E19" s="13">
        <f si="22" t="shared"/>
        <v>0.2716856614786935</v>
      </c>
      <c r="H19" s="65" t="str">
        <f ref="H19" si="29" t="shared">H5</f>
        <v>Shared Ride 2</v>
      </c>
      <c r="I19" s="73">
        <f ref="I19:N19" si="30" t="shared">I5/I$13</f>
        <v>0.19877336219374916</v>
      </c>
      <c r="J19" s="73">
        <f si="30" t="shared"/>
        <v>0.15278925143640434</v>
      </c>
      <c r="K19" s="73">
        <f si="30" t="shared"/>
        <v>0.4885709418044466</v>
      </c>
      <c r="L19" s="73">
        <f si="30" t="shared"/>
        <v>0.33314006956952219</v>
      </c>
      <c r="M19" s="73">
        <f si="30" t="shared"/>
        <v>0.2252466414145094</v>
      </c>
      <c r="N19" s="74">
        <f si="30" t="shared"/>
        <v>0.27530469417767334</v>
      </c>
      <c r="O19" s="65"/>
      <c r="P19" s="65" t="str">
        <f ref="P19" si="31" t="shared">P5</f>
        <v>Shared Ride 2</v>
      </c>
      <c r="Q19" s="73">
        <f ref="Q19:V19" si="32" t="shared">Q5/Q$13</f>
        <v>0.20019510753085507</v>
      </c>
      <c r="R19" s="73">
        <f si="32" t="shared"/>
        <v>0.15036518673094912</v>
      </c>
      <c r="S19" s="73">
        <f si="32" t="shared"/>
        <v>0.48367124020553059</v>
      </c>
      <c r="T19" s="73">
        <f si="32" t="shared"/>
        <v>0.33367624496935289</v>
      </c>
      <c r="U19" s="73">
        <f si="32" t="shared"/>
        <v>0.22846997568959246</v>
      </c>
      <c r="V19" s="74">
        <f si="32" t="shared"/>
        <v>0.2716856614786935</v>
      </c>
      <c r="X19" s="65" t="str">
        <f si="27" t="shared"/>
        <v>Shared Ride 2</v>
      </c>
      <c r="Y19" s="73">
        <f ref="Y19:AD19" si="33" t="shared">Y5/Y$13</f>
        <v>0.19877336219374916</v>
      </c>
      <c r="Z19" s="73">
        <f si="33" t="shared"/>
        <v>0.15278925143640434</v>
      </c>
      <c r="AA19" s="73">
        <f si="33" t="shared"/>
        <v>0.48857094180444655</v>
      </c>
      <c r="AB19" s="73">
        <f si="33" t="shared"/>
        <v>0.33314006956952219</v>
      </c>
      <c r="AC19" s="73">
        <f si="33" t="shared"/>
        <v>0.2252466414145094</v>
      </c>
      <c r="AD19" s="74">
        <f si="33" t="shared"/>
        <v>0.27155527433985038</v>
      </c>
    </row>
    <row r="20" spans="1:30" x14ac:dyDescent="0.45">
      <c r="A20" s="9" t="s">
        <v>3</v>
      </c>
      <c r="B20" s="13">
        <f si="21" t="shared"/>
        <v>0.19285640539373236</v>
      </c>
      <c r="D20" s="9" t="s">
        <v>3</v>
      </c>
      <c r="E20" s="13">
        <f si="22" t="shared"/>
        <v>0.18867342472449941</v>
      </c>
      <c r="H20" s="65" t="str">
        <f ref="H20" si="34" t="shared">H6</f>
        <v>Shared Ride 3+</v>
      </c>
      <c r="I20" s="73">
        <f ref="I20:N20" si="35" t="shared">I6/I$13</f>
        <v>7.4435257661750187E-2</v>
      </c>
      <c r="J20" s="73">
        <f si="35" t="shared"/>
        <v>0.32124552279075702</v>
      </c>
      <c r="K20" s="73">
        <f si="35" t="shared"/>
        <v>0.46068115954153027</v>
      </c>
      <c r="L20" s="73">
        <f si="35" t="shared"/>
        <v>0.19978486335288351</v>
      </c>
      <c r="M20" s="73">
        <f si="35" t="shared"/>
        <v>9.1051141678740038E-2</v>
      </c>
      <c r="N20" s="74">
        <f si="35" t="shared"/>
        <v>0.19285640539373236</v>
      </c>
      <c r="O20" s="65"/>
      <c r="P20" s="65" t="str">
        <f ref="P20" si="36" t="shared">P6</f>
        <v>Shared Ride 3+</v>
      </c>
      <c r="Q20" s="73">
        <f ref="Q20:V20" si="37" t="shared">Q6/Q$13</f>
        <v>7.3234794176335827E-2</v>
      </c>
      <c r="R20" s="73">
        <f si="37" t="shared"/>
        <v>0.32053230913146724</v>
      </c>
      <c r="S20" s="73">
        <f si="37" t="shared"/>
        <v>0.46917040983515196</v>
      </c>
      <c r="T20" s="73">
        <f si="37" t="shared"/>
        <v>0.2005736605323036</v>
      </c>
      <c r="U20" s="73">
        <f si="37" t="shared"/>
        <v>9.6992783445952413E-2</v>
      </c>
      <c r="V20" s="74">
        <f si="37" t="shared"/>
        <v>0.18867342472449941</v>
      </c>
      <c r="X20" s="65" t="str">
        <f si="27" t="shared"/>
        <v>Shared Ride 3+</v>
      </c>
      <c r="Y20" s="73">
        <f ref="Y20:AD20" si="38" t="shared">Y6/Y$13</f>
        <v>7.4435257661750187E-2</v>
      </c>
      <c r="Z20" s="73">
        <f si="38" t="shared"/>
        <v>0.32124552279075702</v>
      </c>
      <c r="AA20" s="73">
        <f si="38" t="shared"/>
        <v>0.46068115954153027</v>
      </c>
      <c r="AB20" s="73">
        <f si="38" t="shared"/>
        <v>0.19978486335288351</v>
      </c>
      <c r="AC20" s="73">
        <f si="38" t="shared"/>
        <v>9.1051141678740038E-2</v>
      </c>
      <c r="AD20" s="74">
        <f si="38" t="shared"/>
        <v>0.18775524280830214</v>
      </c>
    </row>
    <row r="21" spans="1:30" x14ac:dyDescent="0.45">
      <c r="A21" s="9" t="s">
        <v>4</v>
      </c>
      <c r="B21" s="13">
        <f si="21" t="shared"/>
        <v>3.3164601978303741E-4</v>
      </c>
      <c r="D21" s="9" t="s">
        <v>4</v>
      </c>
      <c r="E21" s="13">
        <f si="22" t="shared"/>
        <v>3.4617594028761139E-4</v>
      </c>
      <c r="H21" s="65" t="str">
        <f ref="H21" si="39" t="shared">H7</f>
        <v>Drive-Transit</v>
      </c>
      <c r="I21" s="73">
        <f ref="I21:N21" si="40" t="shared">I7/I$13</f>
        <v>9.4040381525757187E-4</v>
      </c>
      <c r="J21" s="73">
        <f si="40" t="shared"/>
        <v>0</v>
      </c>
      <c r="K21" s="73">
        <f si="40" t="shared"/>
        <v>0</v>
      </c>
      <c r="L21" s="73">
        <f si="40" t="shared"/>
        <v>0</v>
      </c>
      <c r="M21" s="73">
        <f si="40" t="shared"/>
        <v>0</v>
      </c>
      <c r="N21" s="74">
        <f si="40" t="shared"/>
        <v>3.3164601978303741E-4</v>
      </c>
      <c r="O21" s="65"/>
      <c r="P21" s="65" t="str">
        <f ref="P21" si="41" t="shared">P7</f>
        <v>Drive-Transit</v>
      </c>
      <c r="Q21" s="78">
        <f ref="Q21:V21" si="42" t="shared">Q7/Q$13</f>
        <v>9.5041016924100213E-4</v>
      </c>
      <c r="R21" s="78">
        <f si="42" t="shared"/>
        <v>0</v>
      </c>
      <c r="S21" s="78">
        <f si="42" t="shared"/>
        <v>0</v>
      </c>
      <c r="T21" s="78">
        <f si="42" t="shared"/>
        <v>0</v>
      </c>
      <c r="U21" s="78">
        <f si="42" t="shared"/>
        <v>0</v>
      </c>
      <c r="V21" s="107">
        <f si="42" t="shared"/>
        <v>3.4617594028761139E-4</v>
      </c>
      <c r="X21" s="65" t="str">
        <f si="27" t="shared"/>
        <v>Drive-Transit</v>
      </c>
      <c r="Y21" s="78">
        <f ref="Y21:AD21" si="43" t="shared">Y7/Y$13</f>
        <v>9.4040381525757187E-4</v>
      </c>
      <c r="Z21" s="78">
        <f si="43" t="shared"/>
        <v>0</v>
      </c>
      <c r="AA21" s="78">
        <f si="43" t="shared"/>
        <v>0</v>
      </c>
      <c r="AB21" s="78">
        <f si="43" t="shared"/>
        <v>0</v>
      </c>
      <c r="AC21" s="78">
        <f si="43" t="shared"/>
        <v>0</v>
      </c>
      <c r="AD21" s="107">
        <f si="43" t="shared"/>
        <v>3.4253124128167485E-4</v>
      </c>
    </row>
    <row r="22" spans="1:30" x14ac:dyDescent="0.45">
      <c r="A22" s="9" t="s">
        <v>5</v>
      </c>
      <c r="B22" s="13">
        <f si="21" t="shared"/>
        <v>6.3531419352392277E-3</v>
      </c>
      <c r="D22" s="9" t="s">
        <v>5</v>
      </c>
      <c r="E22" s="13">
        <f si="22" t="shared"/>
        <v>6.0341212111097173E-3</v>
      </c>
      <c r="H22" s="65" t="str">
        <f ref="H22" si="44" t="shared">H8</f>
        <v>Walk-Transit</v>
      </c>
      <c r="I22" s="73">
        <f ref="I22:N22" si="45" t="shared">I8/I$13</f>
        <v>7.9195076457255278E-3</v>
      </c>
      <c r="J22" s="73">
        <f si="45" t="shared"/>
        <v>4.0276826047439497E-3</v>
      </c>
      <c r="K22" s="73">
        <f si="45" t="shared"/>
        <v>2.8112626626088121E-3</v>
      </c>
      <c r="L22" s="73">
        <f si="45" t="shared"/>
        <v>7.2083487826912502E-3</v>
      </c>
      <c r="M22" s="73">
        <f si="45" t="shared"/>
        <v>2.767321189110199E-3</v>
      </c>
      <c r="N22" s="74">
        <f si="45" t="shared"/>
        <v>6.3531419352392277E-3</v>
      </c>
      <c r="O22" s="65"/>
      <c r="P22" s="65" t="str">
        <f ref="P22" si="46" t="shared">P8</f>
        <v>Walk-Transit</v>
      </c>
      <c r="Q22" s="78">
        <f ref="Q22:V22" si="47" t="shared">Q8/Q$13</f>
        <v>7.4126080851378319E-3</v>
      </c>
      <c r="R22" s="78">
        <f si="47" t="shared"/>
        <v>4.2320284953587103E-3</v>
      </c>
      <c r="S22" s="78">
        <f si="47" t="shared"/>
        <v>0</v>
      </c>
      <c r="T22" s="78">
        <f si="47" t="shared"/>
        <v>7.407187803413799E-3</v>
      </c>
      <c r="U22" s="78">
        <f si="47" t="shared"/>
        <v>2.4406117800195247E-3</v>
      </c>
      <c r="V22" s="74">
        <f si="47" t="shared"/>
        <v>6.0341212111097173E-3</v>
      </c>
      <c r="X22" s="65" t="str">
        <f si="27" t="shared"/>
        <v>Walk-Transit</v>
      </c>
      <c r="Y22" s="78">
        <f ref="Y22:AD22" si="48" t="shared">Y8/Y$13</f>
        <v>7.9195076457255278E-3</v>
      </c>
      <c r="Z22" s="78">
        <f si="48" t="shared"/>
        <v>4.0276826047439497E-3</v>
      </c>
      <c r="AA22" s="78">
        <f si="48" t="shared"/>
        <v>2.8112626626088121E-3</v>
      </c>
      <c r="AB22" s="78">
        <f si="48" t="shared"/>
        <v>7.2083487826912502E-3</v>
      </c>
      <c r="AC22" s="78">
        <f si="48" t="shared"/>
        <v>2.767321189110199E-3</v>
      </c>
      <c r="AD22" s="74">
        <f si="48" t="shared"/>
        <v>6.4120338920860857E-3</v>
      </c>
    </row>
    <row r="23" spans="1:30" x14ac:dyDescent="0.45">
      <c r="A23" s="9" t="s">
        <v>6</v>
      </c>
      <c r="B23" s="13">
        <f si="21" t="shared"/>
        <v>5.1428834204916511E-3</v>
      </c>
      <c r="D23" s="9" t="s">
        <v>6</v>
      </c>
      <c r="E23" s="13">
        <f si="22" t="shared"/>
        <v>5.339077449194778E-3</v>
      </c>
      <c r="H23" s="65" t="str">
        <f ref="H23" si="49" t="shared">H9</f>
        <v>Bike</v>
      </c>
      <c r="I23" s="78">
        <f ref="I23:N23" si="50" t="shared">I9/I$13</f>
        <v>6.5875280642092599E-3</v>
      </c>
      <c r="J23" s="78">
        <f si="50" t="shared"/>
        <v>2.0329973779865912E-3</v>
      </c>
      <c r="K23" s="78">
        <f si="50" t="shared"/>
        <v>0</v>
      </c>
      <c r="L23" s="78">
        <f si="50" t="shared"/>
        <v>6.5542011152960183E-3</v>
      </c>
      <c r="M23" s="73">
        <f si="50" t="shared"/>
        <v>3.5901123233559396E-3</v>
      </c>
      <c r="N23" s="74">
        <f si="50" t="shared"/>
        <v>5.1428834204916511E-3</v>
      </c>
      <c r="O23" s="65"/>
      <c r="P23" s="65" t="str">
        <f ref="P23" si="51" t="shared">P9</f>
        <v>Bike</v>
      </c>
      <c r="Q23" s="78">
        <f ref="Q23:V23" si="52" t="shared">Q9/Q$13</f>
        <v>6.5538393319045157E-3</v>
      </c>
      <c r="R23" s="78">
        <f si="52" t="shared"/>
        <v>1.7674677988054977E-3</v>
      </c>
      <c r="S23" s="78">
        <f si="52" t="shared"/>
        <v>2.4688193136347932E-3</v>
      </c>
      <c r="T23" s="78">
        <f si="52" t="shared"/>
        <v>6.3087835283828558E-3</v>
      </c>
      <c r="U23" s="73">
        <f si="52" t="shared"/>
        <v>3.7422713960299381E-3</v>
      </c>
      <c r="V23" s="74">
        <f si="52" t="shared"/>
        <v>5.339077449194778E-3</v>
      </c>
      <c r="X23" s="65" t="str">
        <f si="27" t="shared"/>
        <v>Bike</v>
      </c>
      <c r="Y23" s="78">
        <f ref="Y23:AD23" si="53" t="shared">Y9/Y$13</f>
        <v>6.5875280642092599E-3</v>
      </c>
      <c r="Z23" s="78">
        <f si="53" t="shared"/>
        <v>2.0329973779865912E-3</v>
      </c>
      <c r="AA23" s="78">
        <f si="53" t="shared"/>
        <v>0</v>
      </c>
      <c r="AB23" s="78">
        <f si="53" t="shared"/>
        <v>6.5542011152960175E-3</v>
      </c>
      <c r="AC23" s="73">
        <f si="53" t="shared"/>
        <v>3.59011232335594E-3</v>
      </c>
      <c r="AD23" s="74">
        <f si="53" t="shared"/>
        <v>5.2252096011844006E-3</v>
      </c>
    </row>
    <row r="24" spans="1:30" x14ac:dyDescent="0.45">
      <c r="A24" s="9" t="s">
        <v>7</v>
      </c>
      <c r="B24" s="13">
        <f si="21" t="shared"/>
        <v>3.5850855723523124E-2</v>
      </c>
      <c r="D24" s="9" t="s">
        <v>7</v>
      </c>
      <c r="E24" s="13">
        <f si="22" t="shared"/>
        <v>3.4741420570388121E-2</v>
      </c>
      <c r="H24" s="65" t="str">
        <f ref="H24" si="54" t="shared">H10</f>
        <v>Walk</v>
      </c>
      <c r="I24" s="94">
        <f ref="I24:N24" si="55" t="shared">I10/I$13</f>
        <v>9.0607439007598101E-3</v>
      </c>
      <c r="J24" s="94">
        <f si="55" t="shared"/>
        <v>2.3417373490584731E-2</v>
      </c>
      <c r="K24" s="94">
        <f si="55" t="shared"/>
        <v>2.5471804358321457E-2</v>
      </c>
      <c r="L24" s="94">
        <f si="55" t="shared"/>
        <v>5.096243812254575E-2</v>
      </c>
      <c r="M24" s="94">
        <f si="55" t="shared"/>
        <v>0.15681785744790216</v>
      </c>
      <c r="N24" s="95">
        <f si="55" t="shared"/>
        <v>3.5850855723523124E-2</v>
      </c>
      <c r="O24" s="65"/>
      <c r="P24" s="65" t="str">
        <f ref="P24" si="56" t="shared">P10</f>
        <v>Walk</v>
      </c>
      <c r="Q24" s="94">
        <f ref="Q24:V24" si="57" t="shared">Q10/Q$13</f>
        <v>8.3526716428940946E-3</v>
      </c>
      <c r="R24" s="94">
        <f si="57" t="shared"/>
        <v>2.3719148017557746E-2</v>
      </c>
      <c r="S24" s="94">
        <f si="57" t="shared"/>
        <v>2.4086313935732677E-2</v>
      </c>
      <c r="T24" s="94">
        <f si="57" t="shared"/>
        <v>5.0244954529620599E-2</v>
      </c>
      <c r="U24" s="94">
        <f si="57" t="shared"/>
        <v>0.14726938611435464</v>
      </c>
      <c r="V24" s="95">
        <f si="57" t="shared"/>
        <v>3.4741420570388121E-2</v>
      </c>
      <c r="X24" s="65" t="str">
        <f si="27" t="shared"/>
        <v>Walk</v>
      </c>
      <c r="Y24" s="94">
        <f ref="Y24:AD24" si="58" t="shared">Y10/Y$13</f>
        <v>9.0607439007598101E-3</v>
      </c>
      <c r="Z24" s="94">
        <f si="58" t="shared"/>
        <v>2.3417373490584727E-2</v>
      </c>
      <c r="AA24" s="94">
        <f si="58" t="shared"/>
        <v>2.5471804358321457E-2</v>
      </c>
      <c r="AB24" s="94">
        <f si="58" t="shared"/>
        <v>5.0962438122545757E-2</v>
      </c>
      <c r="AC24" s="94">
        <f si="58" t="shared"/>
        <v>0.15681785744790214</v>
      </c>
      <c r="AD24" s="95">
        <f si="58" t="shared"/>
        <v>3.5894743306394222E-2</v>
      </c>
    </row>
    <row r="25" spans="1:30" x14ac:dyDescent="0.45">
      <c r="A25" s="9" t="s">
        <v>8</v>
      </c>
      <c r="B25" s="13">
        <f si="21" t="shared"/>
        <v>4.812890849206361E-2</v>
      </c>
      <c r="D25" s="9" t="s">
        <v>8</v>
      </c>
      <c r="E25" s="13">
        <f si="22" t="shared"/>
        <v>4.8292351234523703E-2</v>
      </c>
      <c r="H25" s="65" t="str">
        <f ref="H25" si="59" t="shared">H11</f>
        <v>School Bus</v>
      </c>
      <c r="I25" s="94">
        <f ref="I25:N26" si="60" t="shared">I11/I$13</f>
        <v>0</v>
      </c>
      <c r="J25" s="94">
        <f si="60" t="shared"/>
        <v>0.40129397170358783</v>
      </c>
      <c r="K25" s="94">
        <f si="60" t="shared"/>
        <v>0</v>
      </c>
      <c r="L25" s="94">
        <f si="60" t="shared"/>
        <v>0</v>
      </c>
      <c r="M25" s="94">
        <f si="60" t="shared"/>
        <v>0</v>
      </c>
      <c r="N25" s="95">
        <f si="60" t="shared"/>
        <v>4.812890849206361E-2</v>
      </c>
      <c r="O25" s="65"/>
      <c r="P25" s="65" t="str">
        <f ref="P25" si="61" t="shared">P11</f>
        <v>School Bus</v>
      </c>
      <c r="Q25" s="94">
        <f ref="Q25:V26" si="62" t="shared">Q11/Q$13</f>
        <v>0</v>
      </c>
      <c r="R25" s="94">
        <f si="62" t="shared"/>
        <v>0.40341440598690365</v>
      </c>
      <c r="S25" s="94">
        <f si="62" t="shared"/>
        <v>0</v>
      </c>
      <c r="T25" s="94">
        <f si="62" t="shared"/>
        <v>0</v>
      </c>
      <c r="U25" s="94">
        <f si="62" t="shared"/>
        <v>0</v>
      </c>
      <c r="V25" s="95">
        <f si="62" t="shared"/>
        <v>4.8292351234523703E-2</v>
      </c>
      <c r="X25" s="65" t="str">
        <f si="27" t="shared"/>
        <v>School Bus</v>
      </c>
      <c r="Y25" s="94">
        <f ref="Y25:AD25" si="63" t="shared">Y11/Y$13</f>
        <v>0</v>
      </c>
      <c r="Z25" s="94">
        <f si="63" t="shared"/>
        <v>0.40129397170358777</v>
      </c>
      <c r="AA25" s="94">
        <f si="63" t="shared"/>
        <v>0</v>
      </c>
      <c r="AB25" s="94">
        <f si="63" t="shared"/>
        <v>0</v>
      </c>
      <c r="AC25" s="94">
        <f si="63" t="shared"/>
        <v>0</v>
      </c>
      <c r="AD25" s="95">
        <f si="63" t="shared"/>
        <v>4.8038516082233834E-2</v>
      </c>
    </row>
    <row r="26" spans="1:30" x14ac:dyDescent="0.45">
      <c r="A26" s="12" t="s">
        <v>302</v>
      </c>
      <c r="B26" s="14">
        <f si="21" t="shared"/>
        <v>0</v>
      </c>
      <c r="D26" s="12" t="s">
        <v>302</v>
      </c>
      <c r="E26" s="14">
        <f si="22" t="shared"/>
        <v>0</v>
      </c>
      <c r="H26" s="65" t="s">
        <v>302</v>
      </c>
      <c r="I26" s="75">
        <f si="60" t="shared"/>
        <v>0</v>
      </c>
      <c r="J26" s="75">
        <f si="60" t="shared"/>
        <v>0</v>
      </c>
      <c r="K26" s="75">
        <f si="60" t="shared"/>
        <v>0</v>
      </c>
      <c r="L26" s="75">
        <f si="60" t="shared"/>
        <v>0</v>
      </c>
      <c r="M26" s="75">
        <f si="60" t="shared"/>
        <v>0</v>
      </c>
      <c r="N26" s="76">
        <f si="60" t="shared"/>
        <v>0</v>
      </c>
      <c r="O26" s="65"/>
      <c r="P26" s="65" t="s">
        <v>302</v>
      </c>
      <c r="Q26" s="75">
        <f si="62" t="shared"/>
        <v>0</v>
      </c>
      <c r="R26" s="75">
        <f si="62" t="shared"/>
        <v>0</v>
      </c>
      <c r="S26" s="75">
        <f si="62" t="shared"/>
        <v>0</v>
      </c>
      <c r="T26" s="75">
        <f si="62" t="shared"/>
        <v>0</v>
      </c>
      <c r="U26" s="75">
        <f si="62" t="shared"/>
        <v>0</v>
      </c>
      <c r="V26" s="76">
        <f si="62" t="shared"/>
        <v>0</v>
      </c>
      <c r="X26" s="65" t="s">
        <v>302</v>
      </c>
      <c r="Y26" s="75">
        <f ref="Y26:AD26" si="64" t="shared">Y12/Y$13</f>
        <v>0</v>
      </c>
      <c r="Z26" s="75">
        <f si="64" t="shared"/>
        <v>0</v>
      </c>
      <c r="AA26" s="75">
        <f si="64" t="shared"/>
        <v>0</v>
      </c>
      <c r="AB26" s="75">
        <f si="64" t="shared"/>
        <v>0</v>
      </c>
      <c r="AC26" s="75">
        <f si="64" t="shared"/>
        <v>0</v>
      </c>
      <c r="AD26" s="76">
        <f si="64" t="shared"/>
        <v>0</v>
      </c>
    </row>
    <row ht="14.65" r="27" spans="1:30" thickBot="1" x14ac:dyDescent="0.5">
      <c r="A27" s="10" t="s">
        <v>19</v>
      </c>
      <c r="B27" s="97">
        <f si="21" t="shared"/>
        <v>1</v>
      </c>
      <c r="D27" s="10" t="s">
        <v>19</v>
      </c>
      <c r="E27" s="97">
        <f si="22" t="shared"/>
        <v>1</v>
      </c>
      <c r="H27" s="71" t="str">
        <f ref="H27" si="65" t="shared">H13</f>
        <v>Total</v>
      </c>
      <c r="I27" s="77">
        <f ref="I27:N27" si="66" t="shared">I13/I$13</f>
        <v>1</v>
      </c>
      <c r="J27" s="77">
        <f si="66" t="shared"/>
        <v>1</v>
      </c>
      <c r="K27" s="77">
        <f si="66" t="shared"/>
        <v>1</v>
      </c>
      <c r="L27" s="77">
        <f si="66" t="shared"/>
        <v>1</v>
      </c>
      <c r="M27" s="77">
        <f si="66" t="shared"/>
        <v>1</v>
      </c>
      <c r="N27" s="77">
        <f si="66" t="shared"/>
        <v>1</v>
      </c>
      <c r="O27" s="65"/>
      <c r="P27" s="71" t="str">
        <f ref="P27" si="67" t="shared">P13</f>
        <v>Total</v>
      </c>
      <c r="Q27" s="77">
        <f ref="Q27:V27" si="68" t="shared">Q13/Q$13</f>
        <v>1</v>
      </c>
      <c r="R27" s="77">
        <f si="68" t="shared"/>
        <v>1</v>
      </c>
      <c r="S27" s="77">
        <f si="68" t="shared"/>
        <v>1</v>
      </c>
      <c r="T27" s="77">
        <f si="68" t="shared"/>
        <v>1</v>
      </c>
      <c r="U27" s="77">
        <f si="68" t="shared"/>
        <v>1</v>
      </c>
      <c r="V27" s="77">
        <f si="68" t="shared"/>
        <v>1</v>
      </c>
      <c r="X27" s="71" t="str">
        <f ref="X27" si="69" t="shared">X13</f>
        <v>Total</v>
      </c>
      <c r="Y27" s="77">
        <f ref="Y27:AD27" si="70" t="shared">Y13/Y$13</f>
        <v>1</v>
      </c>
      <c r="Z27" s="77">
        <f si="70" t="shared"/>
        <v>1</v>
      </c>
      <c r="AA27" s="77">
        <f si="70" t="shared"/>
        <v>1</v>
      </c>
      <c r="AB27" s="77">
        <f si="70" t="shared"/>
        <v>1</v>
      </c>
      <c r="AC27" s="77">
        <f si="70" t="shared"/>
        <v>1</v>
      </c>
      <c r="AD27" s="77">
        <f si="70" t="shared"/>
        <v>1</v>
      </c>
    </row>
    <row r="28" spans="1:30" x14ac:dyDescent="0.45"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</row>
    <row r="29" spans="1:30" x14ac:dyDescent="0.45"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</row>
    <row ht="14.65" r="30" spans="1:30" thickBot="1" x14ac:dyDescent="0.5">
      <c r="D30" s="1" t="s">
        <v>26</v>
      </c>
      <c r="E30" s="3"/>
      <c r="H30" s="65"/>
      <c r="I30" s="65"/>
      <c r="J30" s="65"/>
      <c r="K30" s="65"/>
      <c r="L30" s="65"/>
      <c r="M30" s="65"/>
      <c r="N30" s="65"/>
      <c r="O30" s="65"/>
      <c r="P30" s="15" t="s">
        <v>301</v>
      </c>
      <c r="Q30" s="16"/>
      <c r="R30" s="16"/>
      <c r="S30" s="16"/>
      <c r="T30" s="16"/>
      <c r="U30" s="16"/>
      <c r="V30" s="16"/>
    </row>
    <row r="31" spans="1:30" x14ac:dyDescent="0.45">
      <c r="D31" s="2" t="s">
        <v>0</v>
      </c>
      <c r="E31" s="7" t="s">
        <v>19</v>
      </c>
      <c r="H31" s="65"/>
      <c r="I31" s="65"/>
      <c r="J31" s="65"/>
      <c r="K31" s="65"/>
      <c r="L31" s="65"/>
      <c r="M31" s="65"/>
      <c r="N31" s="65"/>
      <c r="O31" s="65"/>
      <c r="P31" s="66" t="str">
        <f>P17</f>
        <v>Mode</v>
      </c>
      <c r="Q31" s="67" t="str">
        <f ref="Q31:V31" si="71" t="shared">Q17</f>
        <v>Work</v>
      </c>
      <c r="R31" s="67" t="str">
        <f si="71" t="shared"/>
        <v>School</v>
      </c>
      <c r="S31" s="67" t="str">
        <f si="71" t="shared"/>
        <v>Escort</v>
      </c>
      <c r="T31" s="67" t="str">
        <f si="71" t="shared"/>
        <v>Other</v>
      </c>
      <c r="U31" s="67" t="str">
        <f si="71" t="shared"/>
        <v>WorkBased</v>
      </c>
      <c r="V31" s="67" t="str">
        <f si="71" t="shared"/>
        <v>Total</v>
      </c>
    </row>
    <row r="32" spans="1:30" x14ac:dyDescent="0.45">
      <c r="D32" s="9" t="s">
        <v>1</v>
      </c>
      <c r="E32" s="13">
        <f ref="E32:E41" si="72" t="shared">E18-B18</f>
        <v>8.8563025538096474E-3</v>
      </c>
      <c r="H32" s="65"/>
      <c r="I32" s="65"/>
      <c r="J32" s="65"/>
      <c r="K32" s="65"/>
      <c r="L32" s="65"/>
      <c r="M32" s="65"/>
      <c r="N32" s="65"/>
      <c r="O32" s="65"/>
      <c r="P32" s="65" t="str">
        <f ref="P32" si="73" t="shared">P18</f>
        <v>Drive Alone</v>
      </c>
      <c r="Q32" s="78">
        <f ref="Q32:Q40" si="74" t="shared">Q18-I18</f>
        <v>1.0173723450832561E-3</v>
      </c>
      <c r="R32" s="78">
        <f ref="R32:V32" si="75" t="shared">R18-J18</f>
        <v>7.762532430225233E-4</v>
      </c>
      <c r="S32" s="78">
        <f si="75" t="shared"/>
        <v>-1.8616149231429069E-3</v>
      </c>
      <c r="T32" s="78">
        <f si="75" t="shared"/>
        <v>-5.609104201349524E-4</v>
      </c>
      <c r="U32" s="78">
        <f si="75" t="shared"/>
        <v>5.580456276687018E-4</v>
      </c>
      <c r="V32" s="74">
        <f>V18-AD18</f>
        <v>1.1131866263580648E-4</v>
      </c>
    </row>
    <row r="33" spans="4:22" x14ac:dyDescent="0.45">
      <c r="D33" s="9" t="s">
        <v>2</v>
      </c>
      <c r="E33" s="13">
        <f si="72" t="shared"/>
        <v>-3.6190326989798405E-3</v>
      </c>
      <c r="H33" s="65"/>
      <c r="I33" s="65"/>
      <c r="J33" s="65"/>
      <c r="K33" s="65"/>
      <c r="L33" s="65"/>
      <c r="M33" s="65"/>
      <c r="N33" s="65"/>
      <c r="O33" s="65"/>
      <c r="P33" s="65" t="str">
        <f ref="P33" si="76" t="shared">P19</f>
        <v>Shared Ride 2</v>
      </c>
      <c r="Q33" s="78">
        <f si="74" t="shared"/>
        <v>1.4217453371059008E-3</v>
      </c>
      <c r="R33" s="78">
        <f ref="R33:V40" si="77" t="shared">R19-J19</f>
        <v>-2.4240647054552256E-3</v>
      </c>
      <c r="S33" s="78">
        <f si="77" t="shared"/>
        <v>-4.8997015989160064E-3</v>
      </c>
      <c r="T33" s="78">
        <f si="77" t="shared"/>
        <v>5.3617539983069618E-4</v>
      </c>
      <c r="U33" s="78">
        <f si="77" t="shared"/>
        <v>3.2233342750830618E-3</v>
      </c>
      <c r="V33" s="74">
        <f ref="V33:V40" si="78" t="shared">V19-AD19</f>
        <v>1.3038713884311326E-4</v>
      </c>
    </row>
    <row r="34" spans="4:22" x14ac:dyDescent="0.45">
      <c r="D34" s="9" t="s">
        <v>3</v>
      </c>
      <c r="E34" s="13">
        <f si="72" t="shared"/>
        <v>-4.1829806692329496E-3</v>
      </c>
      <c r="H34" s="65"/>
      <c r="I34" s="65"/>
      <c r="J34" s="65"/>
      <c r="K34" s="65"/>
      <c r="L34" s="65"/>
      <c r="M34" s="65"/>
      <c r="N34" s="65"/>
      <c r="O34" s="65"/>
      <c r="P34" s="65" t="str">
        <f ref="P34" si="79" t="shared">P20</f>
        <v>Shared Ride 3+</v>
      </c>
      <c r="Q34" s="78">
        <f si="74" t="shared"/>
        <v>-1.2004634854143603E-3</v>
      </c>
      <c r="R34" s="78">
        <f si="77" t="shared"/>
        <v>-7.1321365928977976E-4</v>
      </c>
      <c r="S34" s="78">
        <f si="77" t="shared"/>
        <v>8.4892502936216863E-3</v>
      </c>
      <c r="T34" s="78">
        <f si="77" t="shared"/>
        <v>7.8879717942009764E-4</v>
      </c>
      <c r="U34" s="78">
        <f si="77" t="shared"/>
        <v>5.9416417672123745E-3</v>
      </c>
      <c r="V34" s="74">
        <f si="78" t="shared"/>
        <v>9.1818191619727485E-4</v>
      </c>
    </row>
    <row r="35" spans="4:22" x14ac:dyDescent="0.45">
      <c r="D35" s="9" t="s">
        <v>4</v>
      </c>
      <c r="E35" s="13">
        <f si="72" t="shared"/>
        <v>1.4529920504573982E-5</v>
      </c>
      <c r="H35" s="65"/>
      <c r="I35" s="65"/>
      <c r="J35" s="65"/>
      <c r="K35" s="65"/>
      <c r="L35" s="65"/>
      <c r="M35" s="65"/>
      <c r="N35" s="65"/>
      <c r="O35" s="65"/>
      <c r="P35" s="65" t="str">
        <f ref="P35" si="80" t="shared">P21</f>
        <v>Drive-Transit</v>
      </c>
      <c r="Q35" s="78">
        <f si="74" t="shared"/>
        <v>1.0006353983430254E-5</v>
      </c>
      <c r="R35" s="78">
        <f si="77" t="shared"/>
        <v>0</v>
      </c>
      <c r="S35" s="78">
        <f si="77" t="shared"/>
        <v>0</v>
      </c>
      <c r="T35" s="78">
        <f si="77" t="shared"/>
        <v>0</v>
      </c>
      <c r="U35" s="78">
        <f si="77" t="shared"/>
        <v>0</v>
      </c>
      <c r="V35" s="74">
        <f si="78" t="shared"/>
        <v>3.644699005936542E-6</v>
      </c>
    </row>
    <row r="36" spans="4:22" x14ac:dyDescent="0.45">
      <c r="D36" s="9" t="s">
        <v>5</v>
      </c>
      <c r="E36" s="13">
        <f si="72" t="shared"/>
        <v>-3.1902072412951041E-4</v>
      </c>
      <c r="H36" s="65"/>
      <c r="I36" s="65"/>
      <c r="J36" s="65"/>
      <c r="K36" s="65"/>
      <c r="L36" s="65"/>
      <c r="M36" s="65"/>
      <c r="N36" s="65"/>
      <c r="O36" s="65"/>
      <c r="P36" s="65" t="str">
        <f ref="P36" si="81" t="shared">P22</f>
        <v>Walk-Transit</v>
      </c>
      <c r="Q36" s="78">
        <f si="74" t="shared"/>
        <v>-5.0689956058769595E-4</v>
      </c>
      <c r="R36" s="78">
        <f si="77" t="shared"/>
        <v>2.0434589061476063E-4</v>
      </c>
      <c r="S36" s="78">
        <f si="77" t="shared"/>
        <v>-2.8112626626088121E-3</v>
      </c>
      <c r="T36" s="78">
        <f si="77" t="shared"/>
        <v>1.9883902072254881E-4</v>
      </c>
      <c r="U36" s="78">
        <f si="77" t="shared"/>
        <v>-3.2670940909067421E-4</v>
      </c>
      <c r="V36" s="74">
        <f si="78" t="shared"/>
        <v>-3.7791268097636839E-4</v>
      </c>
    </row>
    <row r="37" spans="4:22" x14ac:dyDescent="0.45">
      <c r="D37" s="9" t="s">
        <v>6</v>
      </c>
      <c r="E37" s="13">
        <f si="72" t="shared"/>
        <v>1.9619402870312691E-4</v>
      </c>
      <c r="H37" s="65"/>
      <c r="I37" s="65"/>
      <c r="J37" s="65"/>
      <c r="K37" s="65"/>
      <c r="L37" s="65"/>
      <c r="M37" s="65"/>
      <c r="N37" s="65"/>
      <c r="O37" s="65"/>
      <c r="P37" s="65" t="str">
        <f ref="P37" si="82" t="shared">P23</f>
        <v>Bike</v>
      </c>
      <c r="Q37" s="78">
        <f si="74" t="shared"/>
        <v>-3.3688732304744222E-5</v>
      </c>
      <c r="R37" s="78">
        <f si="77" t="shared"/>
        <v>-2.6552957918109352E-4</v>
      </c>
      <c r="S37" s="78">
        <f si="77" t="shared"/>
        <v>2.4688193136347932E-3</v>
      </c>
      <c r="T37" s="78">
        <f si="77" t="shared"/>
        <v>-2.4541758691316255E-4</v>
      </c>
      <c r="U37" s="78">
        <f si="77" t="shared"/>
        <v>1.5215907267399856E-4</v>
      </c>
      <c r="V37" s="74">
        <f si="78" t="shared"/>
        <v>1.1386784801037733E-4</v>
      </c>
    </row>
    <row r="38" spans="4:22" x14ac:dyDescent="0.45">
      <c r="D38" s="9" t="s">
        <v>7</v>
      </c>
      <c r="E38" s="13">
        <f si="72" t="shared"/>
        <v>-1.1094351531350036E-3</v>
      </c>
      <c r="H38" s="65"/>
      <c r="I38" s="65"/>
      <c r="J38" s="65"/>
      <c r="K38" s="65"/>
      <c r="L38" s="65"/>
      <c r="M38" s="65"/>
      <c r="N38" s="65"/>
      <c r="O38" s="65"/>
      <c r="P38" s="65" t="str">
        <f ref="P38" si="83" t="shared">P24</f>
        <v>Walk</v>
      </c>
      <c r="Q38" s="96">
        <f si="74" t="shared"/>
        <v>-7.0807225786571545E-4</v>
      </c>
      <c r="R38" s="96">
        <f si="77" t="shared"/>
        <v>3.0177452697301502E-4</v>
      </c>
      <c r="S38" s="96">
        <f si="77" t="shared"/>
        <v>-1.3854904225887796E-3</v>
      </c>
      <c r="T38" s="96">
        <f si="77" t="shared"/>
        <v>-7.1748359292515135E-4</v>
      </c>
      <c r="U38" s="96">
        <f si="77" t="shared"/>
        <v>-9.5484713335475258E-3</v>
      </c>
      <c r="V38" s="74">
        <f si="78" t="shared"/>
        <v>-1.1533227360061016E-3</v>
      </c>
    </row>
    <row r="39" spans="4:22" x14ac:dyDescent="0.45">
      <c r="D39" s="9" t="s">
        <v>8</v>
      </c>
      <c r="E39" s="13">
        <f si="72" t="shared"/>
        <v>1.6344274246009316E-4</v>
      </c>
      <c r="H39" s="65"/>
      <c r="I39" s="65"/>
      <c r="J39" s="65"/>
      <c r="K39" s="65"/>
      <c r="L39" s="65"/>
      <c r="M39" s="65"/>
      <c r="N39" s="65"/>
      <c r="O39" s="65"/>
      <c r="P39" s="65" t="str">
        <f ref="P39" si="84" t="shared">P25</f>
        <v>School Bus</v>
      </c>
      <c r="Q39" s="96">
        <f si="74" t="shared"/>
        <v>0</v>
      </c>
      <c r="R39" s="96">
        <f si="77" t="shared"/>
        <v>2.1204342833158196E-3</v>
      </c>
      <c r="S39" s="96">
        <f si="77" t="shared"/>
        <v>0</v>
      </c>
      <c r="T39" s="96">
        <f si="77" t="shared"/>
        <v>0</v>
      </c>
      <c r="U39" s="96">
        <f si="77" t="shared"/>
        <v>0</v>
      </c>
      <c r="V39" s="74">
        <f si="78" t="shared"/>
        <v>2.5383515228986908E-4</v>
      </c>
    </row>
    <row r="40" spans="4:22" x14ac:dyDescent="0.45">
      <c r="D40" s="12" t="s">
        <v>302</v>
      </c>
      <c r="E40" s="14">
        <f si="72" t="shared"/>
        <v>0</v>
      </c>
      <c r="H40" s="65"/>
      <c r="I40" s="65"/>
      <c r="J40" s="65"/>
      <c r="K40" s="65"/>
      <c r="L40" s="65"/>
      <c r="M40" s="65"/>
      <c r="N40" s="65"/>
      <c r="O40" s="65"/>
      <c r="P40" s="65" t="s">
        <v>302</v>
      </c>
      <c r="Q40" s="79">
        <f si="74" t="shared"/>
        <v>0</v>
      </c>
      <c r="R40" s="79">
        <f si="77" t="shared"/>
        <v>0</v>
      </c>
      <c r="S40" s="79">
        <f si="77" t="shared"/>
        <v>0</v>
      </c>
      <c r="T40" s="79">
        <f si="77" t="shared"/>
        <v>0</v>
      </c>
      <c r="U40" s="79">
        <f si="77" t="shared"/>
        <v>0</v>
      </c>
      <c r="V40" s="74">
        <f si="78" t="shared"/>
        <v>0</v>
      </c>
    </row>
    <row ht="14.65" r="41" spans="4:22" thickBot="1" x14ac:dyDescent="0.5">
      <c r="D41" s="10" t="s">
        <v>19</v>
      </c>
      <c r="E41" s="97">
        <f si="72" t="shared"/>
        <v>0</v>
      </c>
      <c r="H41" s="65"/>
      <c r="I41" s="65"/>
      <c r="J41" s="65"/>
      <c r="K41" s="65"/>
      <c r="L41" s="65"/>
      <c r="M41" s="65"/>
      <c r="N41" s="65"/>
      <c r="O41" s="65"/>
      <c r="P41" s="71" t="str">
        <f ref="P41" si="85" t="shared">P27</f>
        <v>Total</v>
      </c>
      <c r="Q41" s="80">
        <f ref="Q41" si="86" t="shared">Q27-I27</f>
        <v>0</v>
      </c>
      <c r="R41" s="80">
        <f ref="R41" si="87" t="shared">R27-J27</f>
        <v>0</v>
      </c>
      <c r="S41" s="80">
        <f ref="S41" si="88" t="shared">S27-K27</f>
        <v>0</v>
      </c>
      <c r="T41" s="80">
        <f ref="T41" si="89" t="shared">T27-L27</f>
        <v>0</v>
      </c>
      <c r="U41" s="80">
        <f ref="U41" si="90" t="shared">U27-M27</f>
        <v>0</v>
      </c>
      <c r="V41" s="80">
        <f ref="V41" si="91" t="shared">V27-N27</f>
        <v>0</v>
      </c>
    </row>
    <row r="42" spans="4:22" x14ac:dyDescent="0.45"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</row>
  </sheetData>
  <mergeCells count="2">
    <mergeCell ref="P1:V1"/>
    <mergeCell ref="H1:N1"/>
  </mergeCells>
  <conditionalFormatting sqref="Q32:V40">
    <cfRule dxfId="21" operator="greaterThan" priority="2" type="cellIs">
      <formula>0.005</formula>
    </cfRule>
    <cfRule dxfId="20" operator="lessThan" priority="1" type="cellIs">
      <formula>-0.005</formula>
    </cfRule>
  </conditionalFormatting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41"/>
  <sheetViews>
    <sheetView workbookViewId="0">
      <selection activeCell="G36" sqref="G36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45</v>
      </c>
      <c r="B2" s="1"/>
      <c r="C2" s="3"/>
      <c r="D2" s="3"/>
      <c r="E2" s="3"/>
      <c r="F2" s="3"/>
      <c r="G2" s="3"/>
      <c r="H2" s="3"/>
      <c r="J2" s="1" t="s">
        <v>11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1086.7069347050751</v>
      </c>
      <c r="C4" s="9" t="n">
        <v>553370.6088640427</v>
      </c>
      <c r="D4" s="9" t="n">
        <v>497052.0377410472</v>
      </c>
      <c r="E4" s="9" t="n">
        <v>57405.278057700496</v>
      </c>
      <c r="F4" s="9" t="n">
        <v>539462.2536765578</v>
      </c>
      <c r="G4" s="9" t="n">
        <v>14995.062122189922</v>
      </c>
      <c r="H4" s="9">
        <f>SUM(B4:C4)-B4</f>
        <v>553370.60886404268</v>
      </c>
      <c r="J4" s="9" t="s">
        <v>1</v>
      </c>
      <c r="K4" s="9" t="n">
        <v>0.0</v>
      </c>
      <c r="L4" s="9" t="n">
        <v>473013.0</v>
      </c>
      <c r="M4" s="9" t="n">
        <v>423951.0</v>
      </c>
      <c r="N4" s="9" t="n">
        <v>49062.0</v>
      </c>
      <c r="O4" s="9" t="n">
        <v>457535.0</v>
      </c>
      <c r="P4" s="9" t="n">
        <v>15478.0</v>
      </c>
      <c r="Q4" s="9">
        <f>SUM(K4:L4)</f>
        <v>475818</v>
      </c>
    </row>
    <row r="5" spans="1:17" x14ac:dyDescent="0.45">
      <c r="A5" s="9" t="s">
        <v>2</v>
      </c>
      <c r="B5" s="9" t="n">
        <v>470.73042297350383</v>
      </c>
      <c r="C5" s="9" t="n">
        <v>155611.24471936628</v>
      </c>
      <c r="D5" s="9" t="n">
        <v>119504.98278287197</v>
      </c>
      <c r="E5" s="9" t="n">
        <v>36576.99235946782</v>
      </c>
      <c r="F5" s="9" t="n">
        <v>135807.85366433844</v>
      </c>
      <c r="G5" s="9" t="n">
        <v>20274.121478001354</v>
      </c>
      <c r="H5" s="9">
        <f>SUM(B5:C5)+0.5*B4</f>
        <v>156625.32860969234</v>
      </c>
      <c r="J5" s="9" t="s">
        <v>2</v>
      </c>
      <c r="K5" s="9" t="n">
        <v>573.0</v>
      </c>
      <c r="L5" s="9" t="n">
        <v>132982.0</v>
      </c>
      <c r="M5" s="9" t="n">
        <v>102163.0</v>
      </c>
      <c r="N5" s="9" t="n">
        <v>31392.0</v>
      </c>
      <c r="O5" s="9" t="n">
        <v>114169.0</v>
      </c>
      <c r="P5" s="9" t="n">
        <v>19386.0</v>
      </c>
      <c r="Q5" s="9">
        <f ref="Q5:Q12" si="0" t="shared">SUM(K5:L5)</f>
        <v>135442</v>
      </c>
    </row>
    <row r="6" spans="1:17" x14ac:dyDescent="0.45">
      <c r="A6" s="9" t="s">
        <v>3</v>
      </c>
      <c r="B6" s="9" t="n">
        <v>0.0</v>
      </c>
      <c r="C6" s="9" t="n">
        <v>58108.60352905312</v>
      </c>
      <c r="D6" s="9" t="n">
        <v>47331.20351028171</v>
      </c>
      <c r="E6" s="9" t="n">
        <v>10777.400018771414</v>
      </c>
      <c r="F6" s="9" t="n">
        <v>54147.496510160825</v>
      </c>
      <c r="G6" s="9" t="n">
        <v>3961.1070188922986</v>
      </c>
      <c r="H6" s="9">
        <f>SUM(B6:C6)+0.5*B4</f>
        <v>58651.956996405657</v>
      </c>
      <c r="J6" s="9" t="s">
        <v>3</v>
      </c>
      <c r="K6" s="9" t="n">
        <v>741.0</v>
      </c>
      <c r="L6" s="9" t="n">
        <v>49021.0</v>
      </c>
      <c r="M6" s="9" t="n">
        <v>40177.0</v>
      </c>
      <c r="N6" s="9" t="n">
        <v>9585.0</v>
      </c>
      <c r="O6" s="9" t="n">
        <v>43982.0</v>
      </c>
      <c r="P6" s="9" t="n">
        <v>5780.0</v>
      </c>
      <c r="Q6" s="9">
        <f si="0" t="shared"/>
        <v>49547</v>
      </c>
    </row>
    <row r="7" spans="1:17" x14ac:dyDescent="0.45">
      <c r="A7" s="9" t="s">
        <v>4</v>
      </c>
      <c r="B7" s="101" t="n">
        <v>156.805887729884</v>
      </c>
      <c r="C7" s="101" t="n">
        <v>8168.513702857546</v>
      </c>
      <c r="D7" s="101" t="n">
        <v>6287.227532277414</v>
      </c>
      <c r="E7" s="101" t="n">
        <v>2038.0920583100167</v>
      </c>
      <c r="F7" s="101" t="n">
        <v>7035.235812823661</v>
      </c>
      <c r="G7" s="101" t="n">
        <v>1290.083777763769</v>
      </c>
      <c r="H7" s="101">
        <f ref="H7:H12" si="1" t="shared">SUM(B7:C7)</f>
        <v>8325.3195905874309</v>
      </c>
      <c r="J7" s="9" t="s">
        <v>4</v>
      </c>
      <c r="K7" s="9" t="n">
        <v>160.0</v>
      </c>
      <c r="L7" s="9" t="n">
        <v>454.0</v>
      </c>
      <c r="M7" s="9" t="n">
        <v>527.0</v>
      </c>
      <c r="N7" s="9" t="n">
        <v>87.0</v>
      </c>
      <c r="O7" s="9" t="n">
        <v>560.0</v>
      </c>
      <c r="P7" s="9" t="n">
        <v>54.0</v>
      </c>
      <c r="Q7" s="9">
        <f si="0" t="shared"/>
        <v>643</v>
      </c>
    </row>
    <row r="8" spans="1:17" x14ac:dyDescent="0.45">
      <c r="A8" s="9" t="s">
        <v>5</v>
      </c>
      <c r="B8" s="101" t="n">
        <v>6061.155520354161</v>
      </c>
      <c r="C8" s="101" t="n">
        <v>6471.166225240234</v>
      </c>
      <c r="D8" s="101" t="n">
        <v>9509.744414212255</v>
      </c>
      <c r="E8" s="101" t="n">
        <v>3022.5773313821396</v>
      </c>
      <c r="F8" s="101" t="n">
        <v>11155.592799135431</v>
      </c>
      <c r="G8" s="101" t="n">
        <v>1376.728946458963</v>
      </c>
      <c r="H8" s="101">
        <f si="1" t="shared"/>
        <v>12532.321745594396</v>
      </c>
      <c r="J8" s="9" t="s">
        <v>5</v>
      </c>
      <c r="K8" s="9" t="n">
        <v>3556.0</v>
      </c>
      <c r="L8" s="9" t="n">
        <v>1867.0</v>
      </c>
      <c r="M8" s="9" t="n">
        <v>4711.0</v>
      </c>
      <c r="N8" s="9" t="n">
        <v>712.0</v>
      </c>
      <c r="O8" s="9" t="n">
        <v>4977.0</v>
      </c>
      <c r="P8" s="9" t="n">
        <v>446.0</v>
      </c>
      <c r="Q8" s="9">
        <f si="0" t="shared"/>
        <v>5015</v>
      </c>
    </row>
    <row r="9" spans="1:17" x14ac:dyDescent="0.45">
      <c r="A9" s="9" t="s">
        <v>6</v>
      </c>
      <c r="B9" s="9" t="n">
        <v>439.60453913493586</v>
      </c>
      <c r="C9" s="9" t="n">
        <v>4751.09977051321</v>
      </c>
      <c r="D9" s="9" t="n">
        <v>3919.6577691695684</v>
      </c>
      <c r="E9" s="9" t="n">
        <v>1271.0465404785773</v>
      </c>
      <c r="F9" s="9" t="n">
        <v>4897.526665483207</v>
      </c>
      <c r="G9" s="9" t="n">
        <v>293.1776441649388</v>
      </c>
      <c r="H9" s="9">
        <f si="1" t="shared"/>
        <v>5190.7043096481466</v>
      </c>
      <c r="J9" s="9" t="s">
        <v>6</v>
      </c>
      <c r="K9" s="9" t="n">
        <v>573.0</v>
      </c>
      <c r="L9" s="9" t="n">
        <v>4165.0</v>
      </c>
      <c r="M9" s="9" t="n">
        <v>3749.0</v>
      </c>
      <c r="N9" s="9" t="n">
        <v>989.0</v>
      </c>
      <c r="O9" s="9" t="n">
        <v>3959.0</v>
      </c>
      <c r="P9" s="9" t="n">
        <v>779.0</v>
      </c>
      <c r="Q9" s="9">
        <f si="0" t="shared"/>
        <v>4434</v>
      </c>
    </row>
    <row r="10" spans="1:17" x14ac:dyDescent="0.45">
      <c r="A10" s="9" t="s">
        <v>7</v>
      </c>
      <c r="B10" s="9" t="n">
        <v>483.0276033388366</v>
      </c>
      <c r="C10" s="9" t="n">
        <v>6656.470241052904</v>
      </c>
      <c r="D10" s="9" t="n">
        <v>3204.2826049356577</v>
      </c>
      <c r="E10" s="9" t="n">
        <v>3935.2152394560835</v>
      </c>
      <c r="F10" s="9" t="n">
        <v>4377.570208239499</v>
      </c>
      <c r="G10" s="9" t="n">
        <v>2761.927636152242</v>
      </c>
      <c r="H10" s="9">
        <f si="1" t="shared"/>
        <v>7139.4978443917407</v>
      </c>
      <c r="J10" s="9" t="s">
        <v>7</v>
      </c>
      <c r="K10" s="9" t="n">
        <v>718.0</v>
      </c>
      <c r="L10" s="9" t="n">
        <v>5443.0</v>
      </c>
      <c r="M10" s="9" t="n">
        <v>1939.0</v>
      </c>
      <c r="N10" s="9" t="n">
        <v>4222.0</v>
      </c>
      <c r="O10" s="9" t="n">
        <v>3687.0</v>
      </c>
      <c r="P10" s="9" t="n">
        <v>2474.0</v>
      </c>
      <c r="Q10" s="9">
        <f si="0" t="shared"/>
        <v>5651</v>
      </c>
    </row>
    <row r="11" spans="1:17" x14ac:dyDescent="0.45">
      <c r="A11" s="9" t="s">
        <v>8</v>
      </c>
      <c r="B11" s="9" t="n">
        <v>126.5046059997631</v>
      </c>
      <c r="C11" s="9" t="n">
        <v>300.2210262225313</v>
      </c>
      <c r="D11" s="9" t="n">
        <v>246.5803439666521</v>
      </c>
      <c r="E11" s="9" t="n">
        <v>180.1452882556423</v>
      </c>
      <c r="F11" s="9" t="n">
        <v>369.9670381805395</v>
      </c>
      <c r="G11" s="9" t="n">
        <v>56.7585940417549</v>
      </c>
      <c r="H11" s="9">
        <f si="1" t="shared"/>
        <v>426.72563222229439</v>
      </c>
      <c r="J11" s="9" t="s">
        <v>8</v>
      </c>
      <c r="K11" s="9" t="n">
        <v>0.0</v>
      </c>
      <c r="L11" s="9" t="n">
        <v>0.0</v>
      </c>
      <c r="M11" s="9" t="n">
        <v>0.0</v>
      </c>
      <c r="N11" s="9" t="n">
        <v>0.0</v>
      </c>
      <c r="O11" s="9" t="n">
        <v>0.0</v>
      </c>
      <c r="P11" s="9" t="n">
        <v>0.0</v>
      </c>
      <c r="Q11" s="9">
        <f si="0" t="shared"/>
        <v>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>
        <f si="1" t="shared"/>
        <v>0</v>
      </c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12">
        <f si="0" t="shared"/>
        <v>0</v>
      </c>
    </row>
    <row ht="14.65" r="13" spans="1:17" thickBot="1" x14ac:dyDescent="0.5">
      <c r="A13" s="83" t="s">
        <v>19</v>
      </c>
      <c r="B13" s="83">
        <f>SUM(B4:B12)</f>
        <v>8824.5355142361605</v>
      </c>
      <c r="C13" s="83">
        <f ref="C13:H13" si="2" t="shared">SUM(C4:C12)</f>
        <v>793437.92807834863</v>
      </c>
      <c r="D13" s="83">
        <f si="2" t="shared"/>
        <v>687055.7166987625</v>
      </c>
      <c r="E13" s="83">
        <f si="2" t="shared"/>
        <v>115206.7468938222</v>
      </c>
      <c r="F13" s="83">
        <f si="2" t="shared"/>
        <v>757253.49637491954</v>
      </c>
      <c r="G13" s="83">
        <f si="2" t="shared"/>
        <v>45008.967217665246</v>
      </c>
      <c r="H13" s="83">
        <f si="2" t="shared"/>
        <v>802262.46359258459</v>
      </c>
      <c r="J13" s="83" t="s">
        <v>19</v>
      </c>
      <c r="K13" s="83">
        <f>SUM(K4:K12)</f>
        <v>7060</v>
      </c>
      <c r="L13" s="83">
        <f ref="L13:Q13" si="3" t="shared">SUM(L4:L12)</f>
        <v>669490</v>
      </c>
      <c r="M13" s="83">
        <f si="3" t="shared"/>
        <v>576096</v>
      </c>
      <c r="N13" s="83">
        <f si="3" t="shared"/>
        <v>100454</v>
      </c>
      <c r="O13" s="83">
        <f si="3" t="shared"/>
        <v>629726</v>
      </c>
      <c r="P13" s="83">
        <f si="3" t="shared"/>
        <v>46824</v>
      </c>
      <c r="Q13" s="83">
        <f si="3" t="shared"/>
        <v>676550</v>
      </c>
    </row>
    <row r="15" spans="1:17" x14ac:dyDescent="0.45">
      <c r="K15" s="8"/>
      <c r="L15" s="8"/>
      <c r="M15" s="8"/>
      <c r="N15" s="8"/>
      <c r="O15" s="8"/>
      <c r="P15" s="8"/>
      <c r="Q15" s="8"/>
    </row>
    <row ht="14.65" r="16" spans="1:17" thickBot="1" x14ac:dyDescent="0.5">
      <c r="A16" s="1" t="s">
        <v>45</v>
      </c>
      <c r="B16" s="1"/>
      <c r="C16" s="3"/>
      <c r="D16" s="3"/>
      <c r="E16" s="3"/>
      <c r="F16" s="3"/>
      <c r="G16" s="3"/>
      <c r="H16" s="3"/>
      <c r="J16" s="1" t="s">
        <v>11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4" t="s">
        <v>248</v>
      </c>
      <c r="E17" s="4" t="s">
        <v>247</v>
      </c>
      <c r="F17" s="4" t="s">
        <v>249</v>
      </c>
      <c r="G17" s="4" t="s">
        <v>250</v>
      </c>
      <c r="H17" s="4" t="s">
        <v>19</v>
      </c>
      <c r="J17" s="2" t="s">
        <v>0</v>
      </c>
      <c r="K17" s="4" t="s">
        <v>9</v>
      </c>
      <c r="L17" s="4" t="s">
        <v>10</v>
      </c>
      <c r="M17" s="4" t="s">
        <v>248</v>
      </c>
      <c r="N17" s="4" t="s">
        <v>247</v>
      </c>
      <c r="O17" s="4" t="s">
        <v>249</v>
      </c>
      <c r="P17" s="4" t="s">
        <v>250</v>
      </c>
      <c r="Q17" s="4" t="s">
        <v>19</v>
      </c>
    </row>
    <row r="18" spans="1:22" x14ac:dyDescent="0.45">
      <c r="A18" s="9" t="s">
        <v>1</v>
      </c>
      <c r="B18" s="13">
        <f ref="B18:C27" si="4" t="shared">B4/$H$13</f>
        <v>1.3545528851477474E-3</v>
      </c>
      <c r="C18" s="13">
        <f si="4" t="shared"/>
        <v>0.6897625577370432</v>
      </c>
      <c r="D18" s="13">
        <f ref="D18:G18" si="5" t="shared">D4/$H$13</f>
        <v>0.6195628741187954</v>
      </c>
      <c r="E18" s="13">
        <f si="5" t="shared"/>
        <v>7.1554236503395471E-2</v>
      </c>
      <c r="F18" s="13">
        <f si="5" t="shared"/>
        <v>0.67242614251302502</v>
      </c>
      <c r="G18" s="13">
        <f si="5" t="shared"/>
        <v>1.8690968109165967E-2</v>
      </c>
      <c r="H18" s="13">
        <f ref="H18:H27" si="6" t="shared">H4/$H$13</f>
        <v>0.6897625577370432</v>
      </c>
      <c r="J18" s="9" t="s">
        <v>1</v>
      </c>
      <c r="K18" s="13">
        <f ref="K18:L27" si="7" t="shared">K4/$Q$13</f>
        <v>0</v>
      </c>
      <c r="L18" s="13">
        <f si="7" t="shared"/>
        <v>0.7033005690636317</v>
      </c>
      <c r="M18" s="13">
        <f ref="M18:P18" si="8" t="shared">M4/$Q$13</f>
        <v>0.62638681546079378</v>
      </c>
      <c r="N18" s="13">
        <f si="8" t="shared"/>
        <v>7.6913753602837934E-2</v>
      </c>
      <c r="O18" s="13">
        <f si="8" t="shared"/>
        <v>0.67844061784051435</v>
      </c>
      <c r="P18" s="13">
        <f si="8" t="shared"/>
        <v>2.4859951223117287E-2</v>
      </c>
      <c r="Q18" s="13">
        <f ref="Q18:Q27" si="9" t="shared">Q4/$Q$13</f>
        <v>0.7033005690636317</v>
      </c>
    </row>
    <row r="19" spans="1:22" x14ac:dyDescent="0.45">
      <c r="A19" s="9" t="s">
        <v>2</v>
      </c>
      <c r="B19" s="13">
        <f si="4" t="shared"/>
        <v>5.8675364277364006E-4</v>
      </c>
      <c r="C19" s="13">
        <f si="4" t="shared"/>
        <v>0.19396550602969606</v>
      </c>
      <c r="D19" s="13">
        <f ref="D19:G19" si="10" t="shared">D5/$H$13</f>
        <v>0.14895995787677854</v>
      </c>
      <c r="E19" s="13">
        <f si="10" t="shared"/>
        <v>4.5592301795691174E-2</v>
      </c>
      <c r="F19" s="13">
        <f si="10" t="shared"/>
        <v>0.16928107673912832</v>
      </c>
      <c r="G19" s="13">
        <f si="10" t="shared"/>
        <v>2.5271182933341404E-2</v>
      </c>
      <c r="H19" s="13">
        <f si="6" t="shared"/>
        <v>0.19522953611504359</v>
      </c>
      <c r="J19" s="9" t="s">
        <v>2</v>
      </c>
      <c r="K19" s="13">
        <f si="7" t="shared"/>
        <v>1.0745695070578671E-3</v>
      </c>
      <c r="L19" s="13">
        <f si="7" t="shared"/>
        <v>0.1991205380237972</v>
      </c>
      <c r="M19" s="13">
        <f ref="M19:P19" si="11" t="shared">M5/$Q$13</f>
        <v>0.1511566033552583</v>
      </c>
      <c r="N19" s="13">
        <f si="11" t="shared"/>
        <v>4.9038504175596777E-2</v>
      </c>
      <c r="O19" s="13">
        <f si="11" t="shared"/>
        <v>0.16974798610597885</v>
      </c>
      <c r="P19" s="13">
        <f si="11" t="shared"/>
        <v>3.0447121424876211E-2</v>
      </c>
      <c r="Q19" s="13">
        <f si="9" t="shared"/>
        <v>0.20019510753085507</v>
      </c>
    </row>
    <row r="20" spans="1:22" x14ac:dyDescent="0.45">
      <c r="A20" s="9" t="s">
        <v>3</v>
      </c>
      <c r="B20" s="13">
        <f si="4" t="shared"/>
        <v>0</v>
      </c>
      <c r="C20" s="13">
        <f si="4" t="shared"/>
        <v>7.2430914028856513E-2</v>
      </c>
      <c r="D20" s="13">
        <f ref="D20:G20" si="12" t="shared">D6/$H$13</f>
        <v>5.8997155741687624E-2</v>
      </c>
      <c r="E20" s="13">
        <f si="12" t="shared"/>
        <v>1.343375828716889E-2</v>
      </c>
      <c r="F20" s="13">
        <f si="12" t="shared"/>
        <v>6.7493493672488108E-2</v>
      </c>
      <c r="G20" s="13">
        <f si="12" t="shared"/>
        <v>4.937420356368411E-3</v>
      </c>
      <c r="H20" s="13">
        <f si="6" t="shared"/>
        <v>7.3108190471430384E-2</v>
      </c>
      <c r="J20" s="9" t="s">
        <v>3</v>
      </c>
      <c r="K20" s="13">
        <f si="7" t="shared"/>
        <v>1.4115734239893577E-3</v>
      </c>
      <c r="L20" s="13">
        <f si="7" t="shared"/>
        <v>7.182322075234647E-2</v>
      </c>
      <c r="M20" s="13">
        <f ref="M20:P20" si="13" t="shared">M6/$Q$13</f>
        <v>5.8866306998743623E-2</v>
      </c>
      <c r="N20" s="13">
        <f si="13" t="shared"/>
        <v>1.4368487177592195E-2</v>
      </c>
      <c r="O20" s="13">
        <f si="13" t="shared"/>
        <v>6.4481560860246839E-2</v>
      </c>
      <c r="P20" s="13">
        <f si="13" t="shared"/>
        <v>8.7532333160889805E-3</v>
      </c>
      <c r="Q20" s="13">
        <f si="9" t="shared"/>
        <v>7.3234794176335827E-2</v>
      </c>
    </row>
    <row r="21" spans="1:22" x14ac:dyDescent="0.45">
      <c r="A21" s="9" t="s">
        <v>4</v>
      </c>
      <c r="B21" s="13">
        <f si="4" t="shared"/>
        <v>1.9545459852090901E-4</v>
      </c>
      <c r="C21" s="13">
        <f si="4" t="shared"/>
        <v>1.0181847055735849E-2</v>
      </c>
      <c r="D21" s="13">
        <f ref="D21:G21" si="14" t="shared">D7/$H$13</f>
        <v>7.8368711208583672E-3</v>
      </c>
      <c r="E21" s="13">
        <f si="14" t="shared"/>
        <v>2.5404305333983908E-3</v>
      </c>
      <c r="F21" s="13">
        <f si="14" t="shared"/>
        <v>8.7692446450995699E-3</v>
      </c>
      <c r="G21" s="13">
        <f si="14" t="shared"/>
        <v>1.6080570091571878E-3</v>
      </c>
      <c r="H21" s="13">
        <f si="6" t="shared"/>
        <v>1.0377301654256758E-2</v>
      </c>
      <c r="J21" s="9" t="s">
        <v>4</v>
      </c>
      <c r="K21" s="13">
        <f si="7" t="shared"/>
        <v>3.2074495602690118E-4</v>
      </c>
      <c r="L21" s="13">
        <f si="7" t="shared"/>
        <v>6.2966521321410095E-4</v>
      </c>
      <c r="M21" s="13">
        <f ref="M21:P21" si="15" t="shared">M7/$Q$13</f>
        <v>8.3068509348902518E-4</v>
      </c>
      <c r="N21" s="13">
        <f si="15" t="shared"/>
        <v>1.1972507575197694E-4</v>
      </c>
      <c r="O21" s="13">
        <f si="15" t="shared"/>
        <v>8.6911536471805486E-4</v>
      </c>
      <c r="P21" s="13">
        <f si="15" t="shared"/>
        <v>8.129480452294731E-5</v>
      </c>
      <c r="Q21" s="13">
        <f si="9" t="shared"/>
        <v>9.5041016924100213E-4</v>
      </c>
    </row>
    <row r="22" spans="1:22" x14ac:dyDescent="0.45">
      <c r="A22" s="9" t="s">
        <v>5</v>
      </c>
      <c r="B22" s="13">
        <f si="4" t="shared"/>
        <v>7.5550780391892003E-3</v>
      </c>
      <c r="C22" s="13">
        <f si="4" t="shared"/>
        <v>8.0661460792543146E-3</v>
      </c>
      <c r="D22" s="13">
        <f ref="D22:G22" si="16" t="shared">D8/$H$13</f>
        <v>1.1853657432290908E-2</v>
      </c>
      <c r="E22" s="13">
        <f si="16" t="shared"/>
        <v>3.7675666861526061E-3</v>
      </c>
      <c r="F22" s="13">
        <f si="16" t="shared"/>
        <v>1.3905166083902199E-2</v>
      </c>
      <c r="G22" s="13">
        <f si="16" t="shared"/>
        <v>1.7160580345413137E-3</v>
      </c>
      <c r="H22" s="13">
        <f si="6" t="shared"/>
        <v>1.5621224118443517E-2</v>
      </c>
      <c r="J22" s="9" t="s">
        <v>5</v>
      </c>
      <c r="K22" s="13">
        <f si="7" t="shared"/>
        <v>5.4748355627817604E-3</v>
      </c>
      <c r="L22" s="13">
        <f si="7" t="shared"/>
        <v>1.9377725223560713E-3</v>
      </c>
      <c r="M22" s="13">
        <f ref="M22:P22" si="17" t="shared">M8/$Q$13</f>
        <v>6.5686202054541423E-3</v>
      </c>
      <c r="N22" s="13">
        <f si="17" t="shared"/>
        <v>8.4398787968368932E-4</v>
      </c>
      <c r="O22" s="13">
        <f si="17" t="shared"/>
        <v>6.8878870741260808E-3</v>
      </c>
      <c r="P22" s="13">
        <f si="17" t="shared"/>
        <v>5.2472101101175078E-4</v>
      </c>
      <c r="Q22" s="13">
        <f si="9" t="shared"/>
        <v>7.4126080851378319E-3</v>
      </c>
    </row>
    <row r="23" spans="1:22" x14ac:dyDescent="0.45">
      <c r="A23" s="9" t="s">
        <v>6</v>
      </c>
      <c r="B23" s="13">
        <f si="4" t="shared"/>
        <v>5.4795601076280888E-4</v>
      </c>
      <c r="C23" s="13">
        <f si="4" t="shared"/>
        <v>5.9221264687337729E-3</v>
      </c>
      <c r="D23" s="13">
        <f ref="D23:G23" si="18" t="shared">D9/$H$13</f>
        <v>4.8857549082093167E-3</v>
      </c>
      <c r="E23" s="13">
        <f si="18" t="shared"/>
        <v>1.5843275712872648E-3</v>
      </c>
      <c r="F23" s="13">
        <f si="18" t="shared"/>
        <v>6.1046439136037316E-3</v>
      </c>
      <c r="G23" s="13">
        <f si="18" t="shared"/>
        <v>3.6543856589284988E-4</v>
      </c>
      <c r="H23" s="13">
        <f si="6" t="shared"/>
        <v>6.4700824794965825E-3</v>
      </c>
      <c r="J23" s="9" t="s">
        <v>6</v>
      </c>
      <c r="K23" s="13">
        <f si="7" t="shared"/>
        <v>9.7997191634025568E-4</v>
      </c>
      <c r="L23" s="13">
        <f si="7" t="shared"/>
        <v>5.5738674155642598E-3</v>
      </c>
      <c r="M23" s="13">
        <f ref="M23:P23" si="19" t="shared">M9/$Q$13</f>
        <v>5.1540906067548591E-3</v>
      </c>
      <c r="N23" s="13">
        <f si="19" t="shared"/>
        <v>1.3997487251496564E-3</v>
      </c>
      <c r="O23" s="13">
        <f si="19" t="shared"/>
        <v>5.4452738156825073E-3</v>
      </c>
      <c r="P23" s="13">
        <f si="19" t="shared"/>
        <v>1.1085655162220087E-3</v>
      </c>
      <c r="Q23" s="13">
        <f si="9" t="shared"/>
        <v>6.5538393319045157E-3</v>
      </c>
    </row>
    <row r="24" spans="1:22" x14ac:dyDescent="0.45">
      <c r="A24" s="9" t="s">
        <v>7</v>
      </c>
      <c r="B24" s="13">
        <f si="4" t="shared"/>
        <v>6.0208176907069403E-4</v>
      </c>
      <c r="C24" s="13">
        <f si="4" t="shared"/>
        <v>8.2971228782720164E-3</v>
      </c>
      <c r="D24" s="13">
        <f ref="D24:G24" si="20" t="shared">D10/$H$13</f>
        <v>3.9940577433807229E-3</v>
      </c>
      <c r="E24" s="13">
        <f si="20" t="shared"/>
        <v>4.9051469039619877E-3</v>
      </c>
      <c r="F24" s="13">
        <f si="20" t="shared"/>
        <v>5.4565312561632873E-3</v>
      </c>
      <c r="G24" s="13">
        <f si="20" t="shared"/>
        <v>3.4426733911794237E-3</v>
      </c>
      <c r="H24" s="13">
        <f si="6" t="shared"/>
        <v>8.8992046473427098E-3</v>
      </c>
      <c r="J24" s="9" t="s">
        <v>7</v>
      </c>
      <c r="K24" s="13">
        <f si="7" t="shared"/>
        <v>1.1736013598403665E-3</v>
      </c>
      <c r="L24" s="13">
        <f si="7" t="shared"/>
        <v>7.1790702830537281E-3</v>
      </c>
      <c r="M24" s="13">
        <f ref="M24:P24" si="21" t="shared">M10/$Q$13</f>
        <v>2.5570911240854334E-3</v>
      </c>
      <c r="N24" s="13">
        <f si="21" t="shared"/>
        <v>5.7955805188086617E-3</v>
      </c>
      <c r="O24" s="13">
        <f si="21" t="shared"/>
        <v>4.9175966299608307E-3</v>
      </c>
      <c r="P24" s="13">
        <f si="21" t="shared"/>
        <v>3.4350750129332644E-3</v>
      </c>
      <c r="Q24" s="13">
        <f si="9" t="shared"/>
        <v>8.3526716428940946E-3</v>
      </c>
    </row>
    <row r="25" spans="1:22" x14ac:dyDescent="0.45">
      <c r="A25" s="9" t="s">
        <v>8</v>
      </c>
      <c r="B25" s="13">
        <f si="4" t="shared"/>
        <v>1.5768481231599328E-4</v>
      </c>
      <c r="C25" s="13">
        <f si="4" t="shared"/>
        <v>3.7421796462733855E-4</v>
      </c>
      <c r="D25" s="13">
        <f ref="D25:G26" si="22" t="shared">D11/$H$13</f>
        <v>3.0735620218656242E-4</v>
      </c>
      <c r="E25" s="13">
        <f si="22" t="shared"/>
        <v>2.2454657475676941E-4</v>
      </c>
      <c r="F25" s="13">
        <f si="22" t="shared"/>
        <v>4.6115461581463314E-4</v>
      </c>
      <c r="G25" s="13">
        <f si="22" t="shared"/>
        <v>7.0748161128698635E-5</v>
      </c>
      <c r="H25" s="13">
        <f si="6" t="shared"/>
        <v>5.3190277694333183E-4</v>
      </c>
      <c r="J25" s="9" t="s">
        <v>8</v>
      </c>
      <c r="K25" s="13">
        <f si="7" t="shared"/>
        <v>0</v>
      </c>
      <c r="L25" s="13">
        <f si="7" t="shared"/>
        <v>0</v>
      </c>
      <c r="M25" s="13">
        <f ref="M25:P26" si="23" t="shared">M11/$Q$13</f>
        <v>0</v>
      </c>
      <c r="N25" s="13">
        <f si="23" t="shared"/>
        <v>0</v>
      </c>
      <c r="O25" s="13">
        <f si="23" t="shared"/>
        <v>0</v>
      </c>
      <c r="P25" s="13">
        <f si="23" t="shared"/>
        <v>0</v>
      </c>
      <c r="Q25" s="13">
        <f si="9" t="shared"/>
        <v>0</v>
      </c>
    </row>
    <row r="26" spans="1:22" x14ac:dyDescent="0.45">
      <c r="A26" s="12" t="s">
        <v>302</v>
      </c>
      <c r="B26" s="14">
        <f si="4" t="shared"/>
        <v>0</v>
      </c>
      <c r="C26" s="14">
        <f si="4" t="shared"/>
        <v>0</v>
      </c>
      <c r="D26" s="14">
        <f si="22" t="shared"/>
        <v>0</v>
      </c>
      <c r="E26" s="14">
        <f si="22" t="shared"/>
        <v>0</v>
      </c>
      <c r="F26" s="14">
        <f si="22" t="shared"/>
        <v>0</v>
      </c>
      <c r="G26" s="14">
        <f si="22" t="shared"/>
        <v>0</v>
      </c>
      <c r="H26" s="14">
        <f si="6" t="shared"/>
        <v>0</v>
      </c>
      <c r="J26" s="12" t="s">
        <v>302</v>
      </c>
      <c r="K26" s="14">
        <f si="7" t="shared"/>
        <v>0</v>
      </c>
      <c r="L26" s="14">
        <f si="7" t="shared"/>
        <v>0</v>
      </c>
      <c r="M26" s="14">
        <f si="23" t="shared"/>
        <v>0</v>
      </c>
      <c r="N26" s="14">
        <f si="23" t="shared"/>
        <v>0</v>
      </c>
      <c r="O26" s="14">
        <f si="23" t="shared"/>
        <v>0</v>
      </c>
      <c r="P26" s="14">
        <f si="23" t="shared"/>
        <v>0</v>
      </c>
      <c r="Q26" s="14">
        <f si="9" t="shared"/>
        <v>0</v>
      </c>
    </row>
    <row ht="14.65" r="27" spans="1:22" thickBot="1" x14ac:dyDescent="0.5">
      <c r="A27" s="83" t="s">
        <v>19</v>
      </c>
      <c r="B27" s="86">
        <f si="4" t="shared"/>
        <v>1.0999561757780994E-2</v>
      </c>
      <c r="C27" s="86">
        <f si="4" t="shared"/>
        <v>0.98900043824221928</v>
      </c>
      <c r="D27" s="86">
        <f ref="D27:G27" si="24" t="shared">D13/$H$13</f>
        <v>0.85639768514418757</v>
      </c>
      <c r="E27" s="86">
        <f si="24" t="shared"/>
        <v>0.14360231485581257</v>
      </c>
      <c r="F27" s="86">
        <f si="24" t="shared"/>
        <v>0.94389745343922493</v>
      </c>
      <c r="G27" s="86">
        <f si="24" t="shared"/>
        <v>5.6102546560775263E-2</v>
      </c>
      <c r="H27" s="86">
        <f si="6" t="shared"/>
        <v>1</v>
      </c>
      <c r="J27" s="83" t="s">
        <v>19</v>
      </c>
      <c r="K27" s="86">
        <f si="7" t="shared"/>
        <v>1.0435296726036509E-2</v>
      </c>
      <c r="L27" s="86">
        <f si="7" t="shared"/>
        <v>0.98956470327396351</v>
      </c>
      <c r="M27" s="86">
        <f ref="M27:P27" si="25" t="shared">M13/$Q$13</f>
        <v>0.85152021284457913</v>
      </c>
      <c r="N27" s="86">
        <f si="25" t="shared"/>
        <v>0.14847978715542087</v>
      </c>
      <c r="O27" s="86">
        <f si="25" t="shared"/>
        <v>0.93079003769122759</v>
      </c>
      <c r="P27" s="86">
        <f si="25" t="shared"/>
        <v>6.9209962308772452E-2</v>
      </c>
      <c r="Q27" s="86">
        <f si="9" t="shared"/>
        <v>1</v>
      </c>
    </row>
    <row ht="14.65" r="30" spans="1:22" thickBot="1" x14ac:dyDescent="0.5">
      <c r="J30" s="1" t="s">
        <v>20</v>
      </c>
      <c r="K30" s="1"/>
      <c r="L30" s="3"/>
      <c r="M30" s="3"/>
      <c r="N30" s="3"/>
      <c r="O30" s="3"/>
      <c r="P30" s="3"/>
      <c r="Q30" s="3"/>
      <c r="S30" s="15" t="s">
        <v>35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4" t="s">
        <v>248</v>
      </c>
      <c r="N31" s="4" t="s">
        <v>247</v>
      </c>
      <c r="O31" s="4" t="s">
        <v>249</v>
      </c>
      <c r="P31" s="4" t="s">
        <v>250</v>
      </c>
      <c r="Q31" s="4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26" t="shared">K18-B18</f>
        <v>-1.3545528851477474E-3</v>
      </c>
      <c r="L32" s="13">
        <f ref="L32:L40" si="27" t="shared">L18-C18</f>
        <v>1.3538011326588495E-2</v>
      </c>
      <c r="M32" s="13">
        <f ref="M32:P32" si="28" t="shared">M18-D18</f>
        <v>6.8239413419983741E-3</v>
      </c>
      <c r="N32" s="13">
        <f si="28" t="shared"/>
        <v>5.3595170994424624E-3</v>
      </c>
      <c r="O32" s="13">
        <f si="28" t="shared"/>
        <v>6.0144753274893326E-3</v>
      </c>
      <c r="P32" s="13">
        <f si="28" t="shared"/>
        <v>6.16898311395132E-3</v>
      </c>
      <c r="Q32" s="13">
        <f ref="Q32:Q40" si="29" t="shared">Q18-H18</f>
        <v>1.3538011326588495E-2</v>
      </c>
      <c r="S32" s="82" t="s">
        <v>1</v>
      </c>
      <c r="T32" s="87">
        <f ref="T32:T39" si="30" t="shared">H18</f>
        <v>0.6897625577370432</v>
      </c>
      <c r="U32" s="87">
        <f ref="U32:U39" si="31" t="shared">Q18</f>
        <v>0.7033005690636317</v>
      </c>
      <c r="V32" s="87">
        <f>U32-T32</f>
        <v>1.3538011326588495E-2</v>
      </c>
    </row>
    <row r="33" spans="10:22" x14ac:dyDescent="0.45">
      <c r="J33" s="9" t="s">
        <v>2</v>
      </c>
      <c r="K33" s="13">
        <f si="26" t="shared"/>
        <v>4.8781586428422704E-4</v>
      </c>
      <c r="L33" s="13">
        <f si="27" t="shared"/>
        <v>5.1550319941011391E-3</v>
      </c>
      <c r="M33" s="13">
        <f ref="M33:P33" si="32" t="shared">M19-D19</f>
        <v>2.1966454784797529E-3</v>
      </c>
      <c r="N33" s="13">
        <f si="32" t="shared"/>
        <v>3.4462023799056024E-3</v>
      </c>
      <c r="O33" s="13">
        <f si="32" t="shared"/>
        <v>4.6690936685053752E-4</v>
      </c>
      <c r="P33" s="13">
        <f si="32" t="shared"/>
        <v>5.1759384915348074E-3</v>
      </c>
      <c r="Q33" s="13">
        <f si="29" t="shared"/>
        <v>4.9655714158114705E-3</v>
      </c>
      <c r="S33" s="84" t="s">
        <v>2</v>
      </c>
      <c r="T33" s="85">
        <f si="30" t="shared"/>
        <v>0.19522953611504359</v>
      </c>
      <c r="U33" s="85">
        <f si="31" t="shared"/>
        <v>0.20019510753085507</v>
      </c>
      <c r="V33" s="85">
        <f ref="V33:V41" si="33" t="shared">U33-T33</f>
        <v>4.9655714158114705E-3</v>
      </c>
    </row>
    <row r="34" spans="10:22" x14ac:dyDescent="0.45">
      <c r="J34" s="9" t="s">
        <v>3</v>
      </c>
      <c r="K34" s="13">
        <f si="26" t="shared"/>
        <v>1.4115734239893577E-3</v>
      </c>
      <c r="L34" s="13">
        <f si="27" t="shared"/>
        <v>-6.0769327651004346E-4</v>
      </c>
      <c r="M34" s="13">
        <f ref="M34:P34" si="34" t="shared">M20-D20</f>
        <v>-1.3084874294400084E-4</v>
      </c>
      <c r="N34" s="13">
        <f si="34" t="shared"/>
        <v>9.3472889042330552E-4</v>
      </c>
      <c r="O34" s="13">
        <f si="34" t="shared"/>
        <v>-3.0119328122412692E-3</v>
      </c>
      <c r="P34" s="13">
        <f si="34" t="shared"/>
        <v>3.8158129597205695E-3</v>
      </c>
      <c r="Q34" s="13">
        <f si="29" t="shared"/>
        <v>1.2660370490544248E-4</v>
      </c>
      <c r="S34" s="17" t="s">
        <v>3</v>
      </c>
      <c r="T34" s="88">
        <f si="30" t="shared"/>
        <v>7.3108190471430384E-2</v>
      </c>
      <c r="U34" s="88">
        <f si="31" t="shared"/>
        <v>7.3234794176335827E-2</v>
      </c>
      <c r="V34" s="88">
        <f si="33" t="shared"/>
        <v>1.2660370490544248E-4</v>
      </c>
    </row>
    <row r="35" spans="10:22" x14ac:dyDescent="0.45">
      <c r="J35" s="9" t="s">
        <v>4</v>
      </c>
      <c r="K35" s="13">
        <f si="26" t="shared"/>
        <v>1.2529035750599216E-4</v>
      </c>
      <c r="L35" s="13">
        <f si="27" t="shared"/>
        <v>-9.5521818425217484E-3</v>
      </c>
      <c r="M35" s="13">
        <f ref="M35:P35" si="35" t="shared">M21-D21</f>
        <v>-7.0061860273693422E-3</v>
      </c>
      <c r="N35" s="13">
        <f si="35" t="shared"/>
        <v>-2.4207054576464138E-3</v>
      </c>
      <c r="O35" s="13">
        <f si="35" t="shared"/>
        <v>-7.9001292803815154E-3</v>
      </c>
      <c r="P35" s="13">
        <f si="35" t="shared"/>
        <v>-1.5267622046342404E-3</v>
      </c>
      <c r="Q35" s="13">
        <f si="29" t="shared"/>
        <v>-9.4268914850157565E-3</v>
      </c>
      <c r="S35" s="84" t="s">
        <v>4</v>
      </c>
      <c r="T35" s="85">
        <f si="30" t="shared"/>
        <v>1.0377301654256758E-2</v>
      </c>
      <c r="U35" s="85">
        <f si="31" t="shared"/>
        <v>9.5041016924100213E-4</v>
      </c>
      <c r="V35" s="85">
        <f si="33" t="shared"/>
        <v>-9.4268914850157565E-3</v>
      </c>
    </row>
    <row r="36" spans="10:22" x14ac:dyDescent="0.45">
      <c r="J36" s="9" t="s">
        <v>5</v>
      </c>
      <c r="K36" s="13">
        <f si="26" t="shared"/>
        <v>-2.0802424764074399E-3</v>
      </c>
      <c r="L36" s="13">
        <f si="27" t="shared"/>
        <v>-6.1283735568982431E-3</v>
      </c>
      <c r="M36" s="13">
        <f ref="M36:P36" si="36" t="shared">M22-D22</f>
        <v>-5.2850372268367658E-3</v>
      </c>
      <c r="N36" s="13">
        <f si="36" t="shared"/>
        <v>-2.9235788064689168E-3</v>
      </c>
      <c r="O36" s="13">
        <f si="36" t="shared"/>
        <v>-7.0172790097761187E-3</v>
      </c>
      <c r="P36" s="13">
        <f si="36" t="shared"/>
        <v>-1.1913370235295631E-3</v>
      </c>
      <c r="Q36" s="13">
        <f si="29" t="shared"/>
        <v>-8.2086160333056848E-3</v>
      </c>
      <c r="S36" s="17" t="s">
        <v>5</v>
      </c>
      <c r="T36" s="88">
        <f si="30" t="shared"/>
        <v>1.5621224118443517E-2</v>
      </c>
      <c r="U36" s="88">
        <f si="31" t="shared"/>
        <v>7.4126080851378319E-3</v>
      </c>
      <c r="V36" s="88">
        <f si="33" t="shared"/>
        <v>-8.2086160333056848E-3</v>
      </c>
    </row>
    <row r="37" spans="10:22" x14ac:dyDescent="0.45">
      <c r="J37" s="9" t="s">
        <v>6</v>
      </c>
      <c r="K37" s="13">
        <f si="26" t="shared"/>
        <v>4.320159055774468E-4</v>
      </c>
      <c r="L37" s="13">
        <f si="27" t="shared"/>
        <v>-3.4825905316951313E-4</v>
      </c>
      <c r="M37" s="13">
        <f ref="M37:P37" si="37" t="shared">M23-D23</f>
        <v>2.6833569854554234E-4</v>
      </c>
      <c r="N37" s="13">
        <f si="37" t="shared"/>
        <v>-1.8457884613760846E-4</v>
      </c>
      <c r="O37" s="13">
        <f si="37" t="shared"/>
        <v>-6.5937009792122435E-4</v>
      </c>
      <c r="P37" s="13">
        <f si="37" t="shared"/>
        <v>7.4312695032915878E-4</v>
      </c>
      <c r="Q37" s="13">
        <f si="29" t="shared"/>
        <v>8.3756852407933235E-5</v>
      </c>
      <c r="S37" s="84" t="s">
        <v>6</v>
      </c>
      <c r="T37" s="85">
        <f si="30" t="shared"/>
        <v>6.4700824794965825E-3</v>
      </c>
      <c r="U37" s="85">
        <f si="31" t="shared"/>
        <v>6.5538393319045157E-3</v>
      </c>
      <c r="V37" s="85">
        <f si="33" t="shared"/>
        <v>8.3756852407933235E-5</v>
      </c>
    </row>
    <row r="38" spans="10:22" x14ac:dyDescent="0.45">
      <c r="J38" s="9" t="s">
        <v>7</v>
      </c>
      <c r="K38" s="13">
        <f si="26" t="shared"/>
        <v>5.7151959076967248E-4</v>
      </c>
      <c r="L38" s="13">
        <f si="27" t="shared"/>
        <v>-1.1180525952182883E-3</v>
      </c>
      <c r="M38" s="13">
        <f ref="M38:P38" si="38" t="shared">M24-D24</f>
        <v>-1.4369666192952896E-3</v>
      </c>
      <c r="N38" s="13">
        <f si="38" t="shared"/>
        <v>8.9043361484667394E-4</v>
      </c>
      <c r="O38" s="13">
        <f si="38" t="shared"/>
        <v>-5.3893462620245667E-4</v>
      </c>
      <c r="P38" s="13">
        <f si="38" t="shared"/>
        <v>-7.5983782461593735E-6</v>
      </c>
      <c r="Q38" s="13">
        <f si="29" t="shared"/>
        <v>-5.4653300444861518E-4</v>
      </c>
      <c r="S38" s="17" t="s">
        <v>7</v>
      </c>
      <c r="T38" s="88">
        <f si="30" t="shared"/>
        <v>8.8992046473427098E-3</v>
      </c>
      <c r="U38" s="88">
        <f si="31" t="shared"/>
        <v>8.3526716428940946E-3</v>
      </c>
      <c r="V38" s="88">
        <f si="33" t="shared"/>
        <v>-5.4653300444861518E-4</v>
      </c>
    </row>
    <row r="39" spans="10:22" x14ac:dyDescent="0.45">
      <c r="J39" s="9" t="s">
        <v>8</v>
      </c>
      <c r="K39" s="13">
        <f si="26" t="shared"/>
        <v>-1.5768481231599328E-4</v>
      </c>
      <c r="L39" s="13">
        <f si="27" t="shared"/>
        <v>-3.7421796462733855E-4</v>
      </c>
      <c r="M39" s="13">
        <f ref="M39:P39" si="39" t="shared">M25-D25</f>
        <v>-3.0735620218656242E-4</v>
      </c>
      <c r="N39" s="13">
        <f si="39" t="shared"/>
        <v>-2.2454657475676941E-4</v>
      </c>
      <c r="O39" s="13">
        <f si="39" t="shared"/>
        <v>-4.6115461581463314E-4</v>
      </c>
      <c r="P39" s="13">
        <f si="39" t="shared"/>
        <v>-7.0748161128698635E-5</v>
      </c>
      <c r="Q39" s="13">
        <f si="29" t="shared"/>
        <v>-5.3190277694333183E-4</v>
      </c>
      <c r="S39" s="84" t="s">
        <v>8</v>
      </c>
      <c r="T39" s="85">
        <f si="30" t="shared"/>
        <v>5.3190277694333183E-4</v>
      </c>
      <c r="U39" s="85">
        <f si="31" t="shared"/>
        <v>0</v>
      </c>
      <c r="V39" s="85">
        <f si="33" t="shared"/>
        <v>-5.3190277694333183E-4</v>
      </c>
    </row>
    <row r="40" spans="10:22" x14ac:dyDescent="0.45">
      <c r="J40" s="12" t="s">
        <v>302</v>
      </c>
      <c r="K40" s="14">
        <f si="26" t="shared"/>
        <v>0</v>
      </c>
      <c r="L40" s="14">
        <f si="27" t="shared"/>
        <v>0</v>
      </c>
      <c r="M40" s="14">
        <f ref="M40" si="40" t="shared">M26-D26</f>
        <v>0</v>
      </c>
      <c r="N40" s="14">
        <f ref="N40" si="41" t="shared">N26-E26</f>
        <v>0</v>
      </c>
      <c r="O40" s="14">
        <f ref="O40" si="42" t="shared">O26-F26</f>
        <v>0</v>
      </c>
      <c r="P40" s="14">
        <f ref="P40" si="43" t="shared">P26-G26</f>
        <v>0</v>
      </c>
      <c r="Q40" s="14">
        <f si="29" t="shared"/>
        <v>0</v>
      </c>
      <c r="S40" s="69" t="s">
        <v>302</v>
      </c>
      <c r="T40" s="89">
        <f ref="T40" si="44" t="shared">H26</f>
        <v>0</v>
      </c>
      <c r="U40" s="89">
        <f ref="U40" si="45" t="shared">Q26</f>
        <v>0</v>
      </c>
      <c r="V40" s="89">
        <f ref="V40" si="46" t="shared">U40-T40</f>
        <v>0</v>
      </c>
    </row>
    <row ht="14.65" r="41" spans="10:22" thickBot="1" x14ac:dyDescent="0.5">
      <c r="J41" s="83" t="s">
        <v>19</v>
      </c>
      <c r="K41" s="86">
        <f ref="K41" si="47" t="shared">K27-B27</f>
        <v>-5.6426503174448507E-4</v>
      </c>
      <c r="L41" s="86">
        <f ref="L41" si="48" t="shared">L27-C27</f>
        <v>5.642650317442266E-4</v>
      </c>
      <c r="M41" s="86">
        <f ref="M41:P41" si="49" t="shared">M27-D27</f>
        <v>-4.877472299608443E-3</v>
      </c>
      <c r="N41" s="86">
        <f si="49" t="shared"/>
        <v>4.8774722996083042E-3</v>
      </c>
      <c r="O41" s="86">
        <f si="49" t="shared"/>
        <v>-1.3107415747997342E-2</v>
      </c>
      <c r="P41" s="86">
        <f si="49" t="shared"/>
        <v>1.3107415747997189E-2</v>
      </c>
      <c r="Q41" s="86">
        <f ref="Q41" si="50" t="shared">Q27-H27</f>
        <v>0</v>
      </c>
      <c r="S41" s="90" t="s">
        <v>19</v>
      </c>
      <c r="T41" s="91">
        <f ref="T41" si="51" t="shared">H27</f>
        <v>1</v>
      </c>
      <c r="U41" s="91">
        <f ref="U41" si="52" t="shared">Q27</f>
        <v>1</v>
      </c>
      <c r="V41" s="91">
        <f si="33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W41"/>
  <sheetViews>
    <sheetView topLeftCell="F1" workbookViewId="0">
      <selection activeCell="R12" sqref="R12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47</v>
      </c>
      <c r="B2" s="1"/>
      <c r="C2" s="3"/>
      <c r="D2" s="3"/>
      <c r="E2" s="3"/>
      <c r="F2" s="3"/>
      <c r="G2" s="3"/>
      <c r="H2" s="3"/>
      <c r="J2" s="1" t="s">
        <v>12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0.0</v>
      </c>
      <c r="C4" s="9" t="n">
        <v>25793.350479662364</v>
      </c>
      <c r="D4" s="9" t="n">
        <v>22539.230900399292</v>
      </c>
      <c r="E4" s="9" t="n">
        <v>3254.1195792630733</v>
      </c>
      <c r="F4" s="9" t="n">
        <v>25585.25509058679</v>
      </c>
      <c r="G4" s="9" t="n">
        <v>208.0953890755737</v>
      </c>
      <c r="H4" s="9">
        <f>SUM(B4:C4)-B4</f>
        <v>25793.350479662364</v>
      </c>
      <c r="I4" s="9"/>
      <c r="J4" s="9" t="s">
        <v>1</v>
      </c>
      <c r="K4" s="9" t="n">
        <v>0.0</v>
      </c>
      <c r="L4" s="9" t="n">
        <v>21406.0</v>
      </c>
      <c r="M4" s="9" t="n">
        <v>18795.0</v>
      </c>
      <c r="N4" s="9" t="n">
        <v>2611.0</v>
      </c>
      <c r="O4" s="9" t="n">
        <v>20599.0</v>
      </c>
      <c r="P4" s="9" t="n">
        <v>807.0</v>
      </c>
      <c r="Q4" s="9">
        <f>SUM(K4:L4)</f>
        <v>21339</v>
      </c>
    </row>
    <row r="5" spans="1:17" x14ac:dyDescent="0.45">
      <c r="A5" s="9" t="s">
        <v>2</v>
      </c>
      <c r="B5" s="9" t="n">
        <v>370.5676136471999</v>
      </c>
      <c r="C5" s="9" t="n">
        <v>41028.88830497962</v>
      </c>
      <c r="D5" s="9" t="n">
        <v>32749.19362187666</v>
      </c>
      <c r="E5" s="9" t="n">
        <v>8650.262296750161</v>
      </c>
      <c r="F5" s="9" t="n">
        <v>40000.992281433995</v>
      </c>
      <c r="G5" s="9" t="n">
        <v>1398.4636371928268</v>
      </c>
      <c r="H5" s="9">
        <f>SUM(B5:C5)+0.5*B4</f>
        <v>41399.455918626823</v>
      </c>
      <c r="I5" s="9"/>
      <c r="J5" s="9" t="s">
        <v>2</v>
      </c>
      <c r="K5" s="9" t="n">
        <v>516.0</v>
      </c>
      <c r="L5" s="9" t="n">
        <v>32690.0</v>
      </c>
      <c r="M5" s="9" t="n">
        <v>26216.0</v>
      </c>
      <c r="N5" s="9" t="n">
        <v>6990.0</v>
      </c>
      <c r="O5" s="9" t="n">
        <v>31249.0</v>
      </c>
      <c r="P5" s="9" t="n">
        <v>1957.0</v>
      </c>
      <c r="Q5" s="9">
        <f ref="Q5:Q12" si="0" t="shared">SUM(K5:L5)</f>
        <v>33434</v>
      </c>
    </row>
    <row r="6" spans="1:17" x14ac:dyDescent="0.45">
      <c r="A6" s="9" t="s">
        <v>3</v>
      </c>
      <c r="B6" s="9" t="n">
        <v>424.7971915086587</v>
      </c>
      <c r="C6" s="9" t="n">
        <v>86619.2175857206</v>
      </c>
      <c r="D6" s="9" t="n">
        <v>72156.04612092506</v>
      </c>
      <c r="E6" s="9" t="n">
        <v>14887.968656304205</v>
      </c>
      <c r="F6" s="9" t="n">
        <v>86245.67736743622</v>
      </c>
      <c r="G6" s="9" t="n">
        <v>798.3374097930409</v>
      </c>
      <c r="H6" s="9">
        <f>SUM(B6:C6)+0.5*B4</f>
        <v>87044.014777229255</v>
      </c>
      <c r="I6" s="9"/>
      <c r="J6" s="9" t="s">
        <v>3</v>
      </c>
      <c r="K6" s="9" t="n">
        <v>561.0</v>
      </c>
      <c r="L6" s="9" t="n">
        <v>70670.0</v>
      </c>
      <c r="M6" s="9" t="n">
        <v>59480.0</v>
      </c>
      <c r="N6" s="9" t="n">
        <v>11751.0</v>
      </c>
      <c r="O6" s="9" t="n">
        <v>68048.0</v>
      </c>
      <c r="P6" s="9" t="n">
        <v>3183.0</v>
      </c>
      <c r="Q6" s="9">
        <f si="0" t="shared"/>
        <v>71271</v>
      </c>
    </row>
    <row r="7" spans="1:17" x14ac:dyDescent="0.45">
      <c r="A7" s="9" t="s">
        <v>4</v>
      </c>
      <c r="B7" s="101" t="n">
        <v>74.8323670759137</v>
      </c>
      <c r="C7" s="101" t="n">
        <v>898.8256055926128</v>
      </c>
      <c r="D7" s="101" t="n">
        <v>973.6579726685266</v>
      </c>
      <c r="E7" s="101" t="n">
        <v>0.0</v>
      </c>
      <c r="F7" s="101" t="n">
        <v>973.6579726685266</v>
      </c>
      <c r="G7" s="101" t="n">
        <v>0.0</v>
      </c>
      <c r="H7" s="101">
        <f ref="H7:H12" si="1" t="shared">SUM(B7:C7)</f>
        <v>973.65797266852644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45">
      <c r="A8" s="9" t="s">
        <v>5</v>
      </c>
      <c r="B8" s="101" t="n">
        <v>2446.9365930230647</v>
      </c>
      <c r="C8" s="101" t="n">
        <v>1356.1388447569361</v>
      </c>
      <c r="D8" s="101" t="n">
        <v>3193.7604317797386</v>
      </c>
      <c r="E8" s="101" t="n">
        <v>609.3150060002627</v>
      </c>
      <c r="F8" s="101" t="n">
        <v>3615.1346797054675</v>
      </c>
      <c r="G8" s="101" t="n">
        <v>187.9407580745334</v>
      </c>
      <c r="H8" s="101">
        <f si="1" t="shared"/>
        <v>3803.0754377800008</v>
      </c>
      <c r="I8" s="9"/>
      <c r="J8" s="9" t="s">
        <v>5</v>
      </c>
      <c r="K8" s="9" t="n">
        <v>439.0</v>
      </c>
      <c r="L8" s="9" t="n">
        <v>482.0</v>
      </c>
      <c r="M8" s="9" t="n">
        <v>799.0</v>
      </c>
      <c r="N8" s="9" t="n">
        <v>122.0</v>
      </c>
      <c r="O8" s="9" t="n">
        <v>895.0</v>
      </c>
      <c r="P8" s="9" t="n">
        <v>26.0</v>
      </c>
      <c r="Q8" s="9">
        <f si="0" t="shared"/>
        <v>941</v>
      </c>
    </row>
    <row r="9" spans="1:17" x14ac:dyDescent="0.45">
      <c r="A9" s="9" t="s">
        <v>6</v>
      </c>
      <c r="B9" s="9" t="n">
        <v>43.8920290261024</v>
      </c>
      <c r="C9" s="9" t="n">
        <v>506.9646872768236</v>
      </c>
      <c r="D9" s="9" t="n">
        <v>219.4184080880009</v>
      </c>
      <c r="E9" s="9" t="n">
        <v>331.4383082149251</v>
      </c>
      <c r="F9" s="9" t="n">
        <v>295.443406540725</v>
      </c>
      <c r="G9" s="9" t="n">
        <v>255.41330976220098</v>
      </c>
      <c r="H9" s="9">
        <f si="1" t="shared"/>
        <v>550.85671630292597</v>
      </c>
      <c r="I9" s="9"/>
      <c r="J9" s="9" t="s">
        <v>6</v>
      </c>
      <c r="K9" s="9" t="n">
        <v>29.0</v>
      </c>
      <c r="L9" s="9" t="n">
        <v>350.0</v>
      </c>
      <c r="M9" s="9" t="n">
        <v>222.0</v>
      </c>
      <c r="N9" s="9" t="n">
        <v>157.0</v>
      </c>
      <c r="O9" s="9" t="n">
        <v>329.0</v>
      </c>
      <c r="P9" s="9" t="n">
        <v>50.0</v>
      </c>
      <c r="Q9" s="9">
        <f si="0" t="shared"/>
        <v>393</v>
      </c>
    </row>
    <row r="10" spans="1:17" x14ac:dyDescent="0.45">
      <c r="A10" s="9" t="s">
        <v>7</v>
      </c>
      <c r="B10" s="9" t="n">
        <v>177.0521853500618</v>
      </c>
      <c r="C10" s="9" t="n">
        <v>6168.070344142829</v>
      </c>
      <c r="D10" s="9" t="n">
        <v>3757.0349420094576</v>
      </c>
      <c r="E10" s="9" t="n">
        <v>2588.0875874834333</v>
      </c>
      <c r="F10" s="9" t="n">
        <v>6157.826431836509</v>
      </c>
      <c r="G10" s="9" t="n">
        <v>187.2960976563814</v>
      </c>
      <c r="H10" s="9">
        <f si="1" t="shared"/>
        <v>6345.12252949289</v>
      </c>
      <c r="I10" s="9"/>
      <c r="J10" s="9" t="s">
        <v>7</v>
      </c>
      <c r="K10" s="9" t="n">
        <v>266.0</v>
      </c>
      <c r="L10" s="9" t="n">
        <v>4965.0</v>
      </c>
      <c r="M10" s="9" t="n">
        <v>3027.0</v>
      </c>
      <c r="N10" s="9" t="n">
        <v>2204.0</v>
      </c>
      <c r="O10" s="9" t="n">
        <v>4620.0</v>
      </c>
      <c r="P10" s="9" t="n">
        <v>611.0</v>
      </c>
      <c r="Q10" s="9">
        <f si="0" t="shared"/>
        <v>5274</v>
      </c>
    </row>
    <row r="11" spans="1:17" x14ac:dyDescent="0.45">
      <c r="A11" s="9" t="s">
        <v>8</v>
      </c>
      <c r="B11" s="9" t="n">
        <v>2860.8030588867705</v>
      </c>
      <c r="C11" s="9" t="n">
        <v>101547.112922649</v>
      </c>
      <c r="D11" s="9" t="n">
        <v>78432.67879404328</v>
      </c>
      <c r="E11" s="9" t="n">
        <v>25975.237187492487</v>
      </c>
      <c r="F11" s="9" t="n">
        <v>97088.07257784343</v>
      </c>
      <c r="G11" s="9" t="n">
        <v>7319.843403692343</v>
      </c>
      <c r="H11" s="9">
        <f si="1" t="shared"/>
        <v>104407.91598153577</v>
      </c>
      <c r="I11" s="9"/>
      <c r="J11" s="9" t="s">
        <v>8</v>
      </c>
      <c r="K11" s="9" t="n">
        <v>3706.0</v>
      </c>
      <c r="L11" s="9" t="n">
        <v>85605.0</v>
      </c>
      <c r="M11" s="9" t="n">
        <v>66865.0</v>
      </c>
      <c r="N11" s="9" t="n">
        <v>22446.0</v>
      </c>
      <c r="O11" s="9" t="n">
        <v>83476.0</v>
      </c>
      <c r="P11" s="9" t="n">
        <v>5835.0</v>
      </c>
      <c r="Q11" s="9">
        <f si="0" t="shared"/>
        <v>89700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9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9">
        <f si="0" t="shared"/>
        <v>0</v>
      </c>
    </row>
    <row ht="14.65" r="13" spans="1:17" thickBot="1" x14ac:dyDescent="0.5">
      <c r="A13" s="83" t="s">
        <v>19</v>
      </c>
      <c r="B13" s="83">
        <f>SUM(B4:B12)</f>
        <v>6398.8810385177721</v>
      </c>
      <c r="C13" s="83">
        <f ref="C13:H13" si="2" t="shared">SUM(C4:C12)</f>
        <v>263918.56877478078</v>
      </c>
      <c r="D13" s="83">
        <f si="2" t="shared"/>
        <v>214021.02119179003</v>
      </c>
      <c r="E13" s="83">
        <f si="2" t="shared"/>
        <v>56296.428621508545</v>
      </c>
      <c r="F13" s="83">
        <f si="2" t="shared"/>
        <v>259962.05980805168</v>
      </c>
      <c r="G13" s="83">
        <f si="2" t="shared"/>
        <v>10355.3900052469</v>
      </c>
      <c r="H13" s="83">
        <f si="2" t="shared"/>
        <v>270317.44981329853</v>
      </c>
      <c r="I13" s="9"/>
      <c r="J13" s="83" t="s">
        <v>19</v>
      </c>
      <c r="K13" s="83">
        <f>SUM(K4:K12)</f>
        <v>6227</v>
      </c>
      <c r="L13" s="83">
        <f ref="L13" si="3" t="shared">SUM(L4:L12)</f>
        <v>216125</v>
      </c>
      <c r="M13" s="83">
        <f ref="M13" si="4" t="shared">SUM(M4:M12)</f>
        <v>174135</v>
      </c>
      <c r="N13" s="83">
        <f ref="N13" si="5" t="shared">SUM(N4:N12)</f>
        <v>48217</v>
      </c>
      <c r="O13" s="83">
        <f ref="O13" si="6" t="shared">SUM(O4:O12)</f>
        <v>209255</v>
      </c>
      <c r="P13" s="83">
        <f ref="P13" si="7" t="shared">SUM(P4:P12)</f>
        <v>13097</v>
      </c>
      <c r="Q13" s="83">
        <f ref="Q13" si="8" t="shared">SUM(Q4:Q12)</f>
        <v>222352</v>
      </c>
    </row>
    <row ht="14.65" r="16" spans="1:17" thickBot="1" x14ac:dyDescent="0.5">
      <c r="A16" s="1" t="s">
        <v>47</v>
      </c>
      <c r="B16" s="1"/>
      <c r="C16" s="3"/>
      <c r="D16" s="3"/>
      <c r="E16" s="3"/>
      <c r="F16" s="3"/>
      <c r="G16" s="3"/>
      <c r="H16" s="3"/>
      <c r="J16" s="1" t="s">
        <v>12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45">
      <c r="A18" s="9" t="s">
        <v>1</v>
      </c>
      <c r="B18" s="13">
        <f ref="B18:C27" si="9" t="shared">B4/$H$13</f>
        <v>0</v>
      </c>
      <c r="C18" s="13">
        <f si="9" t="shared"/>
        <v>9.5418740068305558E-2</v>
      </c>
      <c r="D18" s="13">
        <f ref="D18:G18" si="10" t="shared">D4/$H$13</f>
        <v>8.3380599054802315E-2</v>
      </c>
      <c r="E18" s="13">
        <f si="10" t="shared"/>
        <v>1.2038141013503242E-2</v>
      </c>
      <c r="F18" s="13">
        <f si="10" t="shared"/>
        <v>9.4648921511570505E-2</v>
      </c>
      <c r="G18" s="13">
        <f si="10" t="shared"/>
        <v>7.6981855673505337E-4</v>
      </c>
      <c r="H18" s="13">
        <f ref="H18:H27" si="11" t="shared">H4/$H$13</f>
        <v>9.5418740068305558E-2</v>
      </c>
      <c r="J18" s="9" t="s">
        <v>1</v>
      </c>
      <c r="K18" s="13">
        <f ref="K18:L27" si="12" t="shared">K4/$Q$13</f>
        <v>0</v>
      </c>
      <c r="L18" s="13">
        <f si="12" t="shared"/>
        <v>9.5969453838958052E-2</v>
      </c>
      <c r="M18" s="13">
        <f ref="M18:P18" si="13" t="shared">M4/$Q$13</f>
        <v>8.3831042671080089E-2</v>
      </c>
      <c r="N18" s="13">
        <f si="13" t="shared"/>
        <v>1.213841116787796E-2</v>
      </c>
      <c r="O18" s="13">
        <f si="13" t="shared"/>
        <v>9.2263618047060514E-2</v>
      </c>
      <c r="P18" s="13">
        <f si="13" t="shared"/>
        <v>3.7058357918975317E-3</v>
      </c>
      <c r="Q18" s="13">
        <f ref="Q18:Q27" si="14" t="shared">Q4/$Q$13</f>
        <v>9.5969453838958052E-2</v>
      </c>
    </row>
    <row r="19" spans="1:22" x14ac:dyDescent="0.45">
      <c r="A19" s="9" t="s">
        <v>2</v>
      </c>
      <c r="B19" s="13">
        <f si="9" t="shared"/>
        <v>1.3708608671143562E-3</v>
      </c>
      <c r="C19" s="13">
        <f si="9" t="shared"/>
        <v>0.15178039128926837</v>
      </c>
      <c r="D19" s="13">
        <f ref="D19:G19" si="15" t="shared">D5/$H$13</f>
        <v>0.12115086778339951</v>
      </c>
      <c r="E19" s="13">
        <f si="15" t="shared"/>
        <v>3.2000384372983248E-2</v>
      </c>
      <c r="F19" s="13">
        <f si="15" t="shared"/>
        <v>0.14797783979192491</v>
      </c>
      <c r="G19" s="13">
        <f si="15" t="shared"/>
        <v>5.1734123644578273E-3</v>
      </c>
      <c r="H19" s="13">
        <f si="11" t="shared"/>
        <v>0.15315125215638276</v>
      </c>
      <c r="J19" s="9" t="s">
        <v>2</v>
      </c>
      <c r="K19" s="13">
        <f si="12" t="shared"/>
        <v>2.6669425055767431E-3</v>
      </c>
      <c r="L19" s="13">
        <f si="12" t="shared"/>
        <v>0.14769824422537239</v>
      </c>
      <c r="M19" s="13">
        <f ref="M19:P19" si="16" t="shared">M5/$Q$13</f>
        <v>0.11742192559545225</v>
      </c>
      <c r="N19" s="13">
        <f si="16" t="shared"/>
        <v>3.2943261135496872E-2</v>
      </c>
      <c r="O19" s="13">
        <f si="16" t="shared"/>
        <v>0.14106012088940059</v>
      </c>
      <c r="P19" s="13">
        <f si="16" t="shared"/>
        <v>9.3050658415485352E-3</v>
      </c>
      <c r="Q19" s="13">
        <f si="14" t="shared"/>
        <v>0.15036518673094912</v>
      </c>
    </row>
    <row r="20" spans="1:22" x14ac:dyDescent="0.45">
      <c r="A20" s="9" t="s">
        <v>3</v>
      </c>
      <c r="B20" s="13">
        <f si="9" t="shared"/>
        <v>1.5714752850844644E-3</v>
      </c>
      <c r="C20" s="13">
        <f si="9" t="shared"/>
        <v>0.3204351685233281</v>
      </c>
      <c r="D20" s="13">
        <f ref="D20:G20" si="17" t="shared">D6/$H$13</f>
        <v>0.26693077406124327</v>
      </c>
      <c r="E20" s="13">
        <f si="17" t="shared"/>
        <v>5.5075869747169305E-2</v>
      </c>
      <c r="F20" s="13">
        <f si="17" t="shared"/>
        <v>0.31905331093869055</v>
      </c>
      <c r="G20" s="13">
        <f si="17" t="shared"/>
        <v>2.9533328697219975E-3</v>
      </c>
      <c r="H20" s="13">
        <f si="11" t="shared"/>
        <v>0.32200664380841254</v>
      </c>
      <c r="J20" s="9" t="s">
        <v>3</v>
      </c>
      <c r="K20" s="13">
        <f si="12" t="shared"/>
        <v>2.8918111822695547E-3</v>
      </c>
      <c r="L20" s="13">
        <f si="12" t="shared"/>
        <v>0.31764049794919769</v>
      </c>
      <c r="M20" s="13">
        <f ref="M20:P20" si="18" t="shared">M6/$Q$13</f>
        <v>0.26524159890623877</v>
      </c>
      <c r="N20" s="13">
        <f si="18" t="shared"/>
        <v>5.5290710225228468E-2</v>
      </c>
      <c r="O20" s="13">
        <f si="18" t="shared"/>
        <v>0.30542563143124413</v>
      </c>
      <c r="P20" s="13">
        <f si="18" t="shared"/>
        <v>1.5106677700223069E-2</v>
      </c>
      <c r="Q20" s="13">
        <f si="14" t="shared"/>
        <v>0.32053230913146724</v>
      </c>
    </row>
    <row r="21" spans="1:22" x14ac:dyDescent="0.45">
      <c r="A21" s="9" t="s">
        <v>4</v>
      </c>
      <c r="B21" s="13">
        <f si="9" t="shared"/>
        <v>2.7683143329296179E-4</v>
      </c>
      <c r="C21" s="13">
        <f si="9" t="shared"/>
        <v>3.3250743013941903E-3</v>
      </c>
      <c r="D21" s="13">
        <f ref="D21:G21" si="19" t="shared">D7/$H$13</f>
        <v>3.6019057346871526E-3</v>
      </c>
      <c r="E21" s="13">
        <f si="19" t="shared"/>
        <v>0</v>
      </c>
      <c r="F21" s="13">
        <f si="19" t="shared"/>
        <v>3.6019057346871526E-3</v>
      </c>
      <c r="G21" s="13">
        <f si="19" t="shared"/>
        <v>0</v>
      </c>
      <c r="H21" s="13">
        <f si="11" t="shared"/>
        <v>3.6019057346871521E-3</v>
      </c>
      <c r="J21" s="9" t="s">
        <v>4</v>
      </c>
      <c r="K21" s="13">
        <f si="12" t="shared"/>
        <v>0</v>
      </c>
      <c r="L21" s="13">
        <f si="12" t="shared"/>
        <v>0</v>
      </c>
      <c r="M21" s="13">
        <f ref="M21:P21" si="20" t="shared">M7/$Q$13</f>
        <v>0</v>
      </c>
      <c r="N21" s="13">
        <f si="20" t="shared"/>
        <v>0</v>
      </c>
      <c r="O21" s="13">
        <f si="20" t="shared"/>
        <v>0</v>
      </c>
      <c r="P21" s="13">
        <f si="20" t="shared"/>
        <v>0</v>
      </c>
      <c r="Q21" s="13">
        <f si="14" t="shared"/>
        <v>0</v>
      </c>
    </row>
    <row r="22" spans="1:22" x14ac:dyDescent="0.45">
      <c r="A22" s="9" t="s">
        <v>5</v>
      </c>
      <c r="B22" s="13">
        <f si="9" t="shared"/>
        <v>9.0520852231814938E-3</v>
      </c>
      <c r="C22" s="13">
        <f si="9" t="shared"/>
        <v>5.0168379647469565E-3</v>
      </c>
      <c r="D22" s="13">
        <f ref="D22:G22" si="21" t="shared">D8/$H$13</f>
        <v>1.1814851146256331E-2</v>
      </c>
      <c r="E22" s="13">
        <f si="21" t="shared"/>
        <v>2.2540720416721199E-3</v>
      </c>
      <c r="F22" s="13">
        <f si="21" t="shared"/>
        <v>1.3373663750536084E-2</v>
      </c>
      <c r="G22" s="13">
        <f si="21" t="shared"/>
        <v>6.9525943739236716E-4</v>
      </c>
      <c r="H22" s="13">
        <f si="11" t="shared"/>
        <v>1.4068923187928449E-2</v>
      </c>
      <c r="J22" s="9" t="s">
        <v>5</v>
      </c>
      <c r="K22" s="13">
        <f si="12" t="shared"/>
        <v>2.1002734403108582E-3</v>
      </c>
      <c r="L22" s="13">
        <f si="12" t="shared"/>
        <v>2.1317550550478521E-3</v>
      </c>
      <c r="M22" s="13">
        <f ref="M22:P22" si="22" t="shared">M8/$Q$13</f>
        <v>3.6383751888896883E-3</v>
      </c>
      <c r="N22" s="13">
        <f si="22" t="shared"/>
        <v>5.9365330646902212E-4</v>
      </c>
      <c r="O22" s="13">
        <f si="22" t="shared"/>
        <v>4.1061020364107359E-3</v>
      </c>
      <c r="P22" s="13">
        <f si="22" t="shared"/>
        <v>1.2592645894797438E-4</v>
      </c>
      <c r="Q22" s="13">
        <f si="14" t="shared"/>
        <v>4.2320284953587103E-3</v>
      </c>
    </row>
    <row r="23" spans="1:22" x14ac:dyDescent="0.45">
      <c r="A23" s="9" t="s">
        <v>6</v>
      </c>
      <c r="B23" s="13">
        <f si="9" t="shared"/>
        <v>1.6237216301210862E-4</v>
      </c>
      <c r="C23" s="13">
        <f si="9" t="shared"/>
        <v>1.8754419576944492E-3</v>
      </c>
      <c r="D23" s="13">
        <f ref="D23:G23" si="23" t="shared">D9/$H$13</f>
        <v>8.1170641495599961E-4</v>
      </c>
      <c r="E23" s="13">
        <f si="23" t="shared"/>
        <v>1.226107705750558E-3</v>
      </c>
      <c r="F23" s="13">
        <f si="23" t="shared"/>
        <v>1.0929498141713763E-3</v>
      </c>
      <c r="G23" s="13">
        <f si="23" t="shared"/>
        <v>9.4486430653518126E-4</v>
      </c>
      <c r="H23" s="13">
        <f si="11" t="shared"/>
        <v>2.0378141207065578E-3</v>
      </c>
      <c r="J23" s="9" t="s">
        <v>6</v>
      </c>
      <c r="K23" s="13">
        <f si="12" t="shared"/>
        <v>1.9338706195581781E-4</v>
      </c>
      <c r="L23" s="13">
        <f si="12" t="shared"/>
        <v>1.5740807368496799E-3</v>
      </c>
      <c r="M23" s="13">
        <f ref="M23:P23" si="24" t="shared">M9/$Q$13</f>
        <v>9.9841692451608263E-4</v>
      </c>
      <c r="N23" s="13">
        <f si="24" t="shared"/>
        <v>7.6905087428941503E-4</v>
      </c>
      <c r="O23" s="13">
        <f si="24" t="shared"/>
        <v>1.5650859897819672E-3</v>
      </c>
      <c r="P23" s="13">
        <f si="24" t="shared"/>
        <v>2.0238180902353026E-4</v>
      </c>
      <c r="Q23" s="13">
        <f si="14" t="shared"/>
        <v>1.7674677988054977E-3</v>
      </c>
    </row>
    <row r="24" spans="1:22" x14ac:dyDescent="0.45">
      <c r="A24" s="9" t="s">
        <v>7</v>
      </c>
      <c r="B24" s="13">
        <f si="9" t="shared"/>
        <v>6.5497874988221173E-4</v>
      </c>
      <c r="C24" s="13">
        <f si="9" t="shared"/>
        <v>2.2817877086377367E-2</v>
      </c>
      <c r="D24" s="13">
        <f ref="D24:G24" si="25" t="shared">D10/$H$13</f>
        <v>1.3898603085388483E-2</v>
      </c>
      <c r="E24" s="13">
        <f si="25" t="shared"/>
        <v>9.574252750871098E-3</v>
      </c>
      <c r="F24" s="13">
        <f si="25" t="shared"/>
        <v>2.2779981226108654E-2</v>
      </c>
      <c r="G24" s="13">
        <f si="25" t="shared"/>
        <v>6.928746101509248E-4</v>
      </c>
      <c r="H24" s="13">
        <f si="11" t="shared"/>
        <v>2.3472855836259576E-2</v>
      </c>
      <c r="J24" s="9" t="s">
        <v>7</v>
      </c>
      <c r="K24" s="13">
        <f si="12" t="shared"/>
        <v>1.421170036698568E-3</v>
      </c>
      <c r="L24" s="13">
        <f si="12" t="shared"/>
        <v>2.2297977980859179E-2</v>
      </c>
      <c r="M24" s="13">
        <f ref="M24:P24" si="26" t="shared">M10/$Q$13</f>
        <v>1.3564078578110383E-2</v>
      </c>
      <c r="N24" s="13">
        <f si="26" t="shared"/>
        <v>1.0155069439447363E-2</v>
      </c>
      <c r="O24" s="13">
        <f si="26" t="shared"/>
        <v>2.0840828955889762E-2</v>
      </c>
      <c r="P24" s="13">
        <f si="26" t="shared"/>
        <v>2.8783190616679861E-3</v>
      </c>
      <c r="Q24" s="13">
        <f si="14" t="shared"/>
        <v>2.3719148017557746E-2</v>
      </c>
    </row>
    <row r="25" spans="1:22" x14ac:dyDescent="0.45">
      <c r="A25" s="9" t="s">
        <v>8</v>
      </c>
      <c r="B25" s="13">
        <f si="9" t="shared"/>
        <v>1.0583123882171332E-2</v>
      </c>
      <c r="C25" s="13">
        <f si="9" t="shared"/>
        <v>0.3756587412051462</v>
      </c>
      <c r="D25" s="13">
        <f ref="D25:G26" si="27" t="shared">D11/$H$13</f>
        <v>0.29015026165796831</v>
      </c>
      <c r="E25" s="13">
        <f si="27" t="shared"/>
        <v>9.6091603429349193E-2</v>
      </c>
      <c r="F25" s="13">
        <f si="27" t="shared"/>
        <v>0.3591631714671018</v>
      </c>
      <c r="G25" s="13">
        <f si="27" t="shared"/>
        <v>2.7078693620215692E-2</v>
      </c>
      <c r="H25" s="13">
        <f si="11" t="shared"/>
        <v>0.3862418650873175</v>
      </c>
      <c r="J25" s="9" t="s">
        <v>8</v>
      </c>
      <c r="K25" s="13">
        <f si="12" t="shared"/>
        <v>1.873156076851119E-2</v>
      </c>
      <c r="L25" s="13">
        <f si="12" t="shared"/>
        <v>0.38468284521839247</v>
      </c>
      <c r="M25" s="13">
        <f ref="M25:P26" si="28" t="shared">M11/$Q$13</f>
        <v>0.29845470245376698</v>
      </c>
      <c r="N25" s="13">
        <f si="28" t="shared"/>
        <v>0.10495970353313665</v>
      </c>
      <c r="O25" s="13">
        <f si="28" t="shared"/>
        <v>0.37583651147729724</v>
      </c>
      <c r="P25" s="13">
        <f si="28" t="shared"/>
        <v>2.757789450960639E-2</v>
      </c>
      <c r="Q25" s="13">
        <f si="14" t="shared"/>
        <v>0.40341440598690365</v>
      </c>
    </row>
    <row r="26" spans="1:22" x14ac:dyDescent="0.4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4.65" r="27" spans="1:22" thickBot="1" x14ac:dyDescent="0.5">
      <c r="A27" s="83" t="s">
        <v>19</v>
      </c>
      <c r="B27" s="86">
        <f si="9" t="shared"/>
        <v>2.367172760373893E-2</v>
      </c>
      <c r="C27" s="86">
        <f si="9" t="shared"/>
        <v>0.97632827239626119</v>
      </c>
      <c r="D27" s="86">
        <f ref="D27:G27" si="29" t="shared">D13/$H$13</f>
        <v>0.79173956893870145</v>
      </c>
      <c r="E27" s="86">
        <f si="29" t="shared"/>
        <v>0.20826043106129877</v>
      </c>
      <c r="F27" s="86">
        <f si="29" t="shared"/>
        <v>0.96169174423479109</v>
      </c>
      <c r="G27" s="86">
        <f si="29" t="shared"/>
        <v>3.8308255765209041E-2</v>
      </c>
      <c r="H27" s="86">
        <f si="11" t="shared"/>
        <v>1</v>
      </c>
      <c r="J27" s="83" t="s">
        <v>19</v>
      </c>
      <c r="K27" s="86">
        <f si="12" t="shared"/>
        <v>2.8005144995322733E-2</v>
      </c>
      <c r="L27" s="86">
        <f si="12" t="shared"/>
        <v>0.97199485500467731</v>
      </c>
      <c r="M27" s="86">
        <f ref="M27:P27" si="30" t="shared">M13/$Q$13</f>
        <v>0.7831501403180543</v>
      </c>
      <c r="N27" s="86">
        <f si="30" t="shared"/>
        <v>0.21684985968194576</v>
      </c>
      <c r="O27" s="86">
        <f si="30" t="shared"/>
        <v>0.94109789882708494</v>
      </c>
      <c r="P27" s="86">
        <f si="30" t="shared"/>
        <v>5.8902101172915021E-2</v>
      </c>
      <c r="Q27" s="86">
        <f si="14" t="shared"/>
        <v>1</v>
      </c>
    </row>
    <row ht="14.65" r="30" spans="1:22" thickBot="1" x14ac:dyDescent="0.5">
      <c r="J30" s="1" t="s">
        <v>27</v>
      </c>
      <c r="K30" s="1"/>
      <c r="L30" s="3"/>
      <c r="M30" s="3"/>
      <c r="N30" s="3"/>
      <c r="O30" s="3"/>
      <c r="P30" s="3"/>
      <c r="Q30" s="3"/>
      <c r="S30" s="15" t="s">
        <v>36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31" t="shared">K18-B18</f>
        <v>0</v>
      </c>
      <c r="L32" s="13">
        <f ref="L32:L40" si="32" t="shared">L18-C18</f>
        <v>5.5071377065249449E-4</v>
      </c>
      <c r="M32" s="13">
        <f ref="M32:M40" si="33" t="shared">M18-D18</f>
        <v>4.5044361627777363E-4</v>
      </c>
      <c r="N32" s="13">
        <f ref="N32:N40" si="34" t="shared">N18-E18</f>
        <v>1.002701543747174E-4</v>
      </c>
      <c r="O32" s="13">
        <f ref="O32:O40" si="35" t="shared">O18-F18</f>
        <v>-2.3853034645099913E-3</v>
      </c>
      <c r="P32" s="13">
        <f ref="P32:P40" si="36" t="shared">P18-G18</f>
        <v>2.9360172351624784E-3</v>
      </c>
      <c r="Q32" s="13">
        <f ref="Q32:Q40" si="37" t="shared">Q18-H18</f>
        <v>5.5071377065249449E-4</v>
      </c>
      <c r="S32" s="82" t="s">
        <v>1</v>
      </c>
      <c r="T32" s="87">
        <f ref="T32:T40" si="38" t="shared">H18</f>
        <v>9.5418740068305558E-2</v>
      </c>
      <c r="U32" s="87">
        <f ref="U32:U40" si="39" t="shared">Q18</f>
        <v>9.5969453838958052E-2</v>
      </c>
      <c r="V32" s="87">
        <f>U32-T32</f>
        <v>5.5071377065249449E-4</v>
      </c>
    </row>
    <row r="33" spans="10:22" x14ac:dyDescent="0.45">
      <c r="J33" s="9" t="s">
        <v>2</v>
      </c>
      <c r="K33" s="13">
        <f si="31" t="shared"/>
        <v>1.2960816384623868E-3</v>
      </c>
      <c r="L33" s="13">
        <f si="32" t="shared"/>
        <v>-4.08214706389598E-3</v>
      </c>
      <c r="M33" s="13">
        <f si="33" t="shared"/>
        <v>-3.728942187947254E-3</v>
      </c>
      <c r="N33" s="13">
        <f si="34" t="shared"/>
        <v>9.428767625136239E-4</v>
      </c>
      <c r="O33" s="13">
        <f si="35" t="shared"/>
        <v>-6.9177189025243224E-3</v>
      </c>
      <c r="P33" s="13">
        <f si="36" t="shared"/>
        <v>4.131653477090708E-3</v>
      </c>
      <c r="Q33" s="13">
        <f si="37" t="shared"/>
        <v>-2.786065425433637E-3</v>
      </c>
      <c r="S33" s="84" t="s">
        <v>2</v>
      </c>
      <c r="T33" s="85">
        <f si="38" t="shared"/>
        <v>0.15315125215638276</v>
      </c>
      <c r="U33" s="85">
        <f si="39" t="shared"/>
        <v>0.15036518673094912</v>
      </c>
      <c r="V33" s="85">
        <f ref="V33:V41" si="40" t="shared">U33-T33</f>
        <v>-2.786065425433637E-3</v>
      </c>
    </row>
    <row r="34" spans="10:22" x14ac:dyDescent="0.45">
      <c r="J34" s="9" t="s">
        <v>3</v>
      </c>
      <c r="K34" s="13">
        <f si="31" t="shared"/>
        <v>1.3203358971850903E-3</v>
      </c>
      <c r="L34" s="13">
        <f si="32" t="shared"/>
        <v>-2.794670574130409E-3</v>
      </c>
      <c r="M34" s="13">
        <f si="33" t="shared"/>
        <v>-1.6891751550044964E-3</v>
      </c>
      <c r="N34" s="13">
        <f si="34" t="shared"/>
        <v>2.1484047805916257E-4</v>
      </c>
      <c r="O34" s="13">
        <f si="35" t="shared"/>
        <v>-1.3627679507446422E-2</v>
      </c>
      <c r="P34" s="13">
        <f si="36" t="shared"/>
        <v>1.2153344830501072E-2</v>
      </c>
      <c r="Q34" s="13">
        <f si="37" t="shared"/>
        <v>-1.4743346769452992E-3</v>
      </c>
      <c r="S34" s="17" t="s">
        <v>3</v>
      </c>
      <c r="T34" s="88">
        <f si="38" t="shared"/>
        <v>0.32200664380841254</v>
      </c>
      <c r="U34" s="88">
        <f si="39" t="shared"/>
        <v>0.32053230913146724</v>
      </c>
      <c r="V34" s="88">
        <f si="40" t="shared"/>
        <v>-1.4743346769452992E-3</v>
      </c>
    </row>
    <row r="35" spans="10:22" x14ac:dyDescent="0.45">
      <c r="J35" s="9" t="s">
        <v>4</v>
      </c>
      <c r="K35" s="13">
        <f si="31" t="shared"/>
        <v>-2.7683143329296179E-4</v>
      </c>
      <c r="L35" s="13">
        <f si="32" t="shared"/>
        <v>-3.3250743013941903E-3</v>
      </c>
      <c r="M35" s="13">
        <f si="33" t="shared"/>
        <v>-3.6019057346871526E-3</v>
      </c>
      <c r="N35" s="13">
        <f si="34" t="shared"/>
        <v>0</v>
      </c>
      <c r="O35" s="13">
        <f si="35" t="shared"/>
        <v>-3.6019057346871526E-3</v>
      </c>
      <c r="P35" s="13">
        <f si="36" t="shared"/>
        <v>0</v>
      </c>
      <c r="Q35" s="13">
        <f si="37" t="shared"/>
        <v>-3.6019057346871521E-3</v>
      </c>
      <c r="S35" s="84" t="s">
        <v>4</v>
      </c>
      <c r="T35" s="85">
        <f si="38" t="shared"/>
        <v>3.6019057346871521E-3</v>
      </c>
      <c r="U35" s="85">
        <f si="39" t="shared"/>
        <v>0</v>
      </c>
      <c r="V35" s="85">
        <f si="40" t="shared"/>
        <v>-3.6019057346871521E-3</v>
      </c>
    </row>
    <row r="36" spans="10:22" x14ac:dyDescent="0.45">
      <c r="J36" s="9" t="s">
        <v>5</v>
      </c>
      <c r="K36" s="13">
        <f si="31" t="shared"/>
        <v>-6.9518117828706351E-3</v>
      </c>
      <c r="L36" s="13">
        <f si="32" t="shared"/>
        <v>-2.8850829096991044E-3</v>
      </c>
      <c r="M36" s="13">
        <f si="33" t="shared"/>
        <v>-8.1764759573666433E-3</v>
      </c>
      <c r="N36" s="13">
        <f si="34" t="shared"/>
        <v>-1.6604187352030979E-3</v>
      </c>
      <c r="O36" s="13">
        <f si="35" t="shared"/>
        <v>-9.2675617141253479E-3</v>
      </c>
      <c r="P36" s="13">
        <f si="36" t="shared"/>
        <v>-5.6933297844439276E-4</v>
      </c>
      <c r="Q36" s="13">
        <f si="37" t="shared"/>
        <v>-9.8368946925697399E-3</v>
      </c>
      <c r="S36" s="17" t="s">
        <v>5</v>
      </c>
      <c r="T36" s="88">
        <f si="38" t="shared"/>
        <v>1.4068923187928449E-2</v>
      </c>
      <c r="U36" s="88">
        <f si="39" t="shared"/>
        <v>4.2320284953587103E-3</v>
      </c>
      <c r="V36" s="88">
        <f si="40" t="shared"/>
        <v>-9.8368946925697399E-3</v>
      </c>
    </row>
    <row r="37" spans="10:22" x14ac:dyDescent="0.45">
      <c r="J37" s="9" t="s">
        <v>6</v>
      </c>
      <c r="K37" s="13">
        <f si="31" t="shared"/>
        <v>3.1014898943709183E-5</v>
      </c>
      <c r="L37" s="13">
        <f si="32" t="shared"/>
        <v>-3.0136122084476933E-4</v>
      </c>
      <c r="M37" s="13">
        <f si="33" t="shared"/>
        <v>1.8671050956008302E-4</v>
      </c>
      <c r="N37" s="13">
        <f si="34" t="shared"/>
        <v>-4.5705683146114295E-4</v>
      </c>
      <c r="O37" s="13">
        <f si="35" t="shared"/>
        <v>4.7213617561059091E-4</v>
      </c>
      <c r="P37" s="13">
        <f si="36" t="shared"/>
        <v>-7.4248249751165105E-4</v>
      </c>
      <c r="Q37" s="13">
        <f si="37" t="shared"/>
        <v>-2.7034632190106015E-4</v>
      </c>
      <c r="S37" s="84" t="s">
        <v>6</v>
      </c>
      <c r="T37" s="85">
        <f si="38" t="shared"/>
        <v>2.0378141207065578E-3</v>
      </c>
      <c r="U37" s="85">
        <f si="39" t="shared"/>
        <v>1.7674677988054977E-3</v>
      </c>
      <c r="V37" s="85">
        <f si="40" t="shared"/>
        <v>-2.7034632190106015E-4</v>
      </c>
    </row>
    <row r="38" spans="10:22" x14ac:dyDescent="0.45">
      <c r="J38" s="9" t="s">
        <v>7</v>
      </c>
      <c r="K38" s="13">
        <f si="31" t="shared"/>
        <v>7.6619128681635631E-4</v>
      </c>
      <c r="L38" s="13">
        <f si="32" t="shared"/>
        <v>-5.1989910551818869E-4</v>
      </c>
      <c r="M38" s="13">
        <f si="33" t="shared"/>
        <v>-3.3452450727810071E-4</v>
      </c>
      <c r="N38" s="13">
        <f si="34" t="shared"/>
        <v>5.8081668857626507E-4</v>
      </c>
      <c r="O38" s="13">
        <f si="35" t="shared"/>
        <v>-1.9391522702188919E-3</v>
      </c>
      <c r="P38" s="13">
        <f si="36" t="shared"/>
        <v>2.1854444515170615E-3</v>
      </c>
      <c r="Q38" s="13">
        <f si="37" t="shared"/>
        <v>2.4629218129816957E-4</v>
      </c>
      <c r="S38" s="17" t="s">
        <v>7</v>
      </c>
      <c r="T38" s="88">
        <f si="38" t="shared"/>
        <v>2.3472855836259576E-2</v>
      </c>
      <c r="U38" s="88">
        <f si="39" t="shared"/>
        <v>2.3719148017557746E-2</v>
      </c>
      <c r="V38" s="88">
        <f si="40" t="shared"/>
        <v>2.4629218129816957E-4</v>
      </c>
    </row>
    <row r="39" spans="10:22" x14ac:dyDescent="0.45">
      <c r="J39" s="9" t="s">
        <v>8</v>
      </c>
      <c r="K39" s="13">
        <f si="31" t="shared"/>
        <v>8.1484368863398576E-3</v>
      </c>
      <c r="L39" s="13">
        <f si="32" t="shared"/>
        <v>9.0241040132462702E-3</v>
      </c>
      <c r="M39" s="13">
        <f si="33" t="shared"/>
        <v>8.3044407957986732E-3</v>
      </c>
      <c r="N39" s="13">
        <f si="34" t="shared"/>
        <v>8.8681001037874546E-3</v>
      </c>
      <c r="O39" s="13">
        <f si="35" t="shared"/>
        <v>1.6673340010195437E-2</v>
      </c>
      <c r="P39" s="13">
        <f si="36" t="shared"/>
        <v>4.9920088939069823E-4</v>
      </c>
      <c r="Q39" s="13">
        <f si="37" t="shared"/>
        <v>1.7172540899586142E-2</v>
      </c>
      <c r="S39" s="84" t="s">
        <v>8</v>
      </c>
      <c r="T39" s="85">
        <f si="38" t="shared"/>
        <v>0.3862418650873175</v>
      </c>
      <c r="U39" s="85">
        <f si="39" t="shared"/>
        <v>0.40341440598690365</v>
      </c>
      <c r="V39" s="85">
        <f si="40" t="shared"/>
        <v>1.7172540899586142E-2</v>
      </c>
    </row>
    <row r="40" spans="10:22" x14ac:dyDescent="0.4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89">
        <f si="38" t="shared"/>
        <v>0</v>
      </c>
      <c r="U40" s="89">
        <f si="39" t="shared"/>
        <v>0</v>
      </c>
      <c r="V40" s="89">
        <f ref="V40" si="41" t="shared">U40-T40</f>
        <v>0</v>
      </c>
    </row>
    <row ht="14.65" r="41" spans="10:22" thickBot="1" x14ac:dyDescent="0.5">
      <c r="J41" s="83" t="s">
        <v>19</v>
      </c>
      <c r="K41" s="86">
        <f ref="K41" si="42" t="shared">K27-B27</f>
        <v>4.3334173915838027E-3</v>
      </c>
      <c r="L41" s="86">
        <f ref="L41" si="43" t="shared">L27-C27</f>
        <v>-4.3334173915838825E-3</v>
      </c>
      <c r="M41" s="86">
        <f ref="M41" si="44" t="shared">M27-D27</f>
        <v>-8.5894286206471548E-3</v>
      </c>
      <c r="N41" s="86">
        <f ref="N41" si="45" t="shared">N27-E27</f>
        <v>8.5894286206469883E-3</v>
      </c>
      <c r="O41" s="86">
        <f ref="O41" si="46" t="shared">O27-F27</f>
        <v>-2.0593845407706146E-2</v>
      </c>
      <c r="P41" s="86">
        <f ref="P41" si="47" t="shared">P27-G27</f>
        <v>2.059384540770598E-2</v>
      </c>
      <c r="Q41" s="86">
        <f ref="Q41" si="48" t="shared">Q27-H27</f>
        <v>0</v>
      </c>
      <c r="S41" s="90" t="s">
        <v>19</v>
      </c>
      <c r="T41" s="91">
        <f ref="T41" si="49" t="shared">H27</f>
        <v>1</v>
      </c>
      <c r="U41" s="91">
        <f ref="U41" si="50" t="shared">Q27</f>
        <v>1</v>
      </c>
      <c r="V41" s="91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W41"/>
  <sheetViews>
    <sheetView workbookViewId="0">
      <selection activeCell="B7" sqref="B7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48</v>
      </c>
      <c r="B2" s="1"/>
      <c r="C2" s="3"/>
      <c r="D2" s="3"/>
      <c r="E2" s="3"/>
      <c r="F2" s="3"/>
      <c r="G2" s="3"/>
      <c r="H2" s="3"/>
      <c r="J2" s="1" t="s">
        <v>13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0.0</v>
      </c>
      <c r="C4" s="9" t="n">
        <v>4767.842802931145</v>
      </c>
      <c r="D4" s="9" t="n">
        <v>4503.982392346651</v>
      </c>
      <c r="E4" s="9" t="n">
        <v>263.8604105844941</v>
      </c>
      <c r="F4" s="9" t="n">
        <v>4767.842802931145</v>
      </c>
      <c r="G4" s="9" t="n">
        <v>0.0</v>
      </c>
      <c r="H4" s="9">
        <f>SUM(B4:C4)-B4</f>
        <v>4767.8428029311453</v>
      </c>
      <c r="J4" s="9" t="s">
        <v>1</v>
      </c>
      <c r="K4" s="9" t="n">
        <v>0.0</v>
      </c>
      <c r="L4" s="9" t="n">
        <v>4107.0</v>
      </c>
      <c r="M4" s="9" t="n">
        <v>3900.0</v>
      </c>
      <c r="N4" s="9" t="n">
        <v>207.0</v>
      </c>
      <c r="O4" s="9" t="n">
        <v>4095.0</v>
      </c>
      <c r="P4" s="9" t="n">
        <v>12.0</v>
      </c>
      <c r="Q4" s="9">
        <f>SUM(K4:L4)</f>
        <v>3697</v>
      </c>
    </row>
    <row r="5" spans="1:17" x14ac:dyDescent="0.45">
      <c r="A5" s="9" t="s">
        <v>2</v>
      </c>
      <c r="B5" s="9" t="n">
        <v>15.4179043713277</v>
      </c>
      <c r="C5" s="9" t="n">
        <v>103676.85482880814</v>
      </c>
      <c r="D5" s="9" t="n">
        <v>83813.03882894915</v>
      </c>
      <c r="E5" s="9" t="n">
        <v>19879.233904230307</v>
      </c>
      <c r="F5" s="9" t="n">
        <v>98256.12668671305</v>
      </c>
      <c r="G5" s="9" t="n">
        <v>5436.146046466404</v>
      </c>
      <c r="H5" s="9">
        <f>SUM(B5:C5)+0.5*B4</f>
        <v>103692.27273317946</v>
      </c>
      <c r="J5" s="9" t="s">
        <v>2</v>
      </c>
      <c r="K5" s="9" t="n">
        <v>616.0</v>
      </c>
      <c r="L5" s="9" t="n">
        <v>85723.0</v>
      </c>
      <c r="M5" s="9" t="n">
        <v>64608.0</v>
      </c>
      <c r="N5" s="9" t="n">
        <v>21731.0</v>
      </c>
      <c r="O5" s="9" t="n">
        <v>80967.0</v>
      </c>
      <c r="P5" s="9" t="n">
        <v>5372.0</v>
      </c>
      <c r="Q5" s="9">
        <f ref="Q5:Q12" si="0" t="shared">SUM(K5:L5)</f>
        <v>86789</v>
      </c>
    </row>
    <row r="6" spans="1:17" x14ac:dyDescent="0.45">
      <c r="A6" s="9" t="s">
        <v>3</v>
      </c>
      <c r="B6" s="9" t="n">
        <v>1174.1784958036037</v>
      </c>
      <c r="C6" s="9" t="n">
        <v>96598.88238618715</v>
      </c>
      <c r="D6" s="9" t="n">
        <v>81509.60010529005</v>
      </c>
      <c r="E6" s="9" t="n">
        <v>16263.460776700704</v>
      </c>
      <c r="F6" s="9" t="n">
        <v>95635.98972885202</v>
      </c>
      <c r="G6" s="9" t="n">
        <v>2137.0711531387465</v>
      </c>
      <c r="H6" s="9">
        <f>SUM(B6:C6)+0.5*B4</f>
        <v>97773.06088199075</v>
      </c>
      <c r="J6" s="9" t="s">
        <v>3</v>
      </c>
      <c r="K6" s="9" t="n">
        <v>5042.0</v>
      </c>
      <c r="L6" s="9" t="n">
        <v>78605.0</v>
      </c>
      <c r="M6" s="9" t="n">
        <v>66720.0</v>
      </c>
      <c r="N6" s="9" t="n">
        <v>16927.0</v>
      </c>
      <c r="O6" s="9" t="n">
        <v>79504.0</v>
      </c>
      <c r="P6" s="9" t="n">
        <v>4143.0</v>
      </c>
      <c r="Q6" s="9">
        <f si="0" t="shared"/>
        <v>84187</v>
      </c>
    </row>
    <row r="7" spans="1:17" x14ac:dyDescent="0.45">
      <c r="A7" s="9" t="s">
        <v>4</v>
      </c>
      <c r="B7" s="101" t="n">
        <v>0.0</v>
      </c>
      <c r="C7" s="101" t="n">
        <v>635.109639501205</v>
      </c>
      <c r="D7" s="101" t="n">
        <v>635.109639501205</v>
      </c>
      <c r="E7" s="101" t="n">
        <v>0.0</v>
      </c>
      <c r="F7" s="101" t="n">
        <v>635.109639501205</v>
      </c>
      <c r="G7" s="101" t="n">
        <v>0.0</v>
      </c>
      <c r="H7" s="101">
        <f ref="H7:H12" si="1" t="shared">SUM(B7:C7)</f>
        <v>635.10963950120504</v>
      </c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45">
      <c r="A8" s="9" t="s">
        <v>5</v>
      </c>
      <c r="B8" s="101" t="n">
        <v>314.2735432305101</v>
      </c>
      <c r="C8" s="101" t="n">
        <v>282.377198336749</v>
      </c>
      <c r="D8" s="101" t="n">
        <v>596.6507415672592</v>
      </c>
      <c r="E8" s="101" t="n">
        <v>0.0</v>
      </c>
      <c r="F8" s="101" t="n">
        <v>596.6507415672592</v>
      </c>
      <c r="G8" s="101" t="n">
        <v>0.0</v>
      </c>
      <c r="H8" s="101">
        <f si="1" t="shared"/>
        <v>596.65074156725905</v>
      </c>
      <c r="J8" s="9" t="s">
        <v>5</v>
      </c>
      <c r="K8" s="9" t="n">
        <v>0.0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>
        <f si="0" t="shared"/>
        <v>0</v>
      </c>
    </row>
    <row r="9" spans="1:17" x14ac:dyDescent="0.4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>
        <f si="1" t="shared"/>
        <v>0</v>
      </c>
      <c r="J9" s="9" t="s">
        <v>6</v>
      </c>
      <c r="K9" s="9" t="n">
        <v>408.0</v>
      </c>
      <c r="L9" s="9" t="n">
        <v>29.0</v>
      </c>
      <c r="M9" s="9" t="n">
        <v>425.0</v>
      </c>
      <c r="N9" s="9" t="n">
        <v>12.0</v>
      </c>
      <c r="O9" s="9" t="n">
        <v>436.0</v>
      </c>
      <c r="P9" s="9" t="n">
        <v>1.0</v>
      </c>
      <c r="Q9" s="9">
        <f si="0" t="shared"/>
        <v>443</v>
      </c>
    </row>
    <row r="10" spans="1:17" x14ac:dyDescent="0.45">
      <c r="A10" s="9" t="s">
        <v>7</v>
      </c>
      <c r="B10" s="9" t="n">
        <v>221.6585137474386</v>
      </c>
      <c r="C10" s="9" t="n">
        <v>5184.371723692318</v>
      </c>
      <c r="D10" s="9" t="n">
        <v>3876.6379386055746</v>
      </c>
      <c r="E10" s="9" t="n">
        <v>1529.3922988341812</v>
      </c>
      <c r="F10" s="9" t="n">
        <v>5276.119507866591</v>
      </c>
      <c r="G10" s="9" t="n">
        <v>129.9107295731642</v>
      </c>
      <c r="H10" s="9">
        <f si="1" t="shared"/>
        <v>5406.0302374397561</v>
      </c>
      <c r="J10" s="9" t="s">
        <v>7</v>
      </c>
      <c r="K10" s="9" t="n">
        <v>874.0</v>
      </c>
      <c r="L10" s="9" t="n">
        <v>3386.0</v>
      </c>
      <c r="M10" s="9" t="n">
        <v>3044.0</v>
      </c>
      <c r="N10" s="9" t="n">
        <v>1216.0</v>
      </c>
      <c r="O10" s="9" t="n">
        <v>3914.0</v>
      </c>
      <c r="P10" s="9" t="n">
        <v>346.0</v>
      </c>
      <c r="Q10" s="9">
        <f si="0" t="shared"/>
        <v>4322</v>
      </c>
    </row>
    <row r="11" spans="1:17" x14ac:dyDescent="0.45">
      <c r="A11" s="9" t="s">
        <v>8</v>
      </c>
      <c r="B11" s="9" t="n">
        <v>0.0</v>
      </c>
      <c r="C11" s="9" t="n">
        <v>485.123250475081</v>
      </c>
      <c r="D11" s="9" t="n">
        <v>485.123250475081</v>
      </c>
      <c r="E11" s="9" t="n">
        <v>0.0</v>
      </c>
      <c r="F11" s="9" t="n">
        <v>485.123250475081</v>
      </c>
      <c r="G11" s="9" t="n">
        <v>0.0</v>
      </c>
      <c r="H11" s="9">
        <f si="1" t="shared"/>
        <v>485.12325047508102</v>
      </c>
      <c r="J11" s="9" t="s">
        <v>8</v>
      </c>
      <c r="K11" s="9" t="n">
        <v>0.0</v>
      </c>
      <c r="L11" s="9" t="n">
        <v>0.0</v>
      </c>
      <c r="M11" s="9" t="n">
        <v>0.0</v>
      </c>
      <c r="N11" s="9" t="n">
        <v>0.0</v>
      </c>
      <c r="O11" s="9" t="n">
        <v>0.0</v>
      </c>
      <c r="P11" s="9" t="n">
        <v>0.0</v>
      </c>
      <c r="Q11" s="9">
        <f si="0" t="shared"/>
        <v>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9">
        <f si="1" t="shared"/>
        <v>0</v>
      </c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9">
        <f si="0" t="shared"/>
        <v>0</v>
      </c>
    </row>
    <row ht="14.65" r="13" spans="1:17" thickBot="1" x14ac:dyDescent="0.5">
      <c r="A13" s="83" t="s">
        <v>19</v>
      </c>
      <c r="B13" s="83">
        <f>SUM(B4:B12)</f>
        <v>1725.52845715288</v>
      </c>
      <c r="C13" s="83">
        <f ref="C13:H13" si="2" t="shared">SUM(C4:C12)</f>
        <v>211630.5618299318</v>
      </c>
      <c r="D13" s="83">
        <f si="2" t="shared"/>
        <v>175420.14289673496</v>
      </c>
      <c r="E13" s="83">
        <f si="2" t="shared"/>
        <v>37935.947390349684</v>
      </c>
      <c r="F13" s="83">
        <f si="2" t="shared"/>
        <v>205652.96235790636</v>
      </c>
      <c r="G13" s="83">
        <f si="2" t="shared"/>
        <v>7703.1279291783158</v>
      </c>
      <c r="H13" s="83">
        <f si="2" t="shared"/>
        <v>213356.09028708466</v>
      </c>
      <c r="J13" s="83" t="s">
        <v>19</v>
      </c>
      <c r="K13" s="83">
        <f>SUM(K4:K12)</f>
        <v>7996</v>
      </c>
      <c r="L13" s="83">
        <f ref="L13" si="3" t="shared">SUM(L4:L12)</f>
        <v>171442</v>
      </c>
      <c r="M13" s="83">
        <f ref="M13" si="4" t="shared">SUM(M4:M12)</f>
        <v>137807</v>
      </c>
      <c r="N13" s="83">
        <f ref="N13" si="5" t="shared">SUM(N4:N12)</f>
        <v>41631</v>
      </c>
      <c r="O13" s="83">
        <f ref="O13" si="6" t="shared">SUM(O4:O12)</f>
        <v>169024</v>
      </c>
      <c r="P13" s="83">
        <f ref="P13" si="7" t="shared">SUM(P4:P12)</f>
        <v>10414</v>
      </c>
      <c r="Q13" s="83">
        <f ref="Q13" si="8" t="shared">SUM(Q4:Q12)</f>
        <v>179438</v>
      </c>
    </row>
    <row ht="14.65" r="16" spans="1:17" thickBot="1" x14ac:dyDescent="0.5">
      <c r="A16" s="1" t="s">
        <v>48</v>
      </c>
      <c r="B16" s="1"/>
      <c r="C16" s="3"/>
      <c r="D16" s="3"/>
      <c r="E16" s="3"/>
      <c r="F16" s="3"/>
      <c r="G16" s="3"/>
      <c r="H16" s="3"/>
      <c r="J16" s="1" t="s">
        <v>13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45">
      <c r="A18" s="9" t="s">
        <v>1</v>
      </c>
      <c r="B18" s="13">
        <f ref="B18:C27" si="9" t="shared">B4/$H$13</f>
        <v>0</v>
      </c>
      <c r="C18" s="13">
        <f si="9" t="shared"/>
        <v>2.2346879325149328E-2</v>
      </c>
      <c r="D18" s="13">
        <f ref="D18:G18" si="10" t="shared">D4/$H$13</f>
        <v>2.1110165574773358E-2</v>
      </c>
      <c r="E18" s="13">
        <f si="10" t="shared"/>
        <v>1.2367137503759679E-3</v>
      </c>
      <c r="F18" s="13">
        <f si="10" t="shared"/>
        <v>2.2346879325149328E-2</v>
      </c>
      <c r="G18" s="13">
        <f si="10" t="shared"/>
        <v>0</v>
      </c>
      <c r="H18" s="13">
        <f ref="H18:H27" si="11" t="shared">H4/$H$13</f>
        <v>2.2346879325149328E-2</v>
      </c>
      <c r="J18" s="9" t="s">
        <v>1</v>
      </c>
      <c r="K18" s="13">
        <f ref="K18:L27" si="12" t="shared">K4/$Q$13</f>
        <v>0</v>
      </c>
      <c r="L18" s="13">
        <f si="12" t="shared"/>
        <v>2.0603216709949954E-2</v>
      </c>
      <c r="M18" s="13">
        <f ref="M18:P18" si="13" t="shared">M4/$Q$13</f>
        <v>1.9499771508821987E-2</v>
      </c>
      <c r="N18" s="13">
        <f si="13" t="shared"/>
        <v>1.1034452011279663E-3</v>
      </c>
      <c r="O18" s="13">
        <f si="13" t="shared"/>
        <v>2.0502903509847414E-2</v>
      </c>
      <c r="P18" s="13">
        <f si="13" t="shared"/>
        <v>1.0031320010254238E-4</v>
      </c>
      <c r="Q18" s="13">
        <f ref="Q18:Q27" si="14" t="shared">Q4/$Q$13</f>
        <v>2.0603216709949954E-2</v>
      </c>
    </row>
    <row r="19" spans="1:22" x14ac:dyDescent="0.45">
      <c r="A19" s="9" t="s">
        <v>2</v>
      </c>
      <c r="B19" s="13">
        <f si="9" t="shared"/>
        <v>7.2263718137044483E-5</v>
      </c>
      <c r="C19" s="13">
        <f si="9" t="shared"/>
        <v>0.48593342092697756</v>
      </c>
      <c r="D19" s="13">
        <f ref="D19:G19" si="15" t="shared">D5/$H$13</f>
        <v>0.39283171488647545</v>
      </c>
      <c r="E19" s="13">
        <f si="15" t="shared"/>
        <v>9.3173969758639133E-2</v>
      </c>
      <c r="F19" s="13">
        <f si="15" t="shared"/>
        <v>0.46052646800240371</v>
      </c>
      <c r="G19" s="13">
        <f si="15" t="shared"/>
        <v>2.5479216642710842E-2</v>
      </c>
      <c r="H19" s="13">
        <f si="11" t="shared"/>
        <v>0.48600568464511457</v>
      </c>
      <c r="J19" s="9" t="s">
        <v>2</v>
      </c>
      <c r="K19" s="13">
        <f si="12" t="shared"/>
        <v>4.0013820929791907E-3</v>
      </c>
      <c r="L19" s="13">
        <f si="12" t="shared"/>
        <v>0.47966985811255142</v>
      </c>
      <c r="M19" s="13">
        <f ref="M19:P19" si="16" t="shared">M5/$Q$13</f>
        <v>0.35738806718755223</v>
      </c>
      <c r="N19" s="13">
        <f si="16" t="shared"/>
        <v>0.12628317301797837</v>
      </c>
      <c r="O19" s="13">
        <f si="16" t="shared"/>
        <v>0.45183851803965713</v>
      </c>
      <c r="P19" s="13">
        <f si="16" t="shared"/>
        <v>3.1832722165873448E-2</v>
      </c>
      <c r="Q19" s="13">
        <f si="14" t="shared"/>
        <v>0.48367124020553059</v>
      </c>
    </row>
    <row r="20" spans="1:22" x14ac:dyDescent="0.45">
      <c r="A20" s="9" t="s">
        <v>3</v>
      </c>
      <c r="B20" s="13">
        <f si="9" t="shared"/>
        <v>5.5033746363821598E-3</v>
      </c>
      <c r="C20" s="13">
        <f si="9" t="shared"/>
        <v>0.45275896392836501</v>
      </c>
      <c r="D20" s="13">
        <f ref="D20:G20" si="17" t="shared">D6/$H$13</f>
        <v>0.3820354975365996</v>
      </c>
      <c r="E20" s="13">
        <f si="17" t="shared"/>
        <v>7.6226841028147571E-2</v>
      </c>
      <c r="F20" s="13">
        <f si="17" t="shared"/>
        <v>0.44824588602166215</v>
      </c>
      <c r="G20" s="13">
        <f si="17" t="shared"/>
        <v>1.001645254308502E-2</v>
      </c>
      <c r="H20" s="13">
        <f si="11" t="shared"/>
        <v>0.45826233856474713</v>
      </c>
      <c r="J20" s="9" t="s">
        <v>3</v>
      </c>
      <c r="K20" s="13">
        <f si="12" t="shared"/>
        <v>3.2640800722255038E-2</v>
      </c>
      <c r="L20" s="13">
        <f si="12" t="shared"/>
        <v>0.43652960911289695</v>
      </c>
      <c r="M20" s="13">
        <f ref="M20:P20" si="18" t="shared">M6/$Q$13</f>
        <v>0.37180530322451211</v>
      </c>
      <c r="N20" s="13">
        <f si="18" t="shared"/>
        <v>9.7365106610639893E-2</v>
      </c>
      <c r="O20" s="13">
        <f si="18" t="shared"/>
        <v>0.44513425249947058</v>
      </c>
      <c r="P20" s="13">
        <f si="18" t="shared"/>
        <v>2.4036157335681405E-2</v>
      </c>
      <c r="Q20" s="13">
        <f si="14" t="shared"/>
        <v>0.46917040983515196</v>
      </c>
    </row>
    <row r="21" spans="1:22" x14ac:dyDescent="0.45">
      <c r="A21" s="9" t="s">
        <v>4</v>
      </c>
      <c r="B21" s="13">
        <f si="9" t="shared"/>
        <v>0</v>
      </c>
      <c r="C21" s="13">
        <f si="9" t="shared"/>
        <v>2.9767588947033252E-3</v>
      </c>
      <c r="D21" s="13">
        <f ref="D21:G21" si="19" t="shared">D7/$H$13</f>
        <v>2.9767588947033252E-3</v>
      </c>
      <c r="E21" s="13">
        <f si="19" t="shared"/>
        <v>0</v>
      </c>
      <c r="F21" s="13">
        <f si="19" t="shared"/>
        <v>2.9767588947033252E-3</v>
      </c>
      <c r="G21" s="13">
        <f si="19" t="shared"/>
        <v>0</v>
      </c>
      <c r="H21" s="13">
        <f si="11" t="shared"/>
        <v>2.9767588947033252E-3</v>
      </c>
      <c r="J21" s="9" t="s">
        <v>4</v>
      </c>
      <c r="K21" s="13">
        <f si="12" t="shared"/>
        <v>0</v>
      </c>
      <c r="L21" s="13">
        <f si="12" t="shared"/>
        <v>0</v>
      </c>
      <c r="M21" s="13">
        <f ref="M21:P21" si="20" t="shared">M7/$Q$13</f>
        <v>0</v>
      </c>
      <c r="N21" s="13">
        <f si="20" t="shared"/>
        <v>0</v>
      </c>
      <c r="O21" s="13">
        <f si="20" t="shared"/>
        <v>0</v>
      </c>
      <c r="P21" s="13">
        <f si="20" t="shared"/>
        <v>0</v>
      </c>
      <c r="Q21" s="13">
        <f si="14" t="shared"/>
        <v>0</v>
      </c>
    </row>
    <row r="22" spans="1:22" x14ac:dyDescent="0.45">
      <c r="A22" s="9" t="s">
        <v>5</v>
      </c>
      <c r="B22" s="13">
        <f si="9" t="shared"/>
        <v>1.4730001042277928E-3</v>
      </c>
      <c r="C22" s="13">
        <f si="9" t="shared"/>
        <v>1.3235019349894907E-3</v>
      </c>
      <c r="D22" s="13">
        <f ref="D22:G22" si="21" t="shared">D8/$H$13</f>
        <v>2.7965020392172837E-3</v>
      </c>
      <c r="E22" s="13">
        <f si="21" t="shared"/>
        <v>0</v>
      </c>
      <c r="F22" s="13">
        <f si="21" t="shared"/>
        <v>2.7965020392172837E-3</v>
      </c>
      <c r="G22" s="13">
        <f si="21" t="shared"/>
        <v>0</v>
      </c>
      <c r="H22" s="13">
        <f si="11" t="shared"/>
        <v>2.7965020392172833E-3</v>
      </c>
      <c r="J22" s="9" t="s">
        <v>5</v>
      </c>
      <c r="K22" s="13">
        <f si="12" t="shared"/>
        <v>0</v>
      </c>
      <c r="L22" s="13">
        <f si="12" t="shared"/>
        <v>0</v>
      </c>
      <c r="M22" s="13">
        <f ref="M22:P22" si="22" t="shared">M8/$Q$13</f>
        <v>0</v>
      </c>
      <c r="N22" s="13">
        <f si="22" t="shared"/>
        <v>0</v>
      </c>
      <c r="O22" s="13">
        <f si="22" t="shared"/>
        <v>0</v>
      </c>
      <c r="P22" s="13">
        <f si="22" t="shared"/>
        <v>0</v>
      </c>
      <c r="Q22" s="13">
        <f si="14" t="shared"/>
        <v>0</v>
      </c>
    </row>
    <row r="23" spans="1:22" x14ac:dyDescent="0.45">
      <c r="A23" s="9" t="s">
        <v>6</v>
      </c>
      <c r="B23" s="13">
        <f si="9" t="shared"/>
        <v>0</v>
      </c>
      <c r="C23" s="13">
        <f si="9" t="shared"/>
        <v>0</v>
      </c>
      <c r="D23" s="13">
        <f ref="D23:G23" si="23" t="shared">D9/$H$13</f>
        <v>0</v>
      </c>
      <c r="E23" s="13">
        <f si="23" t="shared"/>
        <v>0</v>
      </c>
      <c r="F23" s="13">
        <f si="23" t="shared"/>
        <v>0</v>
      </c>
      <c r="G23" s="13">
        <f si="23" t="shared"/>
        <v>0</v>
      </c>
      <c r="H23" s="13">
        <f si="11" t="shared"/>
        <v>0</v>
      </c>
      <c r="J23" s="9" t="s">
        <v>6</v>
      </c>
      <c r="K23" s="13">
        <f si="12" t="shared"/>
        <v>2.3406413357259888E-3</v>
      </c>
      <c r="L23" s="13">
        <f si="12" t="shared"/>
        <v>1.2817797790880416E-4</v>
      </c>
      <c r="M23" s="13">
        <f ref="M23:P23" si="24" t="shared">M9/$Q$13</f>
        <v>2.3740790690935029E-3</v>
      </c>
      <c r="N23" s="13">
        <f si="24" t="shared"/>
        <v>9.4740244541290027E-5</v>
      </c>
      <c r="O23" s="13">
        <f si="24" t="shared"/>
        <v>2.4576734025122883E-3</v>
      </c>
      <c r="P23" s="13">
        <f si="24" t="shared"/>
        <v>1.1145911122504709E-5</v>
      </c>
      <c r="Q23" s="13">
        <f si="14" t="shared"/>
        <v>2.4688193136347932E-3</v>
      </c>
    </row>
    <row r="24" spans="1:22" x14ac:dyDescent="0.45">
      <c r="A24" s="9" t="s">
        <v>7</v>
      </c>
      <c r="B24" s="13">
        <f si="9" t="shared"/>
        <v>1.0389134589464143E-3</v>
      </c>
      <c r="C24" s="13">
        <f si="9" t="shared"/>
        <v>2.4299150386175545E-2</v>
      </c>
      <c r="D24" s="13">
        <f ref="D24:G24" si="25" t="shared">D10/$H$13</f>
        <v>1.8169802105903344E-2</v>
      </c>
      <c r="E24" s="13">
        <f si="25" t="shared"/>
        <v>7.1682617392186147E-3</v>
      </c>
      <c r="F24" s="13">
        <f si="25" t="shared"/>
        <v>2.4729172252674979E-2</v>
      </c>
      <c r="G24" s="13">
        <f si="25" t="shared"/>
        <v>6.0889159244697795E-4</v>
      </c>
      <c r="H24" s="13">
        <f si="11" t="shared"/>
        <v>2.5338063845121959E-2</v>
      </c>
      <c r="J24" s="9" t="s">
        <v>7</v>
      </c>
      <c r="K24" s="13">
        <f si="12" t="shared"/>
        <v>5.5785285168136068E-3</v>
      </c>
      <c r="L24" s="13">
        <f si="12" t="shared"/>
        <v>1.8507785418919068E-2</v>
      </c>
      <c r="M24" s="13">
        <f ref="M24:P24" si="26" t="shared">M10/$Q$13</f>
        <v>1.6925066039523401E-2</v>
      </c>
      <c r="N24" s="13">
        <f si="26" t="shared"/>
        <v>7.161247896209276E-3</v>
      </c>
      <c r="O24" s="13">
        <f si="26" t="shared"/>
        <v>2.2029893333630559E-2</v>
      </c>
      <c r="P24" s="13">
        <f si="26" t="shared"/>
        <v>2.0564206021021188E-3</v>
      </c>
      <c r="Q24" s="13">
        <f si="14" t="shared"/>
        <v>2.4086313935732677E-2</v>
      </c>
    </row>
    <row r="25" spans="1:22" x14ac:dyDescent="0.45">
      <c r="A25" s="9" t="s">
        <v>8</v>
      </c>
      <c r="B25" s="13">
        <f si="9" t="shared"/>
        <v>0</v>
      </c>
      <c r="C25" s="13">
        <f si="9" t="shared"/>
        <v>2.2737726859463716E-3</v>
      </c>
      <c r="D25" s="13">
        <f ref="D25:G26" si="27" t="shared">D11/$H$13</f>
        <v>2.2737726859463716E-3</v>
      </c>
      <c r="E25" s="13">
        <f si="27" t="shared"/>
        <v>0</v>
      </c>
      <c r="F25" s="13">
        <f si="27" t="shared"/>
        <v>2.2737726859463716E-3</v>
      </c>
      <c r="G25" s="13">
        <f si="27" t="shared"/>
        <v>0</v>
      </c>
      <c r="H25" s="13">
        <f si="11" t="shared"/>
        <v>2.2737726859463716E-3</v>
      </c>
      <c r="J25" s="9" t="s">
        <v>8</v>
      </c>
      <c r="K25" s="13">
        <f si="12" t="shared"/>
        <v>0</v>
      </c>
      <c r="L25" s="13">
        <f si="12" t="shared"/>
        <v>0</v>
      </c>
      <c r="M25" s="13">
        <f ref="M25:P26" si="28" t="shared">M11/$Q$13</f>
        <v>0</v>
      </c>
      <c r="N25" s="13">
        <f si="28" t="shared"/>
        <v>0</v>
      </c>
      <c r="O25" s="13">
        <f si="28" t="shared"/>
        <v>0</v>
      </c>
      <c r="P25" s="13">
        <f si="28" t="shared"/>
        <v>0</v>
      </c>
      <c r="Q25" s="13">
        <f si="14" t="shared"/>
        <v>0</v>
      </c>
    </row>
    <row r="26" spans="1:22" x14ac:dyDescent="0.4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4.65" r="27" spans="1:22" thickBot="1" x14ac:dyDescent="0.5">
      <c r="A27" s="83" t="s">
        <v>19</v>
      </c>
      <c r="B27" s="86">
        <f si="9" t="shared"/>
        <v>8.087551917693411E-3</v>
      </c>
      <c r="C27" s="86">
        <f si="9" t="shared"/>
        <v>0.99191244808230672</v>
      </c>
      <c r="D27" s="86">
        <f ref="D27:G27" si="29" t="shared">D13/$H$13</f>
        <v>0.82219421372361867</v>
      </c>
      <c r="E27" s="86">
        <f si="29" t="shared"/>
        <v>0.17780578627638127</v>
      </c>
      <c r="F27" s="86">
        <f si="29" t="shared"/>
        <v>0.96389543922175724</v>
      </c>
      <c r="G27" s="86">
        <f si="29" t="shared"/>
        <v>3.6104560778242846E-2</v>
      </c>
      <c r="H27" s="86">
        <f si="11" t="shared"/>
        <v>1</v>
      </c>
      <c r="J27" s="83" t="s">
        <v>19</v>
      </c>
      <c r="K27" s="86">
        <f si="12" t="shared"/>
        <v>4.4561352667773828E-2</v>
      </c>
      <c r="L27" s="86">
        <f si="12" t="shared"/>
        <v>0.95543864733222617</v>
      </c>
      <c r="M27" s="86">
        <f ref="M27:P27" si="30" t="shared">M13/$Q$13</f>
        <v>0.76799228702950317</v>
      </c>
      <c r="N27" s="86">
        <f si="30" t="shared"/>
        <v>0.23200771297049677</v>
      </c>
      <c r="O27" s="86">
        <f si="30" t="shared"/>
        <v>0.94196324078511795</v>
      </c>
      <c r="P27" s="86">
        <f si="30" t="shared"/>
        <v>5.8036759214882022E-2</v>
      </c>
      <c r="Q27" s="86">
        <f si="14" t="shared"/>
        <v>1</v>
      </c>
    </row>
    <row ht="14.65" r="30" spans="1:22" thickBot="1" x14ac:dyDescent="0.5">
      <c r="J30" s="1" t="s">
        <v>28</v>
      </c>
      <c r="K30" s="1"/>
      <c r="L30" s="3"/>
      <c r="M30" s="3"/>
      <c r="N30" s="3"/>
      <c r="O30" s="3"/>
      <c r="P30" s="3"/>
      <c r="Q30" s="3"/>
      <c r="S30" s="15" t="s">
        <v>37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31" t="shared">K18-B18</f>
        <v>0</v>
      </c>
      <c r="L32" s="13">
        <f ref="L32:L40" si="32" t="shared">L18-C18</f>
        <v>-1.7436626151993741E-3</v>
      </c>
      <c r="M32" s="13">
        <f ref="M32:M40" si="33" t="shared">M18-D18</f>
        <v>-1.6103940659513705E-3</v>
      </c>
      <c r="N32" s="13">
        <f ref="N32:N40" si="34" t="shared">N18-E18</f>
        <v>-1.3326854924800165E-4</v>
      </c>
      <c r="O32" s="13">
        <f ref="O32:O40" si="35" t="shared">O18-F18</f>
        <v>-1.843975815301914E-3</v>
      </c>
      <c r="P32" s="13">
        <f ref="P32:P40" si="36" t="shared">P18-G18</f>
        <v>1.0031320010254238E-4</v>
      </c>
      <c r="Q32" s="13">
        <f ref="Q32:Q40" si="37" t="shared">Q18-H18</f>
        <v>-1.7436626151993741E-3</v>
      </c>
      <c r="S32" s="82" t="s">
        <v>1</v>
      </c>
      <c r="T32" s="87">
        <f ref="T32:T40" si="38" t="shared">H18</f>
        <v>2.2346879325149328E-2</v>
      </c>
      <c r="U32" s="87">
        <f ref="U32:U40" si="39" t="shared">Q18</f>
        <v>2.0603216709949954E-2</v>
      </c>
      <c r="V32" s="87">
        <f>U32-T32</f>
        <v>-1.7436626151993741E-3</v>
      </c>
    </row>
    <row r="33" spans="10:22" x14ac:dyDescent="0.45">
      <c r="J33" s="9" t="s">
        <v>2</v>
      </c>
      <c r="K33" s="13">
        <f si="31" t="shared"/>
        <v>3.9291183748421466E-3</v>
      </c>
      <c r="L33" s="13">
        <f si="32" t="shared"/>
        <v>-6.2635628144261379E-3</v>
      </c>
      <c r="M33" s="13">
        <f si="33" t="shared"/>
        <v>-3.544364769892322E-2</v>
      </c>
      <c r="N33" s="13">
        <f si="34" t="shared"/>
        <v>3.3109203259339234E-2</v>
      </c>
      <c r="O33" s="13">
        <f si="35" t="shared"/>
        <v>-8.6879499627465773E-3</v>
      </c>
      <c r="P33" s="13">
        <f si="36" t="shared"/>
        <v>6.3535055231626059E-3</v>
      </c>
      <c r="Q33" s="13">
        <f si="37" t="shared"/>
        <v>-2.3344444395839714E-3</v>
      </c>
      <c r="S33" s="84" t="s">
        <v>2</v>
      </c>
      <c r="T33" s="85">
        <f si="38" t="shared"/>
        <v>0.48600568464511457</v>
      </c>
      <c r="U33" s="85">
        <f si="39" t="shared"/>
        <v>0.48367124020553059</v>
      </c>
      <c r="V33" s="85">
        <f ref="V33:V41" si="40" t="shared">U33-T33</f>
        <v>-2.3344444395839714E-3</v>
      </c>
    </row>
    <row r="34" spans="10:22" x14ac:dyDescent="0.45">
      <c r="J34" s="9" t="s">
        <v>3</v>
      </c>
      <c r="K34" s="13">
        <f si="31" t="shared"/>
        <v>2.7137426085872877E-2</v>
      </c>
      <c r="L34" s="13">
        <f si="32" t="shared"/>
        <v>-1.6229354815468056E-2</v>
      </c>
      <c r="M34" s="13">
        <f si="33" t="shared"/>
        <v>-1.0230194312087493E-2</v>
      </c>
      <c r="N34" s="13">
        <f si="34" t="shared"/>
        <v>2.1138265582492322E-2</v>
      </c>
      <c r="O34" s="13">
        <f si="35" t="shared"/>
        <v>-3.1116335221915703E-3</v>
      </c>
      <c r="P34" s="13">
        <f si="36" t="shared"/>
        <v>1.4019704792596385E-2</v>
      </c>
      <c r="Q34" s="13">
        <f si="37" t="shared"/>
        <v>1.0908071270404829E-2</v>
      </c>
      <c r="S34" s="17" t="s">
        <v>3</v>
      </c>
      <c r="T34" s="88">
        <f si="38" t="shared"/>
        <v>0.45826233856474713</v>
      </c>
      <c r="U34" s="88">
        <f si="39" t="shared"/>
        <v>0.46917040983515196</v>
      </c>
      <c r="V34" s="88">
        <f si="40" t="shared"/>
        <v>1.0908071270404829E-2</v>
      </c>
    </row>
    <row r="35" spans="10:22" x14ac:dyDescent="0.45">
      <c r="J35" s="9" t="s">
        <v>4</v>
      </c>
      <c r="K35" s="13">
        <f si="31" t="shared"/>
        <v>0</v>
      </c>
      <c r="L35" s="13">
        <f si="32" t="shared"/>
        <v>-2.9767588947033252E-3</v>
      </c>
      <c r="M35" s="13">
        <f si="33" t="shared"/>
        <v>-2.9767588947033252E-3</v>
      </c>
      <c r="N35" s="13">
        <f si="34" t="shared"/>
        <v>0</v>
      </c>
      <c r="O35" s="13">
        <f si="35" t="shared"/>
        <v>-2.9767588947033252E-3</v>
      </c>
      <c r="P35" s="13">
        <f si="36" t="shared"/>
        <v>0</v>
      </c>
      <c r="Q35" s="13">
        <f si="37" t="shared"/>
        <v>-2.9767588947033252E-3</v>
      </c>
      <c r="S35" s="84" t="s">
        <v>4</v>
      </c>
      <c r="T35" s="85">
        <f si="38" t="shared"/>
        <v>2.9767588947033252E-3</v>
      </c>
      <c r="U35" s="85">
        <f si="39" t="shared"/>
        <v>0</v>
      </c>
      <c r="V35" s="85">
        <f si="40" t="shared"/>
        <v>-2.9767588947033252E-3</v>
      </c>
    </row>
    <row r="36" spans="10:22" x14ac:dyDescent="0.45">
      <c r="J36" s="9" t="s">
        <v>5</v>
      </c>
      <c r="K36" s="13">
        <f si="31" t="shared"/>
        <v>-1.4730001042277928E-3</v>
      </c>
      <c r="L36" s="13">
        <f si="32" t="shared"/>
        <v>-1.3235019349894907E-3</v>
      </c>
      <c r="M36" s="13">
        <f si="33" t="shared"/>
        <v>-2.7965020392172837E-3</v>
      </c>
      <c r="N36" s="13">
        <f si="34" t="shared"/>
        <v>0</v>
      </c>
      <c r="O36" s="13">
        <f si="35" t="shared"/>
        <v>-2.7965020392172837E-3</v>
      </c>
      <c r="P36" s="13">
        <f si="36" t="shared"/>
        <v>0</v>
      </c>
      <c r="Q36" s="13">
        <f si="37" t="shared"/>
        <v>-2.7965020392172833E-3</v>
      </c>
      <c r="S36" s="17" t="s">
        <v>5</v>
      </c>
      <c r="T36" s="88">
        <f si="38" t="shared"/>
        <v>2.7965020392172833E-3</v>
      </c>
      <c r="U36" s="88">
        <f si="39" t="shared"/>
        <v>0</v>
      </c>
      <c r="V36" s="88">
        <f si="40" t="shared"/>
        <v>-2.7965020392172833E-3</v>
      </c>
    </row>
    <row r="37" spans="10:22" x14ac:dyDescent="0.45">
      <c r="J37" s="9" t="s">
        <v>6</v>
      </c>
      <c r="K37" s="13">
        <f si="31" t="shared"/>
        <v>2.3406413357259888E-3</v>
      </c>
      <c r="L37" s="13">
        <f si="32" t="shared"/>
        <v>1.2817797790880416E-4</v>
      </c>
      <c r="M37" s="13">
        <f si="33" t="shared"/>
        <v>2.3740790690935029E-3</v>
      </c>
      <c r="N37" s="13">
        <f si="34" t="shared"/>
        <v>9.4740244541290027E-5</v>
      </c>
      <c r="O37" s="13">
        <f si="35" t="shared"/>
        <v>2.4576734025122883E-3</v>
      </c>
      <c r="P37" s="13">
        <f si="36" t="shared"/>
        <v>1.1145911122504709E-5</v>
      </c>
      <c r="Q37" s="13">
        <f si="37" t="shared"/>
        <v>2.4688193136347932E-3</v>
      </c>
      <c r="S37" s="84" t="s">
        <v>6</v>
      </c>
      <c r="T37" s="85">
        <f si="38" t="shared"/>
        <v>0</v>
      </c>
      <c r="U37" s="85">
        <f si="39" t="shared"/>
        <v>2.4688193136347932E-3</v>
      </c>
      <c r="V37" s="85">
        <f si="40" t="shared"/>
        <v>2.4688193136347932E-3</v>
      </c>
    </row>
    <row r="38" spans="10:22" x14ac:dyDescent="0.45">
      <c r="J38" s="9" t="s">
        <v>7</v>
      </c>
      <c r="K38" s="13">
        <f si="31" t="shared"/>
        <v>4.5396150578671923E-3</v>
      </c>
      <c r="L38" s="13">
        <f si="32" t="shared"/>
        <v>-5.7913649672564765E-3</v>
      </c>
      <c r="M38" s="13">
        <f si="33" t="shared"/>
        <v>-1.244736066379943E-3</v>
      </c>
      <c r="N38" s="13">
        <f si="34" t="shared"/>
        <v>-7.0138430093387091E-6</v>
      </c>
      <c r="O38" s="13">
        <f si="35" t="shared"/>
        <v>-2.6992789190444198E-3</v>
      </c>
      <c r="P38" s="13">
        <f si="36" t="shared"/>
        <v>1.4475290096551408E-3</v>
      </c>
      <c r="Q38" s="13">
        <f si="37" t="shared"/>
        <v>-1.2517499093892825E-3</v>
      </c>
      <c r="S38" s="17" t="s">
        <v>7</v>
      </c>
      <c r="T38" s="88">
        <f si="38" t="shared"/>
        <v>2.5338063845121959E-2</v>
      </c>
      <c r="U38" s="88">
        <f si="39" t="shared"/>
        <v>2.4086313935732677E-2</v>
      </c>
      <c r="V38" s="88">
        <f si="40" t="shared"/>
        <v>-1.2517499093892825E-3</v>
      </c>
    </row>
    <row r="39" spans="10:22" x14ac:dyDescent="0.45">
      <c r="J39" s="9" t="s">
        <v>8</v>
      </c>
      <c r="K39" s="13">
        <f si="31" t="shared"/>
        <v>0</v>
      </c>
      <c r="L39" s="13">
        <f si="32" t="shared"/>
        <v>-2.2737726859463716E-3</v>
      </c>
      <c r="M39" s="13">
        <f si="33" t="shared"/>
        <v>-2.2737726859463716E-3</v>
      </c>
      <c r="N39" s="13">
        <f si="34" t="shared"/>
        <v>0</v>
      </c>
      <c r="O39" s="13">
        <f si="35" t="shared"/>
        <v>-2.2737726859463716E-3</v>
      </c>
      <c r="P39" s="13">
        <f si="36" t="shared"/>
        <v>0</v>
      </c>
      <c r="Q39" s="13">
        <f si="37" t="shared"/>
        <v>-2.2737726859463716E-3</v>
      </c>
      <c r="S39" s="84" t="s">
        <v>8</v>
      </c>
      <c r="T39" s="85">
        <f si="38" t="shared"/>
        <v>2.2737726859463716E-3</v>
      </c>
      <c r="U39" s="85">
        <f si="39" t="shared"/>
        <v>0</v>
      </c>
      <c r="V39" s="85">
        <f si="40" t="shared"/>
        <v>-2.2737726859463716E-3</v>
      </c>
    </row>
    <row r="40" spans="10:22" x14ac:dyDescent="0.4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89">
        <f si="38" t="shared"/>
        <v>0</v>
      </c>
      <c r="U40" s="89">
        <f si="39" t="shared"/>
        <v>0</v>
      </c>
      <c r="V40" s="89">
        <f ref="V40" si="41" t="shared">U40-T40</f>
        <v>0</v>
      </c>
    </row>
    <row ht="14.65" r="41" spans="10:22" thickBot="1" x14ac:dyDescent="0.5">
      <c r="J41" s="83" t="s">
        <v>19</v>
      </c>
      <c r="K41" s="86">
        <f ref="K41" si="42" t="shared">K27-B27</f>
        <v>3.6473800750080415E-2</v>
      </c>
      <c r="L41" s="86">
        <f ref="L41" si="43" t="shared">L27-C27</f>
        <v>-3.6473800750080554E-2</v>
      </c>
      <c r="M41" s="86">
        <f ref="M41" si="44" t="shared">M27-D27</f>
        <v>-5.4201926694115499E-2</v>
      </c>
      <c r="N41" s="86">
        <f ref="N41" si="45" t="shared">N27-E27</f>
        <v>5.4201926694115499E-2</v>
      </c>
      <c r="O41" s="86">
        <f ref="O41" si="46" t="shared">O27-F27</f>
        <v>-2.1932198436639294E-2</v>
      </c>
      <c r="P41" s="86">
        <f ref="P41" si="47" t="shared">P27-G27</f>
        <v>2.1932198436639176E-2</v>
      </c>
      <c r="Q41" s="86">
        <f ref="Q41" si="48" t="shared">Q27-H27</f>
        <v>0</v>
      </c>
      <c r="S41" s="90" t="s">
        <v>19</v>
      </c>
      <c r="T41" s="91">
        <f ref="T41" si="49" t="shared">H27</f>
        <v>1</v>
      </c>
      <c r="U41" s="91">
        <f ref="U41" si="50" t="shared">Q27</f>
        <v>1</v>
      </c>
      <c r="V41" s="91">
        <f si="4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W41"/>
  <sheetViews>
    <sheetView topLeftCell="E1" workbookViewId="0">
      <selection activeCell="Q11" sqref="Q11:Q12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49</v>
      </c>
      <c r="B2" s="1"/>
      <c r="C2" s="3"/>
      <c r="D2" s="3"/>
      <c r="E2" s="3"/>
      <c r="F2" s="3"/>
      <c r="G2" s="3"/>
      <c r="H2" s="3"/>
      <c r="J2" s="1" t="s">
        <v>17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287.8002642472507</v>
      </c>
      <c r="C4" s="9" t="n">
        <v>119982.39625351677</v>
      </c>
      <c r="D4" s="9" t="n">
        <v>102004.446730567</v>
      </c>
      <c r="E4" s="9" t="n">
        <v>18265.74978719702</v>
      </c>
      <c r="F4" s="9" t="n">
        <v>117155.05004863186</v>
      </c>
      <c r="G4" s="9" t="n">
        <v>3115.1464691321435</v>
      </c>
      <c r="H4" s="9">
        <f>SUM(B4:C4)-B4</f>
        <v>119982.39625351677</v>
      </c>
      <c r="I4" s="9"/>
      <c r="J4" s="9" t="s">
        <v>1</v>
      </c>
      <c r="K4" s="9" t="n">
        <v>0.0</v>
      </c>
      <c r="L4" s="9" t="n">
        <v>111971.0</v>
      </c>
      <c r="M4" s="9" t="n">
        <v>95838.0</v>
      </c>
      <c r="N4" s="9" t="n">
        <v>16133.0</v>
      </c>
      <c r="O4" s="9" t="n">
        <v>108677.0</v>
      </c>
      <c r="P4" s="9" t="n">
        <v>3294.0</v>
      </c>
      <c r="Q4" s="9">
        <f>SUM(K4:L4)</f>
        <v>111570</v>
      </c>
    </row>
    <row r="5" spans="1:17" x14ac:dyDescent="0.45">
      <c r="A5" s="9" t="s">
        <v>2</v>
      </c>
      <c r="B5" s="9" t="n">
        <v>4395.670110138981</v>
      </c>
      <c r="C5" s="9" t="n">
        <v>77291.86026899691</v>
      </c>
      <c r="D5" s="9" t="n">
        <v>63296.35270186453</v>
      </c>
      <c r="E5" s="9" t="n">
        <v>18391.17767727136</v>
      </c>
      <c r="F5" s="9" t="n">
        <v>80924.2727533438</v>
      </c>
      <c r="G5" s="9" t="n">
        <v>763.2576257920957</v>
      </c>
      <c r="H5" s="9">
        <f>SUM(B5:C5)+0.5*B4</f>
        <v>81831.430511259518</v>
      </c>
      <c r="I5" s="9"/>
      <c r="J5" s="9" t="s">
        <v>2</v>
      </c>
      <c r="K5" s="9" t="n">
        <v>2984.0</v>
      </c>
      <c r="L5" s="9" t="n">
        <v>63267.0</v>
      </c>
      <c r="M5" s="9" t="n">
        <v>50115.0</v>
      </c>
      <c r="N5" s="9" t="n">
        <v>16136.0</v>
      </c>
      <c r="O5" s="9" t="n">
        <v>62356.0</v>
      </c>
      <c r="P5" s="9" t="n">
        <v>3895.0</v>
      </c>
      <c r="Q5" s="9">
        <f ref="Q5:Q12" si="0" t="shared">SUM(K5:L5)</f>
        <v>66221</v>
      </c>
    </row>
    <row r="6" spans="1:17" x14ac:dyDescent="0.45">
      <c r="A6" s="9" t="s">
        <v>3</v>
      </c>
      <c r="B6" s="9" t="n">
        <v>1694.5455924134205</v>
      </c>
      <c r="C6" s="9" t="n">
        <v>42946.228871383835</v>
      </c>
      <c r="D6" s="9" t="n">
        <v>36703.081301901206</v>
      </c>
      <c r="E6" s="9" t="n">
        <v>7937.693161896049</v>
      </c>
      <c r="F6" s="9" t="n">
        <v>44584.079742385424</v>
      </c>
      <c r="G6" s="9" t="n">
        <v>56.6947214118338</v>
      </c>
      <c r="H6" s="9">
        <f>SUM(B6:C6)+0.5*B4</f>
        <v>44784.674595920886</v>
      </c>
      <c r="I6" s="9"/>
      <c r="J6" s="9" t="s">
        <v>3</v>
      </c>
      <c r="K6" s="9" t="n">
        <v>1534.0</v>
      </c>
      <c r="L6" s="9" t="n">
        <v>37431.0</v>
      </c>
      <c r="M6" s="9" t="n">
        <v>29325.0</v>
      </c>
      <c r="N6" s="9" t="n">
        <v>9640.0</v>
      </c>
      <c r="O6" s="9" t="n">
        <v>38416.0</v>
      </c>
      <c r="P6" s="9" t="n">
        <v>549.0</v>
      </c>
      <c r="Q6" s="9">
        <f si="0" t="shared"/>
        <v>39048</v>
      </c>
    </row>
    <row r="7" spans="1:17" x14ac:dyDescent="0.45">
      <c r="A7" s="9" t="s">
        <v>4</v>
      </c>
      <c r="B7" s="101" t="n">
        <v>18.2621262669213</v>
      </c>
      <c r="C7" s="101" t="n">
        <v>380.1763834754098</v>
      </c>
      <c r="D7" s="101" t="n">
        <v>398.4385097423311</v>
      </c>
      <c r="E7" s="101" t="n">
        <v>0.0</v>
      </c>
      <c r="F7" s="101" t="n">
        <v>398.4385097423311</v>
      </c>
      <c r="G7" s="101" t="n">
        <v>0.0</v>
      </c>
      <c r="H7" s="101">
        <f ref="H7:H12" si="1" t="shared">SUM(B7:C7)</f>
        <v>398.43850974233112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45">
      <c r="A8" s="9" t="s">
        <v>5</v>
      </c>
      <c r="B8" s="101" t="n">
        <v>3030.5997862683007</v>
      </c>
      <c r="C8" s="101" t="n">
        <v>658.8820752531182</v>
      </c>
      <c r="D8" s="101" t="n">
        <v>3382.2576759056496</v>
      </c>
      <c r="E8" s="101" t="n">
        <v>307.2241856157691</v>
      </c>
      <c r="F8" s="101" t="n">
        <v>3639.97112402019</v>
      </c>
      <c r="G8" s="101" t="n">
        <v>49.5107375012291</v>
      </c>
      <c r="H8" s="101">
        <f si="1" t="shared"/>
        <v>3689.481861521419</v>
      </c>
      <c r="I8" s="9"/>
      <c r="J8" s="9" t="s">
        <v>5</v>
      </c>
      <c r="K8" s="9" t="n">
        <v>1644.0</v>
      </c>
      <c r="L8" s="9" t="n">
        <v>364.0</v>
      </c>
      <c r="M8" s="9" t="n">
        <v>1887.0</v>
      </c>
      <c r="N8" s="9" t="n">
        <v>121.0</v>
      </c>
      <c r="O8" s="9" t="n">
        <v>1968.0</v>
      </c>
      <c r="P8" s="9" t="n">
        <v>40.0</v>
      </c>
      <c r="Q8" s="9">
        <f si="0" t="shared"/>
        <v>2043</v>
      </c>
    </row>
    <row r="9" spans="1:17" x14ac:dyDescent="0.45">
      <c r="A9" s="9" t="s">
        <v>6</v>
      </c>
      <c r="B9" s="9" t="n">
        <v>38.8996770733335</v>
      </c>
      <c r="C9" s="9" t="n">
        <v>1116.0376767544728</v>
      </c>
      <c r="D9" s="9" t="n">
        <v>1154.9373538278064</v>
      </c>
      <c r="E9" s="9" t="n">
        <v>0.0</v>
      </c>
      <c r="F9" s="9" t="n">
        <v>1154.9373538278064</v>
      </c>
      <c r="G9" s="9" t="n">
        <v>0.0</v>
      </c>
      <c r="H9" s="9">
        <f si="1" t="shared"/>
        <v>1154.9373538278064</v>
      </c>
      <c r="I9" s="9"/>
      <c r="J9" s="9" t="s">
        <v>6</v>
      </c>
      <c r="K9" s="9" t="n">
        <v>179.0</v>
      </c>
      <c r="L9" s="9" t="n">
        <v>1174.0</v>
      </c>
      <c r="M9" s="9" t="n">
        <v>1089.0</v>
      </c>
      <c r="N9" s="9" t="n">
        <v>264.0</v>
      </c>
      <c r="O9" s="9" t="n">
        <v>1274.0</v>
      </c>
      <c r="P9" s="9" t="n">
        <v>79.0</v>
      </c>
      <c r="Q9" s="9">
        <f si="0" t="shared"/>
        <v>1349</v>
      </c>
    </row>
    <row r="10" spans="1:17" x14ac:dyDescent="0.45">
      <c r="A10" s="9" t="s">
        <v>7</v>
      </c>
      <c r="B10" s="9" t="n">
        <v>987.3993713346775</v>
      </c>
      <c r="C10" s="9" t="n">
        <v>7615.404934678154</v>
      </c>
      <c r="D10" s="9" t="n">
        <v>6703.937411202751</v>
      </c>
      <c r="E10" s="9" t="n">
        <v>1898.8668948100806</v>
      </c>
      <c r="F10" s="9" t="n">
        <v>8149.6378355993</v>
      </c>
      <c r="G10" s="9" t="n">
        <v>453.1664704135314</v>
      </c>
      <c r="H10" s="9">
        <f si="1" t="shared"/>
        <v>8602.8043060128311</v>
      </c>
      <c r="I10" s="9"/>
      <c r="J10" s="9" t="s">
        <v>7</v>
      </c>
      <c r="K10" s="9" t="n">
        <v>2079.0</v>
      </c>
      <c r="L10" s="9" t="n">
        <v>10063.0</v>
      </c>
      <c r="M10" s="9" t="n">
        <v>9252.0</v>
      </c>
      <c r="N10" s="9" t="n">
        <v>2890.0</v>
      </c>
      <c r="O10" s="9" t="n">
        <v>11497.0</v>
      </c>
      <c r="P10" s="9" t="n">
        <v>645.0</v>
      </c>
      <c r="Q10" s="9">
        <f si="0" t="shared"/>
        <v>11916</v>
      </c>
    </row>
    <row r="11" spans="1:17" x14ac:dyDescent="0.45">
      <c r="A11" s="9" t="s">
        <v>8</v>
      </c>
      <c r="B11" s="9" t="n">
        <v>35.2093368389291</v>
      </c>
      <c r="C11" s="9" t="n">
        <v>79.1912008847818</v>
      </c>
      <c r="D11" s="9" t="n">
        <v>35.2093368389291</v>
      </c>
      <c r="E11" s="9" t="n">
        <v>79.1912008847818</v>
      </c>
      <c r="F11" s="9" t="n">
        <v>114.4005377237109</v>
      </c>
      <c r="G11" s="9" t="n">
        <v>0.0</v>
      </c>
      <c r="H11" s="9">
        <f si="1" t="shared"/>
        <v>114.4005377237109</v>
      </c>
      <c r="I11" s="9"/>
      <c r="J11" s="9" t="s">
        <v>8</v>
      </c>
      <c r="K11" s="9" t="n">
        <v>0.0</v>
      </c>
      <c r="L11" s="9" t="n">
        <v>0.0</v>
      </c>
      <c r="M11" s="9" t="n">
        <v>0.0</v>
      </c>
      <c r="N11" s="9" t="n">
        <v>0.0</v>
      </c>
      <c r="O11" s="9" t="n">
        <v>0.0</v>
      </c>
      <c r="P11" s="9" t="n">
        <v>0.0</v>
      </c>
      <c r="Q11" s="9">
        <f si="0" t="shared"/>
        <v>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9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9">
        <f si="0" t="shared"/>
        <v>0</v>
      </c>
    </row>
    <row ht="14.65" r="13" spans="1:17" thickBot="1" x14ac:dyDescent="0.5">
      <c r="A13" s="83" t="s">
        <v>19</v>
      </c>
      <c r="B13" s="83">
        <f>SUM(B4:B12)</f>
        <v>10488.386264581814</v>
      </c>
      <c r="C13" s="83">
        <f ref="C13:H13" si="2" t="shared">SUM(C4:C12)</f>
        <v>250070.17766494348</v>
      </c>
      <c r="D13" s="83">
        <f si="2" t="shared"/>
        <v>213678.66102185019</v>
      </c>
      <c r="E13" s="83">
        <f si="2" t="shared"/>
        <v>46879.902907675059</v>
      </c>
      <c r="F13" s="83">
        <f si="2" t="shared"/>
        <v>256120.78790527442</v>
      </c>
      <c r="G13" s="83">
        <f si="2" t="shared"/>
        <v>4437.776024250833</v>
      </c>
      <c r="H13" s="83">
        <f si="2" t="shared"/>
        <v>260558.56392952529</v>
      </c>
      <c r="J13" s="83" t="s">
        <v>19</v>
      </c>
      <c r="K13" s="83">
        <f>SUM(K4:K12)</f>
        <v>9727</v>
      </c>
      <c r="L13" s="83">
        <f ref="L13" si="3" t="shared">SUM(L4:L12)</f>
        <v>222420</v>
      </c>
      <c r="M13" s="83">
        <f ref="M13" si="4" t="shared">SUM(M4:M12)</f>
        <v>185307</v>
      </c>
      <c r="N13" s="83">
        <f ref="N13" si="5" t="shared">SUM(N4:N12)</f>
        <v>46840</v>
      </c>
      <c r="O13" s="83">
        <f ref="O13" si="6" t="shared">SUM(O4:O12)</f>
        <v>223291</v>
      </c>
      <c r="P13" s="83">
        <f ref="P13" si="7" t="shared">SUM(P4:P12)</f>
        <v>8856</v>
      </c>
      <c r="Q13" s="83">
        <f ref="Q13" si="8" t="shared">SUM(Q4:Q12)</f>
        <v>232147</v>
      </c>
    </row>
    <row ht="14.65" r="16" spans="1:17" thickBot="1" x14ac:dyDescent="0.5">
      <c r="A16" s="1" t="s">
        <v>50</v>
      </c>
      <c r="B16" s="1"/>
      <c r="C16" s="3"/>
      <c r="D16" s="3"/>
      <c r="E16" s="3"/>
      <c r="F16" s="3"/>
      <c r="G16" s="3"/>
      <c r="H16" s="3"/>
      <c r="J16" s="1" t="s">
        <v>29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45">
      <c r="A18" s="9" t="s">
        <v>1</v>
      </c>
      <c r="B18" s="13">
        <f ref="B18:C27" si="9" t="shared">B4/$H$13</f>
        <v>1.104551160809643E-3</v>
      </c>
      <c r="C18" s="13">
        <f si="9" t="shared"/>
        <v>0.46048149193042476</v>
      </c>
      <c r="D18" s="13">
        <f ref="D18:G18" si="10" t="shared">D4/$H$13</f>
        <v>0.3914837616243414</v>
      </c>
      <c r="E18" s="13">
        <f si="10" t="shared"/>
        <v>7.0102281466893013E-2</v>
      </c>
      <c r="F18" s="13">
        <f si="10" t="shared"/>
        <v>0.44963039510886865</v>
      </c>
      <c r="G18" s="13">
        <f si="10" t="shared"/>
        <v>1.1955647982365739E-2</v>
      </c>
      <c r="H18" s="13">
        <f ref="H18:H27" si="11" t="shared">H4/$H$13</f>
        <v>0.46048149193042476</v>
      </c>
      <c r="J18" s="9" t="s">
        <v>1</v>
      </c>
      <c r="K18" s="13">
        <f ref="K18:L27" si="12" t="shared">K4/$Q$13</f>
        <v>0</v>
      </c>
      <c r="L18" s="13">
        <f si="12" t="shared"/>
        <v>0.4806006538960228</v>
      </c>
      <c r="M18" s="13">
        <f ref="M18:P18" si="13" t="shared">M4/$Q$13</f>
        <v>0.40775456930307091</v>
      </c>
      <c r="N18" s="13">
        <f si="13" t="shared"/>
        <v>7.2846084592951874E-2</v>
      </c>
      <c r="O18" s="13">
        <f si="13" t="shared"/>
        <v>0.46547661610962021</v>
      </c>
      <c r="P18" s="13">
        <f si="13" t="shared"/>
        <v>1.5124037786402582E-2</v>
      </c>
      <c r="Q18" s="13">
        <f ref="Q18:Q27" si="14" t="shared">Q4/$Q$13</f>
        <v>0.4806006538960228</v>
      </c>
    </row>
    <row r="19" spans="1:22" x14ac:dyDescent="0.45">
      <c r="A19" s="9" t="s">
        <v>2</v>
      </c>
      <c r="B19" s="13">
        <f si="9" t="shared"/>
        <v>1.6870180906154757E-2</v>
      </c>
      <c r="C19" s="13">
        <f si="9" t="shared"/>
        <v>0.29663910908682495</v>
      </c>
      <c r="D19" s="13">
        <f ref="D19:G19" si="15" t="shared">D5/$H$13</f>
        <v>0.2429256277256143</v>
      </c>
      <c r="E19" s="13">
        <f si="15" t="shared"/>
        <v>7.0583662267365441E-2</v>
      </c>
      <c r="F19" s="13">
        <f si="15" t="shared"/>
        <v>0.31057997685016347</v>
      </c>
      <c r="G19" s="13">
        <f si="15" t="shared"/>
        <v>2.9293131428162855E-3</v>
      </c>
      <c r="H19" s="13">
        <f si="11" t="shared"/>
        <v>0.31406156557338455</v>
      </c>
      <c r="J19" s="9" t="s">
        <v>2</v>
      </c>
      <c r="K19" s="13">
        <f si="12" t="shared"/>
        <v>1.5205882479635748E-2</v>
      </c>
      <c r="L19" s="13">
        <f si="12" t="shared"/>
        <v>0.2700487191305509</v>
      </c>
      <c r="M19" s="13">
        <f ref="M19:P19" si="16" t="shared">M5/$Q$13</f>
        <v>0.21359311126139902</v>
      </c>
      <c r="N19" s="13">
        <f si="16" t="shared"/>
        <v>7.1661490348787618E-2</v>
      </c>
      <c r="O19" s="13">
        <f si="16" t="shared"/>
        <v>0.26785614287498871</v>
      </c>
      <c r="P19" s="13">
        <f si="16" t="shared"/>
        <v>1.7398458735197957E-2</v>
      </c>
      <c r="Q19" s="13">
        <f si="14" t="shared"/>
        <v>0.28525460161018668</v>
      </c>
    </row>
    <row r="20" spans="1:22" x14ac:dyDescent="0.45">
      <c r="A20" s="9" t="s">
        <v>3</v>
      </c>
      <c r="B20" s="13">
        <f si="9" t="shared"/>
        <v>6.5035114058724763E-3</v>
      </c>
      <c r="C20" s="13">
        <f si="9" t="shared"/>
        <v>0.1648237088188732</v>
      </c>
      <c r="D20" s="13">
        <f ref="D20:G20" si="17" t="shared">D6/$H$13</f>
        <v>0.14086307795213551</v>
      </c>
      <c r="E20" s="13">
        <f si="17" t="shared"/>
        <v>3.0464142272610163E-2</v>
      </c>
      <c r="F20" s="13">
        <f si="17" t="shared"/>
        <v>0.17110963105570509</v>
      </c>
      <c r="G20" s="13">
        <f si="17" t="shared"/>
        <v>2.1758916904058594E-4</v>
      </c>
      <c r="H20" s="13">
        <f si="11" t="shared"/>
        <v>0.17187949580515052</v>
      </c>
      <c r="J20" s="9" t="s">
        <v>3</v>
      </c>
      <c r="K20" s="13">
        <f si="12" t="shared"/>
        <v>7.7020163947843397E-3</v>
      </c>
      <c r="L20" s="13">
        <f si="12" t="shared"/>
        <v>0.16050175104567366</v>
      </c>
      <c r="M20" s="13">
        <f ref="M20:P20" si="18" t="shared">M6/$Q$13</f>
        <v>0.12490792472011268</v>
      </c>
      <c r="N20" s="13">
        <f si="18" t="shared"/>
        <v>4.3295842720345298E-2</v>
      </c>
      <c r="O20" s="13">
        <f si="18" t="shared"/>
        <v>0.16557612202613001</v>
      </c>
      <c r="P20" s="13">
        <f si="18" t="shared"/>
        <v>2.6276454143279904E-3</v>
      </c>
      <c r="Q20" s="13">
        <f si="14" t="shared"/>
        <v>0.16820376744045798</v>
      </c>
    </row>
    <row r="21" spans="1:22" x14ac:dyDescent="0.45">
      <c r="A21" s="9" t="s">
        <v>4</v>
      </c>
      <c r="B21" s="13">
        <f si="9" t="shared"/>
        <v>7.0088374726615227E-5</v>
      </c>
      <c r="C21" s="13">
        <f si="9" t="shared"/>
        <v>1.4590822797835123E-3</v>
      </c>
      <c r="D21" s="13">
        <f ref="D21:G21" si="19" t="shared">D7/$H$13</f>
        <v>1.5291706545101276E-3</v>
      </c>
      <c r="E21" s="13">
        <f si="19" t="shared"/>
        <v>0</v>
      </c>
      <c r="F21" s="13">
        <f si="19" t="shared"/>
        <v>1.5291706545101276E-3</v>
      </c>
      <c r="G21" s="13">
        <f si="19" t="shared"/>
        <v>0</v>
      </c>
      <c r="H21" s="13">
        <f si="11" t="shared"/>
        <v>1.5291706545101276E-3</v>
      </c>
      <c r="J21" s="9" t="s">
        <v>4</v>
      </c>
      <c r="K21" s="13">
        <f si="12" t="shared"/>
        <v>0</v>
      </c>
      <c r="L21" s="13">
        <f si="12" t="shared"/>
        <v>0</v>
      </c>
      <c r="M21" s="13">
        <f ref="M21:P21" si="20" t="shared">M7/$Q$13</f>
        <v>0</v>
      </c>
      <c r="N21" s="13">
        <f si="20" t="shared"/>
        <v>0</v>
      </c>
      <c r="O21" s="13">
        <f si="20" t="shared"/>
        <v>0</v>
      </c>
      <c r="P21" s="13">
        <f si="20" t="shared"/>
        <v>0</v>
      </c>
      <c r="Q21" s="13">
        <f si="14" t="shared"/>
        <v>0</v>
      </c>
    </row>
    <row r="22" spans="1:22" x14ac:dyDescent="0.45">
      <c r="A22" s="9" t="s">
        <v>5</v>
      </c>
      <c r="B22" s="13">
        <f si="9" t="shared"/>
        <v>1.1631165525950641E-2</v>
      </c>
      <c r="C22" s="13">
        <f si="9" t="shared"/>
        <v>2.5287293010692585E-3</v>
      </c>
      <c r="D22" s="13">
        <f ref="D22:G22" si="21" t="shared">D8/$H$13</f>
        <v>1.2980796427863593E-2</v>
      </c>
      <c r="E22" s="13">
        <f si="21" t="shared"/>
        <v>1.1790983991563052E-3</v>
      </c>
      <c r="F22" s="13">
        <f si="21" t="shared"/>
        <v>1.3969877132899431E-2</v>
      </c>
      <c r="G22" s="13">
        <f si="21" t="shared"/>
        <v>1.900176941204686E-4</v>
      </c>
      <c r="H22" s="13">
        <f si="11" t="shared"/>
        <v>1.41598948270199E-2</v>
      </c>
      <c r="J22" s="9" t="s">
        <v>5</v>
      </c>
      <c r="K22" s="13">
        <f si="12" t="shared"/>
        <v>7.4478670842181892E-3</v>
      </c>
      <c r="L22" s="13">
        <f si="12" t="shared"/>
        <v>1.3525912460639164E-3</v>
      </c>
      <c r="M22" s="13">
        <f ref="M22:P22" si="22" t="shared">M8/$Q$13</f>
        <v>8.4041577104162456E-3</v>
      </c>
      <c r="N22" s="13">
        <f si="22" t="shared"/>
        <v>3.9630061986586088E-4</v>
      </c>
      <c r="O22" s="13">
        <f si="22" t="shared"/>
        <v>8.6927679444489918E-3</v>
      </c>
      <c r="P22" s="13">
        <f si="22" t="shared"/>
        <v>1.0769038583311437E-4</v>
      </c>
      <c r="Q22" s="13">
        <f si="14" t="shared"/>
        <v>8.8004583302821061E-3</v>
      </c>
    </row>
    <row r="23" spans="1:22" x14ac:dyDescent="0.45">
      <c r="A23" s="9" t="s">
        <v>6</v>
      </c>
      <c r="B23" s="13">
        <f si="9" t="shared"/>
        <v>1.4929341214766178E-4</v>
      </c>
      <c r="C23" s="13">
        <f si="9" t="shared"/>
        <v>4.2832507975302386E-3</v>
      </c>
      <c r="D23" s="13">
        <f ref="D23:G23" si="23" t="shared">D9/$H$13</f>
        <v>4.432544209677901E-3</v>
      </c>
      <c r="E23" s="13">
        <f si="23" t="shared"/>
        <v>0</v>
      </c>
      <c r="F23" s="13">
        <f si="23" t="shared"/>
        <v>4.432544209677901E-3</v>
      </c>
      <c r="G23" s="13">
        <f si="23" t="shared"/>
        <v>0</v>
      </c>
      <c r="H23" s="13">
        <f si="11" t="shared"/>
        <v>4.432544209677901E-3</v>
      </c>
      <c r="J23" s="9" t="s">
        <v>6</v>
      </c>
      <c r="K23" s="13">
        <f si="12" t="shared"/>
        <v>1.0209048576979242E-3</v>
      </c>
      <c r="L23" s="13">
        <f si="12" t="shared"/>
        <v>4.790068361856927E-3</v>
      </c>
      <c r="M23" s="13">
        <f ref="M23:P23" si="24" t="shared">M9/$Q$13</f>
        <v>4.6306865908239177E-3</v>
      </c>
      <c r="N23" s="13">
        <f si="24" t="shared"/>
        <v>1.1802866287309334E-3</v>
      </c>
      <c r="O23" s="13">
        <f si="24" t="shared"/>
        <v>5.4792868311888589E-3</v>
      </c>
      <c r="P23" s="13">
        <f si="24" t="shared"/>
        <v>3.3168638836599223E-4</v>
      </c>
      <c r="Q23" s="13">
        <f si="14" t="shared"/>
        <v>5.8109732195548514E-3</v>
      </c>
    </row>
    <row r="24" spans="1:22" x14ac:dyDescent="0.45">
      <c r="A24" s="9" t="s">
        <v>7</v>
      </c>
      <c r="B24" s="13">
        <f si="9" t="shared"/>
        <v>3.7895487158186246E-3</v>
      </c>
      <c r="C24" s="13">
        <f si="9" t="shared"/>
        <v>2.9227229455938874E-2</v>
      </c>
      <c r="D24" s="13">
        <f ref="D24:G24" si="25" t="shared">D10/$H$13</f>
        <v>2.5729100245639985E-2</v>
      </c>
      <c r="E24" s="13">
        <f si="25" t="shared"/>
        <v>7.2876779261175136E-3</v>
      </c>
      <c r="F24" s="13">
        <f si="25" t="shared"/>
        <v>3.127756659651984E-2</v>
      </c>
      <c r="G24" s="13">
        <f si="25" t="shared"/>
        <v>1.7392115752376568E-3</v>
      </c>
      <c r="H24" s="13">
        <f si="11" t="shared"/>
        <v>3.3016778171757501E-2</v>
      </c>
      <c r="J24" s="9" t="s">
        <v>7</v>
      </c>
      <c r="K24" s="13">
        <f si="12" t="shared"/>
        <v>1.0523504503611936E-2</v>
      </c>
      <c r="L24" s="13">
        <f si="12" t="shared"/>
        <v>4.0806040999883691E-2</v>
      </c>
      <c r="M24" s="13">
        <f ref="M24:P24" si="26" t="shared">M10/$Q$13</f>
        <v>3.8940843517254152E-2</v>
      </c>
      <c r="N24" s="13">
        <f si="26" t="shared"/>
        <v>1.2388701986241476E-2</v>
      </c>
      <c r="O24" s="13">
        <f si="26" t="shared"/>
        <v>4.8770821936100835E-2</v>
      </c>
      <c r="P24" s="13">
        <f si="26" t="shared"/>
        <v>2.5587235673947971E-3</v>
      </c>
      <c r="Q24" s="13">
        <f si="14" t="shared"/>
        <v>5.1329545503495631E-2</v>
      </c>
    </row>
    <row r="25" spans="1:22" x14ac:dyDescent="0.45">
      <c r="A25" s="9" t="s">
        <v>8</v>
      </c>
      <c r="B25" s="13">
        <f si="9" t="shared"/>
        <v>1.3513022296381846E-4</v>
      </c>
      <c r="C25" s="13">
        <f si="9" t="shared"/>
        <v>3.0392860511083055E-4</v>
      </c>
      <c r="D25" s="13">
        <f ref="D25:G26" si="27" t="shared">D11/$H$13</f>
        <v>1.3513022296381846E-4</v>
      </c>
      <c r="E25" s="13">
        <f si="27" t="shared"/>
        <v>3.0392860511083055E-4</v>
      </c>
      <c r="F25" s="13">
        <f si="27" t="shared"/>
        <v>4.3905882807464904E-4</v>
      </c>
      <c r="G25" s="13">
        <f si="27" t="shared"/>
        <v>0</v>
      </c>
      <c r="H25" s="13">
        <f si="11" t="shared"/>
        <v>4.3905882807464904E-4</v>
      </c>
      <c r="J25" s="9" t="s">
        <v>8</v>
      </c>
      <c r="K25" s="13">
        <f si="12" t="shared"/>
        <v>0</v>
      </c>
      <c r="L25" s="13">
        <f si="12" t="shared"/>
        <v>0</v>
      </c>
      <c r="M25" s="13">
        <f ref="M25:P26" si="28" t="shared">M11/$Q$13</f>
        <v>0</v>
      </c>
      <c r="N25" s="13">
        <f si="28" t="shared"/>
        <v>0</v>
      </c>
      <c r="O25" s="13">
        <f si="28" t="shared"/>
        <v>0</v>
      </c>
      <c r="P25" s="13">
        <f si="28" t="shared"/>
        <v>0</v>
      </c>
      <c r="Q25" s="13">
        <f si="14" t="shared"/>
        <v>0</v>
      </c>
    </row>
    <row r="26" spans="1:22" x14ac:dyDescent="0.4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4.65" r="27" spans="1:22" thickBot="1" x14ac:dyDescent="0.5">
      <c r="A27" s="83" t="s">
        <v>19</v>
      </c>
      <c r="B27" s="86">
        <f si="9" t="shared"/>
        <v>4.0253469724444234E-2</v>
      </c>
      <c r="C27" s="86">
        <f si="9" t="shared"/>
        <v>0.95974653027555579</v>
      </c>
      <c r="D27" s="86">
        <f ref="D27:G27" si="29" t="shared">D13/$H$13</f>
        <v>0.82007920906274656</v>
      </c>
      <c r="E27" s="86">
        <f si="29" t="shared"/>
        <v>0.17992079093725327</v>
      </c>
      <c r="F27" s="86">
        <f si="29" t="shared"/>
        <v>0.98296822043641918</v>
      </c>
      <c r="G27" s="86">
        <f si="29" t="shared"/>
        <v>1.7031779563580735E-2</v>
      </c>
      <c r="H27" s="86">
        <f si="11" t="shared"/>
        <v>1</v>
      </c>
      <c r="J27" s="83" t="s">
        <v>19</v>
      </c>
      <c r="K27" s="86">
        <f si="12" t="shared"/>
        <v>4.1900175319948135E-2</v>
      </c>
      <c r="L27" s="86">
        <f si="12" t="shared"/>
        <v>0.95809982468005184</v>
      </c>
      <c r="M27" s="86">
        <f ref="M27:P27" si="30" t="shared">M13/$Q$13</f>
        <v>0.79823129310307694</v>
      </c>
      <c r="N27" s="86">
        <f si="30" t="shared"/>
        <v>0.20176870689692308</v>
      </c>
      <c r="O27" s="86">
        <f si="30" t="shared"/>
        <v>0.96185175772247755</v>
      </c>
      <c r="P27" s="86">
        <f si="30" t="shared"/>
        <v>3.8148242277522434E-2</v>
      </c>
      <c r="Q27" s="86">
        <f si="14" t="shared"/>
        <v>1</v>
      </c>
    </row>
    <row ht="14.65" r="30" spans="1:22" thickBot="1" x14ac:dyDescent="0.5">
      <c r="J30" s="1" t="s">
        <v>30</v>
      </c>
      <c r="K30" s="1"/>
      <c r="L30" s="3"/>
      <c r="M30" s="3"/>
      <c r="N30" s="3"/>
      <c r="O30" s="3"/>
      <c r="P30" s="3"/>
      <c r="Q30" s="3"/>
      <c r="S30" s="15" t="s">
        <v>38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31" t="shared">K18-B18</f>
        <v>-1.104551160809643E-3</v>
      </c>
      <c r="L32" s="13">
        <f ref="L32:L40" si="32" t="shared">L18-C18</f>
        <v>2.0119161965598042E-2</v>
      </c>
      <c r="M32" s="13">
        <f ref="M32:M40" si="33" t="shared">M18-D18</f>
        <v>1.6270807678729515E-2</v>
      </c>
      <c r="N32" s="13">
        <f ref="N32:N40" si="34" t="shared">N18-E18</f>
        <v>2.7438031260588608E-3</v>
      </c>
      <c r="O32" s="13">
        <f ref="O32:O40" si="35" t="shared">O18-F18</f>
        <v>1.5846221000751559E-2</v>
      </c>
      <c r="P32" s="13">
        <f ref="P32:P40" si="36" t="shared">P18-G18</f>
        <v>3.1683898040368429E-3</v>
      </c>
      <c r="Q32" s="13">
        <f ref="Q32:Q40" si="37" t="shared">Q18-H18</f>
        <v>2.0119161965598042E-2</v>
      </c>
      <c r="S32" s="82" t="s">
        <v>1</v>
      </c>
      <c r="T32" s="87">
        <f ref="T32:T40" si="38" t="shared">H18</f>
        <v>0.46048149193042476</v>
      </c>
      <c r="U32" s="87">
        <f ref="U32:U40" si="39" t="shared">Q18</f>
        <v>0.4806006538960228</v>
      </c>
      <c r="V32" s="87">
        <f>U32-T32</f>
        <v>2.0119161965598042E-2</v>
      </c>
    </row>
    <row r="33" spans="10:22" x14ac:dyDescent="0.45">
      <c r="J33" s="9" t="s">
        <v>2</v>
      </c>
      <c r="K33" s="13">
        <f si="31" t="shared"/>
        <v>-1.6642984265190092E-3</v>
      </c>
      <c r="L33" s="13">
        <f si="32" t="shared"/>
        <v>-2.6590389956274052E-2</v>
      </c>
      <c r="M33" s="13">
        <f si="33" t="shared"/>
        <v>-2.933251646421528E-2</v>
      </c>
      <c r="N33" s="13">
        <f si="34" t="shared"/>
        <v>1.0778280814221775E-3</v>
      </c>
      <c r="O33" s="13">
        <f si="35" t="shared"/>
        <v>-4.2723833975174763E-2</v>
      </c>
      <c r="P33" s="13">
        <f si="36" t="shared"/>
        <v>1.4469145592381671E-2</v>
      </c>
      <c r="Q33" s="13">
        <f si="37" t="shared"/>
        <v>-2.8806963963197874E-2</v>
      </c>
      <c r="S33" s="84" t="s">
        <v>2</v>
      </c>
      <c r="T33" s="85">
        <f si="38" t="shared"/>
        <v>0.31406156557338455</v>
      </c>
      <c r="U33" s="85">
        <f si="39" t="shared"/>
        <v>0.28525460161018668</v>
      </c>
      <c r="V33" s="85">
        <f ref="V33:V41" si="40" t="shared">U33-T33</f>
        <v>-2.8806963963197874E-2</v>
      </c>
    </row>
    <row r="34" spans="10:22" x14ac:dyDescent="0.45">
      <c r="J34" s="9" t="s">
        <v>3</v>
      </c>
      <c r="K34" s="13">
        <f si="31" t="shared"/>
        <v>1.1985049889118634E-3</v>
      </c>
      <c r="L34" s="13">
        <f si="32" t="shared"/>
        <v>-4.3219577731995473E-3</v>
      </c>
      <c r="M34" s="13">
        <f si="33" t="shared"/>
        <v>-1.5955153232022831E-2</v>
      </c>
      <c r="N34" s="13">
        <f si="34" t="shared"/>
        <v>1.2831700447735135E-2</v>
      </c>
      <c r="O34" s="13">
        <f si="35" t="shared"/>
        <v>-5.5335090295750844E-3</v>
      </c>
      <c r="P34" s="13">
        <f si="36" t="shared"/>
        <v>2.4100562452874044E-3</v>
      </c>
      <c r="Q34" s="13">
        <f si="37" t="shared"/>
        <v>-3.6757283646925432E-3</v>
      </c>
      <c r="S34" s="17" t="s">
        <v>3</v>
      </c>
      <c r="T34" s="88">
        <f si="38" t="shared"/>
        <v>0.17187949580515052</v>
      </c>
      <c r="U34" s="88">
        <f si="39" t="shared"/>
        <v>0.16820376744045798</v>
      </c>
      <c r="V34" s="88">
        <f si="40" t="shared"/>
        <v>-3.6757283646925432E-3</v>
      </c>
    </row>
    <row r="35" spans="10:22" x14ac:dyDescent="0.45">
      <c r="J35" s="9" t="s">
        <v>4</v>
      </c>
      <c r="K35" s="13">
        <f si="31" t="shared"/>
        <v>-7.0088374726615227E-5</v>
      </c>
      <c r="L35" s="13">
        <f si="32" t="shared"/>
        <v>-1.4590822797835123E-3</v>
      </c>
      <c r="M35" s="13">
        <f si="33" t="shared"/>
        <v>-1.5291706545101276E-3</v>
      </c>
      <c r="N35" s="13">
        <f si="34" t="shared"/>
        <v>0</v>
      </c>
      <c r="O35" s="13">
        <f si="35" t="shared"/>
        <v>-1.5291706545101276E-3</v>
      </c>
      <c r="P35" s="13">
        <f si="36" t="shared"/>
        <v>0</v>
      </c>
      <c r="Q35" s="13">
        <f si="37" t="shared"/>
        <v>-1.5291706545101276E-3</v>
      </c>
      <c r="S35" s="84" t="s">
        <v>4</v>
      </c>
      <c r="T35" s="85">
        <f si="38" t="shared"/>
        <v>1.5291706545101276E-3</v>
      </c>
      <c r="U35" s="85">
        <f si="39" t="shared"/>
        <v>0</v>
      </c>
      <c r="V35" s="85">
        <f si="40" t="shared"/>
        <v>-1.5291706545101276E-3</v>
      </c>
    </row>
    <row r="36" spans="10:22" x14ac:dyDescent="0.45">
      <c r="J36" s="9" t="s">
        <v>5</v>
      </c>
      <c r="K36" s="13">
        <f si="31" t="shared"/>
        <v>-4.1832984417324521E-3</v>
      </c>
      <c r="L36" s="13">
        <f si="32" t="shared"/>
        <v>-1.176138055005342E-3</v>
      </c>
      <c r="M36" s="13">
        <f si="33" t="shared"/>
        <v>-4.5766387174473473E-3</v>
      </c>
      <c r="N36" s="13">
        <f si="34" t="shared"/>
        <v>-7.8279777929044425E-4</v>
      </c>
      <c r="O36" s="13">
        <f si="35" t="shared"/>
        <v>-5.2771091884504396E-3</v>
      </c>
      <c r="P36" s="13">
        <f si="36" t="shared"/>
        <v>-8.2327308287354236E-5</v>
      </c>
      <c r="Q36" s="13">
        <f si="37" t="shared"/>
        <v>-5.3594364967377937E-3</v>
      </c>
      <c r="S36" s="17" t="s">
        <v>5</v>
      </c>
      <c r="T36" s="88">
        <f si="38" t="shared"/>
        <v>1.41598948270199E-2</v>
      </c>
      <c r="U36" s="88">
        <f si="39" t="shared"/>
        <v>8.8004583302821061E-3</v>
      </c>
      <c r="V36" s="88">
        <f si="40" t="shared"/>
        <v>-5.3594364967377937E-3</v>
      </c>
    </row>
    <row r="37" spans="10:22" x14ac:dyDescent="0.45">
      <c r="J37" s="9" t="s">
        <v>6</v>
      </c>
      <c r="K37" s="13">
        <f si="31" t="shared"/>
        <v>8.7161144555026238E-4</v>
      </c>
      <c r="L37" s="13">
        <f si="32" t="shared"/>
        <v>5.0681756432668836E-4</v>
      </c>
      <c r="M37" s="13">
        <f si="33" t="shared"/>
        <v>1.9814238114601677E-4</v>
      </c>
      <c r="N37" s="13">
        <f si="34" t="shared"/>
        <v>1.1802866287309334E-3</v>
      </c>
      <c r="O37" s="13">
        <f si="35" t="shared"/>
        <v>1.046742621510958E-3</v>
      </c>
      <c r="P37" s="13">
        <f si="36" t="shared"/>
        <v>3.3168638836599223E-4</v>
      </c>
      <c r="Q37" s="13">
        <f si="37" t="shared"/>
        <v>1.3784290098769504E-3</v>
      </c>
      <c r="S37" s="84" t="s">
        <v>6</v>
      </c>
      <c r="T37" s="85">
        <f si="38" t="shared"/>
        <v>4.432544209677901E-3</v>
      </c>
      <c r="U37" s="85">
        <f si="39" t="shared"/>
        <v>5.8109732195548514E-3</v>
      </c>
      <c r="V37" s="85">
        <f si="40" t="shared"/>
        <v>1.3784290098769504E-3</v>
      </c>
    </row>
    <row r="38" spans="10:22" x14ac:dyDescent="0.45">
      <c r="J38" s="9" t="s">
        <v>7</v>
      </c>
      <c r="K38" s="13">
        <f si="31" t="shared"/>
        <v>6.7339557877933113E-3</v>
      </c>
      <c r="L38" s="13">
        <f si="32" t="shared"/>
        <v>1.1578811543944818E-2</v>
      </c>
      <c r="M38" s="13">
        <f si="33" t="shared"/>
        <v>1.3211743271614167E-2</v>
      </c>
      <c r="N38" s="13">
        <f si="34" t="shared"/>
        <v>5.1010240601239622E-3</v>
      </c>
      <c r="O38" s="13">
        <f si="35" t="shared"/>
        <v>1.7493255339580994E-2</v>
      </c>
      <c r="P38" s="13">
        <f si="36" t="shared"/>
        <v>8.1951199215714028E-4</v>
      </c>
      <c r="Q38" s="13">
        <f si="37" t="shared"/>
        <v>1.8312767331738131E-2</v>
      </c>
      <c r="S38" s="17" t="s">
        <v>7</v>
      </c>
      <c r="T38" s="88">
        <f si="38" t="shared"/>
        <v>3.3016778171757501E-2</v>
      </c>
      <c r="U38" s="88">
        <f si="39" t="shared"/>
        <v>5.1329545503495631E-2</v>
      </c>
      <c r="V38" s="88">
        <f si="40" t="shared"/>
        <v>1.8312767331738131E-2</v>
      </c>
    </row>
    <row r="39" spans="10:22" x14ac:dyDescent="0.45">
      <c r="J39" s="9" t="s">
        <v>8</v>
      </c>
      <c r="K39" s="13">
        <f si="31" t="shared"/>
        <v>-1.3513022296381846E-4</v>
      </c>
      <c r="L39" s="13">
        <f si="32" t="shared"/>
        <v>-3.0392860511083055E-4</v>
      </c>
      <c r="M39" s="13">
        <f si="33" t="shared"/>
        <v>-1.3513022296381846E-4</v>
      </c>
      <c r="N39" s="13">
        <f si="34" t="shared"/>
        <v>-3.0392860511083055E-4</v>
      </c>
      <c r="O39" s="13">
        <f si="35" t="shared"/>
        <v>-4.3905882807464904E-4</v>
      </c>
      <c r="P39" s="13">
        <f si="36" t="shared"/>
        <v>0</v>
      </c>
      <c r="Q39" s="13">
        <f si="37" t="shared"/>
        <v>-4.3905882807464904E-4</v>
      </c>
      <c r="S39" s="84" t="s">
        <v>8</v>
      </c>
      <c r="T39" s="85">
        <f si="38" t="shared"/>
        <v>4.3905882807464904E-4</v>
      </c>
      <c r="U39" s="85">
        <f si="39" t="shared"/>
        <v>0</v>
      </c>
      <c r="V39" s="85">
        <f si="40" t="shared"/>
        <v>-4.3905882807464904E-4</v>
      </c>
    </row>
    <row r="40" spans="10:22" x14ac:dyDescent="0.4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89">
        <f si="38" t="shared"/>
        <v>0</v>
      </c>
      <c r="U40" s="89">
        <f si="39" t="shared"/>
        <v>0</v>
      </c>
      <c r="V40" s="89">
        <f ref="V40" si="41" t="shared">U40-T40</f>
        <v>0</v>
      </c>
    </row>
    <row ht="14.65" r="41" spans="10:22" thickBot="1" x14ac:dyDescent="0.5">
      <c r="J41" s="83" t="s">
        <v>19</v>
      </c>
      <c r="K41" s="86">
        <f ref="K41" si="42" t="shared">K27-B27</f>
        <v>1.6467055955039014E-3</v>
      </c>
      <c r="L41" s="86">
        <f ref="L41" si="43" t="shared">L27-C27</f>
        <v>-1.64670559550395E-3</v>
      </c>
      <c r="M41" s="86">
        <f ref="M41" si="44" t="shared">M27-D27</f>
        <v>-2.1847915959669617E-2</v>
      </c>
      <c r="N41" s="86">
        <f ref="N41" si="45" t="shared">N27-E27</f>
        <v>2.1847915959669811E-2</v>
      </c>
      <c r="O41" s="86">
        <f ref="O41" si="46" t="shared">O27-F27</f>
        <v>-2.1116462713941631E-2</v>
      </c>
      <c r="P41" s="86">
        <f ref="P41" si="47" t="shared">P27-G27</f>
        <v>2.11164627139417E-2</v>
      </c>
      <c r="Q41" s="86">
        <f ref="Q41" si="48" t="shared">Q27-H27</f>
        <v>0</v>
      </c>
      <c r="S41" s="90" t="s">
        <v>19</v>
      </c>
      <c r="T41" s="91">
        <f ref="T41" si="49" t="shared">H27</f>
        <v>1</v>
      </c>
      <c r="U41" s="91">
        <f ref="U41" si="50" t="shared">Q27</f>
        <v>1</v>
      </c>
      <c r="V41" s="91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41"/>
  <sheetViews>
    <sheetView topLeftCell="E1" workbookViewId="0">
      <selection activeCell="Q11" sqref="Q11:Q12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51</v>
      </c>
      <c r="B2" s="1"/>
      <c r="C2" s="3"/>
      <c r="D2" s="3"/>
      <c r="E2" s="3"/>
      <c r="F2" s="3"/>
      <c r="G2" s="3"/>
      <c r="H2" s="3"/>
      <c r="J2" s="1" t="s">
        <v>15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364.9818326639305</v>
      </c>
      <c r="C4" s="9" t="n">
        <v>91604.87675671004</v>
      </c>
      <c r="D4" s="9" t="n">
        <v>78944.19499332012</v>
      </c>
      <c r="E4" s="9" t="n">
        <v>13025.663596053839</v>
      </c>
      <c r="F4" s="9" t="n">
        <v>90420.66897495919</v>
      </c>
      <c r="G4" s="9" t="n">
        <v>1549.1896144147838</v>
      </c>
      <c r="H4" s="9">
        <f>SUM(B4:C4)-B4</f>
        <v>91604.876756710044</v>
      </c>
      <c r="I4" s="9"/>
      <c r="J4" s="9" t="s">
        <v>1</v>
      </c>
      <c r="K4" s="9" t="n">
        <v>0.0</v>
      </c>
      <c r="L4" s="9" t="n">
        <v>73165.0</v>
      </c>
      <c r="M4" s="9" t="n">
        <v>63213.0</v>
      </c>
      <c r="N4" s="9" t="n">
        <v>9952.0</v>
      </c>
      <c r="O4" s="9" t="n">
        <v>71129.0</v>
      </c>
      <c r="P4" s="9" t="n">
        <v>2036.0</v>
      </c>
      <c r="Q4" s="9">
        <f>SUM(K4:L4)</f>
        <v>72248</v>
      </c>
    </row>
    <row r="5" spans="1:17" x14ac:dyDescent="0.45">
      <c r="A5" s="9" t="s">
        <v>2</v>
      </c>
      <c r="B5" s="9" t="n">
        <v>1872.884852875101</v>
      </c>
      <c r="C5" s="9" t="n">
        <v>53943.1135262392</v>
      </c>
      <c r="D5" s="9" t="n">
        <v>35043.56012941918</v>
      </c>
      <c r="E5" s="9" t="n">
        <v>20772.438249695122</v>
      </c>
      <c r="F5" s="9" t="n">
        <v>51761.454224192006</v>
      </c>
      <c r="G5" s="9" t="n">
        <v>4054.5441549222965</v>
      </c>
      <c r="H5" s="9">
        <f>SUM(B5:C5)+0.5*B4</f>
        <v>55998.48929544627</v>
      </c>
      <c r="I5" s="9"/>
      <c r="J5" s="9" t="s">
        <v>2</v>
      </c>
      <c r="K5" s="9" t="n">
        <v>2440.0</v>
      </c>
      <c r="L5" s="9" t="n">
        <v>39808.0</v>
      </c>
      <c r="M5" s="9" t="n">
        <v>32007.0</v>
      </c>
      <c r="N5" s="9" t="n">
        <v>10241.0</v>
      </c>
      <c r="O5" s="9" t="n">
        <v>39824.0</v>
      </c>
      <c r="P5" s="9" t="n">
        <v>2424.0</v>
      </c>
      <c r="Q5" s="9">
        <f ref="Q5:Q12" si="0" t="shared">SUM(K5:L5)</f>
        <v>42505</v>
      </c>
    </row>
    <row r="6" spans="1:17" x14ac:dyDescent="0.45">
      <c r="A6" s="9" t="s">
        <v>3</v>
      </c>
      <c r="B6" s="9" t="n">
        <v>1254.6658343709867</v>
      </c>
      <c r="C6" s="9" t="n">
        <v>17850.13592327696</v>
      </c>
      <c r="D6" s="9" t="n">
        <v>15172.94980289854</v>
      </c>
      <c r="E6" s="9" t="n">
        <v>3931.8519547494093</v>
      </c>
      <c r="F6" s="9" t="n">
        <v>18846.097581514237</v>
      </c>
      <c r="G6" s="9" t="n">
        <v>258.7041761337107</v>
      </c>
      <c r="H6" s="9">
        <f>SUM(B6:C6)+0.5*B4</f>
        <v>19287.292673979911</v>
      </c>
      <c r="I6" s="9"/>
      <c r="J6" s="9" t="s">
        <v>3</v>
      </c>
      <c r="K6" s="9" t="n">
        <v>1065.0</v>
      </c>
      <c r="L6" s="9" t="n">
        <v>23269.0</v>
      </c>
      <c r="M6" s="9" t="n">
        <v>18161.0</v>
      </c>
      <c r="N6" s="9" t="n">
        <v>6173.0</v>
      </c>
      <c r="O6" s="9" t="n">
        <v>24029.0</v>
      </c>
      <c r="P6" s="9" t="n">
        <v>305.0</v>
      </c>
      <c r="Q6" s="9">
        <f si="0" t="shared"/>
        <v>24543</v>
      </c>
    </row>
    <row r="7" spans="1:17" x14ac:dyDescent="0.45">
      <c r="A7" s="9" t="s">
        <v>4</v>
      </c>
      <c r="B7" s="9" t="n">
        <v>99.9384762495672</v>
      </c>
      <c r="C7" s="9" t="n">
        <v>97.9638059664757</v>
      </c>
      <c r="D7" s="9" t="n">
        <v>99.9384762495672</v>
      </c>
      <c r="E7" s="9" t="n">
        <v>97.9638059664757</v>
      </c>
      <c r="F7" s="9" t="n">
        <v>99.9384762495672</v>
      </c>
      <c r="G7" s="9" t="n">
        <v>97.9638059664757</v>
      </c>
      <c r="H7" s="9">
        <f ref="H7:H12" si="1" t="shared">SUM(B7:C7)</f>
        <v>197.90228221604292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45">
      <c r="A8" s="9" t="s">
        <v>5</v>
      </c>
      <c r="B8" s="9" t="n">
        <v>2606.6786932143063</v>
      </c>
      <c r="C8" s="9" t="n">
        <v>371.4595069502509</v>
      </c>
      <c r="D8" s="9" t="n">
        <v>2917.1070247240946</v>
      </c>
      <c r="E8" s="9" t="n">
        <v>61.0311754404629</v>
      </c>
      <c r="F8" s="9" t="n">
        <v>2978.1382001645575</v>
      </c>
      <c r="G8" s="9" t="n">
        <v>0.0</v>
      </c>
      <c r="H8" s="9">
        <f si="1" t="shared"/>
        <v>2978.138200164557</v>
      </c>
      <c r="I8" s="9"/>
      <c r="J8" s="9" t="s">
        <v>5</v>
      </c>
      <c r="K8" s="9" t="n">
        <v>1068.0</v>
      </c>
      <c r="L8" s="9" t="n">
        <v>117.0</v>
      </c>
      <c r="M8" s="9" t="n">
        <v>1151.0</v>
      </c>
      <c r="N8" s="9" t="n">
        <v>34.0</v>
      </c>
      <c r="O8" s="9" t="n">
        <v>1176.0</v>
      </c>
      <c r="P8" s="9" t="n">
        <v>9.0</v>
      </c>
      <c r="Q8" s="9">
        <f si="0" t="shared"/>
        <v>1317</v>
      </c>
    </row>
    <row r="9" spans="1:17" x14ac:dyDescent="0.45">
      <c r="A9" s="9" t="s">
        <v>6</v>
      </c>
      <c r="B9" s="9" t="n">
        <v>363.74068449544137</v>
      </c>
      <c r="C9" s="9" t="n">
        <v>284.5490026183835</v>
      </c>
      <c r="D9" s="9" t="n">
        <v>595.6566482095847</v>
      </c>
      <c r="E9" s="9" t="n">
        <v>52.6330389042402</v>
      </c>
      <c r="F9" s="9" t="n">
        <v>648.2896871138249</v>
      </c>
      <c r="G9" s="9" t="n">
        <v>0.0</v>
      </c>
      <c r="H9" s="9">
        <f si="1" t="shared"/>
        <v>648.28968711382481</v>
      </c>
      <c r="I9" s="9"/>
      <c r="J9" s="9" t="s">
        <v>6</v>
      </c>
      <c r="K9" s="9" t="n">
        <v>145.0</v>
      </c>
      <c r="L9" s="9" t="n">
        <v>737.0</v>
      </c>
      <c r="M9" s="9" t="n">
        <v>707.0</v>
      </c>
      <c r="N9" s="9" t="n">
        <v>175.0</v>
      </c>
      <c r="O9" s="9" t="n">
        <v>841.0</v>
      </c>
      <c r="P9" s="9" t="n">
        <v>41.0</v>
      </c>
      <c r="Q9" s="9">
        <f si="0" t="shared"/>
        <v>816</v>
      </c>
    </row>
    <row r="10" spans="1:17" x14ac:dyDescent="0.45">
      <c r="A10" s="9" t="s">
        <v>7</v>
      </c>
      <c r="B10" s="9" t="n">
        <v>1330.2330627159222</v>
      </c>
      <c r="C10" s="9" t="n">
        <v>3240.8827228087976</v>
      </c>
      <c r="D10" s="9" t="n">
        <v>2410.48313020295</v>
      </c>
      <c r="E10" s="9" t="n">
        <v>2160.632655321769</v>
      </c>
      <c r="F10" s="9" t="n">
        <v>4007.675195161596</v>
      </c>
      <c r="G10" s="9" t="n">
        <v>563.4405903631232</v>
      </c>
      <c r="H10" s="9">
        <f si="1" t="shared"/>
        <v>4571.1157855247202</v>
      </c>
      <c r="I10" s="9"/>
      <c r="J10" s="9" t="s">
        <v>7</v>
      </c>
      <c r="K10" s="9" t="n">
        <v>1537.0</v>
      </c>
      <c r="L10" s="9" t="n">
        <v>4150.0</v>
      </c>
      <c r="M10" s="9" t="n">
        <v>4266.0</v>
      </c>
      <c r="N10" s="9" t="n">
        <v>1421.0</v>
      </c>
      <c r="O10" s="9" t="n">
        <v>5396.0</v>
      </c>
      <c r="P10" s="9" t="n">
        <v>291.0</v>
      </c>
      <c r="Q10" s="9">
        <f si="0" t="shared"/>
        <v>5577</v>
      </c>
    </row>
    <row r="11" spans="1:17" x14ac:dyDescent="0.45">
      <c r="A11" s="9" t="s">
        <v>8</v>
      </c>
      <c r="B11" s="9" t="n">
        <v>0.0</v>
      </c>
      <c r="C11" s="9" t="n">
        <v>0.0</v>
      </c>
      <c r="D11" s="9" t="n">
        <v>0.0</v>
      </c>
      <c r="E11" s="9" t="n">
        <v>0.0</v>
      </c>
      <c r="F11" s="9" t="n">
        <v>0.0</v>
      </c>
      <c r="G11" s="9" t="n">
        <v>0.0</v>
      </c>
      <c r="H11" s="9">
        <f si="1" t="shared"/>
        <v>0</v>
      </c>
      <c r="I11" s="9"/>
      <c r="J11" s="9" t="s">
        <v>8</v>
      </c>
      <c r="K11" s="9" t="n">
        <v>0.0</v>
      </c>
      <c r="L11" s="9" t="n">
        <v>0.0</v>
      </c>
      <c r="M11" s="9" t="n">
        <v>0.0</v>
      </c>
      <c r="N11" s="9" t="n">
        <v>0.0</v>
      </c>
      <c r="O11" s="9" t="n">
        <v>0.0</v>
      </c>
      <c r="P11" s="9" t="n">
        <v>0.0</v>
      </c>
      <c r="Q11" s="9">
        <f si="0" t="shared"/>
        <v>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9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9">
        <f si="0" t="shared"/>
        <v>0</v>
      </c>
    </row>
    <row ht="14.65" r="13" spans="1:17" thickBot="1" x14ac:dyDescent="0.5">
      <c r="A13" s="83" t="s">
        <v>19</v>
      </c>
      <c r="B13" s="83">
        <f>SUM(B4:B12)</f>
        <v>7893.1234365852542</v>
      </c>
      <c r="C13" s="83">
        <f ref="C13:H13" si="2" t="shared">SUM(C4:C12)</f>
        <v>167392.98124457011</v>
      </c>
      <c r="D13" s="83">
        <f si="2" t="shared"/>
        <v>135183.89020502401</v>
      </c>
      <c r="E13" s="83">
        <f si="2" t="shared"/>
        <v>40102.21447613131</v>
      </c>
      <c r="F13" s="83">
        <f si="2" t="shared"/>
        <v>168762.26233935502</v>
      </c>
      <c r="G13" s="83">
        <f si="2" t="shared"/>
        <v>6523.8423418003895</v>
      </c>
      <c r="H13" s="83">
        <f si="2" t="shared"/>
        <v>175286.10468115538</v>
      </c>
      <c r="J13" s="83" t="s">
        <v>19</v>
      </c>
      <c r="K13" s="83">
        <f>SUM(K4:K12)</f>
        <v>7226</v>
      </c>
      <c r="L13" s="83">
        <f ref="L13" si="3" t="shared">SUM(L4:L12)</f>
        <v>139780</v>
      </c>
      <c r="M13" s="83">
        <f ref="M13" si="4" t="shared">SUM(M4:M12)</f>
        <v>117767</v>
      </c>
      <c r="N13" s="83">
        <f ref="N13" si="5" t="shared">SUM(N4:N12)</f>
        <v>29239</v>
      </c>
      <c r="O13" s="83">
        <f ref="O13" si="6" t="shared">SUM(O4:O12)</f>
        <v>141526</v>
      </c>
      <c r="P13" s="83">
        <f ref="P13" si="7" t="shared">SUM(P4:P12)</f>
        <v>5480</v>
      </c>
      <c r="Q13" s="83">
        <f ref="Q13" si="8" t="shared">SUM(Q4:Q12)</f>
        <v>147006</v>
      </c>
    </row>
    <row ht="14.65" r="16" spans="1:17" thickBot="1" x14ac:dyDescent="0.5">
      <c r="A16" s="1" t="s">
        <v>51</v>
      </c>
      <c r="B16" s="1"/>
      <c r="C16" s="3"/>
      <c r="D16" s="3"/>
      <c r="E16" s="3"/>
      <c r="F16" s="3"/>
      <c r="G16" s="3"/>
      <c r="H16" s="3"/>
      <c r="J16" s="1" t="s">
        <v>15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45">
      <c r="A18" s="9" t="s">
        <v>1</v>
      </c>
      <c r="B18" s="13">
        <f ref="B18:C27" si="9" t="shared">B4/$H$13</f>
        <v>2.0822063068138275E-3</v>
      </c>
      <c r="C18" s="13">
        <f si="9" t="shared"/>
        <v>0.52260204494440043</v>
      </c>
      <c r="D18" s="13">
        <f ref="D18:G18" si="10" t="shared">D4/$H$13</f>
        <v>0.4503733774957191</v>
      </c>
      <c r="E18" s="13">
        <f si="10" t="shared"/>
        <v>7.431087375549511E-2</v>
      </c>
      <c r="F18" s="13">
        <f si="10" t="shared"/>
        <v>0.51584618837547891</v>
      </c>
      <c r="G18" s="13">
        <f si="10" t="shared"/>
        <v>8.8380628757353738E-3</v>
      </c>
      <c r="H18" s="13">
        <f ref="H18:H27" si="11" t="shared">H4/$H$13</f>
        <v>0.52260204494440043</v>
      </c>
      <c r="J18" s="9" t="s">
        <v>1</v>
      </c>
      <c r="K18" s="13">
        <f ref="K18:L27" si="12" t="shared">K4/$Q$13</f>
        <v>0</v>
      </c>
      <c r="L18" s="13">
        <f si="12" t="shared"/>
        <v>0.49146293348570808</v>
      </c>
      <c r="M18" s="13">
        <f ref="M18:P18" si="13" t="shared">M4/$Q$13</f>
        <v>0.41933662571595715</v>
      </c>
      <c r="N18" s="13">
        <f si="13" t="shared"/>
        <v>7.2126307769750889E-2</v>
      </c>
      <c r="O18" s="13">
        <f si="13" t="shared"/>
        <v>0.47684448253812772</v>
      </c>
      <c r="P18" s="13">
        <f si="13" t="shared"/>
        <v>1.4618450947580372E-2</v>
      </c>
      <c r="Q18" s="13">
        <f ref="Q18:Q27" si="14" t="shared">Q4/$Q$13</f>
        <v>0.49146293348570808</v>
      </c>
    </row>
    <row r="19" spans="1:22" x14ac:dyDescent="0.45">
      <c r="A19" s="9" t="s">
        <v>2</v>
      </c>
      <c r="B19" s="13">
        <f si="9" t="shared"/>
        <v>1.0684730864901527E-2</v>
      </c>
      <c r="C19" s="13">
        <f si="9" t="shared"/>
        <v>0.30774323854341717</v>
      </c>
      <c r="D19" s="13">
        <f ref="D19:G19" si="15" t="shared">D5/$H$13</f>
        <v>0.19992206566038564</v>
      </c>
      <c r="E19" s="13">
        <f si="15" t="shared"/>
        <v>0.11850590374793309</v>
      </c>
      <c r="F19" s="13">
        <f si="15" t="shared"/>
        <v>0.2952969621770411</v>
      </c>
      <c r="G19" s="13">
        <f si="15" t="shared"/>
        <v>2.3131007231277652E-2</v>
      </c>
      <c r="H19" s="13">
        <f si="11" t="shared"/>
        <v>0.31946907256172569</v>
      </c>
      <c r="J19" s="9" t="s">
        <v>2</v>
      </c>
      <c r="K19" s="13">
        <f si="12" t="shared"/>
        <v>1.9380161353958342E-2</v>
      </c>
      <c r="L19" s="13">
        <f si="12" t="shared"/>
        <v>0.26975769696474972</v>
      </c>
      <c r="M19" s="13">
        <f ref="M19:P19" si="16" t="shared">M5/$Q$13</f>
        <v>0.2162156646667483</v>
      </c>
      <c r="N19" s="13">
        <f si="16" t="shared"/>
        <v>7.2922193651959788E-2</v>
      </c>
      <c r="O19" s="13">
        <f si="16" t="shared"/>
        <v>0.27158075180604874</v>
      </c>
      <c r="P19" s="13">
        <f si="16" t="shared"/>
        <v>1.7557106512659348E-2</v>
      </c>
      <c r="Q19" s="13">
        <f si="14" t="shared"/>
        <v>0.28913785831870809</v>
      </c>
    </row>
    <row r="20" spans="1:22" x14ac:dyDescent="0.45">
      <c r="A20" s="9" t="s">
        <v>3</v>
      </c>
      <c r="B20" s="13">
        <f si="9" t="shared"/>
        <v>7.1578168540696258E-3</v>
      </c>
      <c r="C20" s="13">
        <f si="9" t="shared"/>
        <v>0.10183428946490811</v>
      </c>
      <c r="D20" s="13">
        <f ref="D20:G20" si="17" t="shared">D6/$H$13</f>
        <v>8.6561053030975083E-2</v>
      </c>
      <c r="E20" s="13">
        <f si="17" t="shared"/>
        <v>2.2431053288002663E-2</v>
      </c>
      <c r="F20" s="13">
        <f si="17" t="shared"/>
        <v>0.10751620966074409</v>
      </c>
      <c r="G20" s="13">
        <f si="17" t="shared"/>
        <v>1.4758966582336483E-3</v>
      </c>
      <c r="H20" s="13">
        <f si="11" t="shared"/>
        <v>0.11003320947238464</v>
      </c>
      <c r="J20" s="9" t="s">
        <v>3</v>
      </c>
      <c r="K20" s="13">
        <f si="12" t="shared"/>
        <v>8.5642762880426652E-3</v>
      </c>
      <c r="L20" s="13">
        <f si="12" t="shared"/>
        <v>0.15838809300300669</v>
      </c>
      <c r="M20" s="13">
        <f ref="M20:P20" si="18" t="shared">M6/$Q$13</f>
        <v>0.12384528522645334</v>
      </c>
      <c r="N20" s="13">
        <f si="18" t="shared"/>
        <v>4.3107084064596006E-2</v>
      </c>
      <c r="O20" s="13">
        <f si="18" t="shared"/>
        <v>0.16446947743629511</v>
      </c>
      <c r="P20" s="13">
        <f si="18" t="shared"/>
        <v>2.4828918547542276E-3</v>
      </c>
      <c r="Q20" s="13">
        <f si="14" t="shared"/>
        <v>0.16695236929104934</v>
      </c>
    </row>
    <row r="21" spans="1:22" x14ac:dyDescent="0.45">
      <c r="A21" s="9" t="s">
        <v>4</v>
      </c>
      <c r="B21" s="13">
        <f si="9" t="shared"/>
        <v>5.7014488644924156E-4</v>
      </c>
      <c r="C21" s="13">
        <f si="9" t="shared"/>
        <v>5.5887947390166159E-4</v>
      </c>
      <c r="D21" s="13">
        <f ref="D21:G21" si="19" t="shared">D7/$H$13</f>
        <v>5.7014488644924156E-4</v>
      </c>
      <c r="E21" s="13">
        <f si="19" t="shared"/>
        <v>5.5887947390166159E-4</v>
      </c>
      <c r="F21" s="13">
        <f si="19" t="shared"/>
        <v>5.7014488644924156E-4</v>
      </c>
      <c r="G21" s="13">
        <f si="19" t="shared"/>
        <v>5.5887947390166159E-4</v>
      </c>
      <c r="H21" s="13">
        <f si="11" t="shared"/>
        <v>1.1290243603509032E-3</v>
      </c>
      <c r="J21" s="9" t="s">
        <v>4</v>
      </c>
      <c r="K21" s="13">
        <f si="12" t="shared"/>
        <v>0</v>
      </c>
      <c r="L21" s="13">
        <f si="12" t="shared"/>
        <v>0</v>
      </c>
      <c r="M21" s="13">
        <f ref="M21:P21" si="20" t="shared">M7/$Q$13</f>
        <v>0</v>
      </c>
      <c r="N21" s="13">
        <f si="20" t="shared"/>
        <v>0</v>
      </c>
      <c r="O21" s="13">
        <f si="20" t="shared"/>
        <v>0</v>
      </c>
      <c r="P21" s="13">
        <f si="20" t="shared"/>
        <v>0</v>
      </c>
      <c r="Q21" s="13">
        <f si="14" t="shared"/>
        <v>0</v>
      </c>
    </row>
    <row r="22" spans="1:22" x14ac:dyDescent="0.45">
      <c r="A22" s="9" t="s">
        <v>5</v>
      </c>
      <c r="B22" s="13">
        <f si="9" t="shared"/>
        <v>1.4870994469047293E-2</v>
      </c>
      <c r="C22" s="13">
        <f si="9" t="shared"/>
        <v>2.1191611715368655E-3</v>
      </c>
      <c r="D22" s="13">
        <f ref="D22:G22" si="21" t="shared">D8/$H$13</f>
        <v>1.6641975301067355E-2</v>
      </c>
      <c r="E22" s="13">
        <f si="21" t="shared"/>
        <v>3.4818033951680499E-4</v>
      </c>
      <c r="F22" s="13">
        <f si="21" t="shared"/>
        <v>1.6990155640584158E-2</v>
      </c>
      <c r="G22" s="13">
        <f si="21" t="shared"/>
        <v>0</v>
      </c>
      <c r="H22" s="13">
        <f si="11" t="shared"/>
        <v>1.6990155640584155E-2</v>
      </c>
      <c r="J22" s="9" t="s">
        <v>5</v>
      </c>
      <c r="K22" s="13">
        <f si="12" t="shared"/>
        <v>8.3057834374107176E-3</v>
      </c>
      <c r="L22" s="13">
        <f si="12" t="shared"/>
        <v>6.5303457001755034E-4</v>
      </c>
      <c r="M22" s="13">
        <f ref="M22:P22" si="22" t="shared">M8/$Q$13</f>
        <v>8.7751520346108329E-3</v>
      </c>
      <c r="N22" s="13">
        <f si="22" t="shared"/>
        <v>1.8366597281743602E-4</v>
      </c>
      <c r="O22" s="13">
        <f si="22" t="shared"/>
        <v>8.8907935730514406E-3</v>
      </c>
      <c r="P22" s="13">
        <f si="22" t="shared"/>
        <v>6.8024434376828152E-5</v>
      </c>
      <c r="Q22" s="13">
        <f si="14" t="shared"/>
        <v>8.9588180074282684E-3</v>
      </c>
    </row>
    <row r="23" spans="1:22" x14ac:dyDescent="0.45">
      <c r="A23" s="9" t="s">
        <v>6</v>
      </c>
      <c r="B23" s="13">
        <f si="9" t="shared"/>
        <v>2.0751256076862682E-3</v>
      </c>
      <c r="C23" s="13">
        <f si="9" t="shared"/>
        <v>1.6233403277229352E-3</v>
      </c>
      <c r="D23" s="13">
        <f ref="D23:G23" si="23" t="shared">D9/$H$13</f>
        <v>3.3981966185687184E-3</v>
      </c>
      <c r="E23" s="13">
        <f si="23" t="shared"/>
        <v>3.0026931684048466E-4</v>
      </c>
      <c r="F23" s="13">
        <f si="23" t="shared"/>
        <v>3.6984659354092038E-3</v>
      </c>
      <c r="G23" s="13">
        <f si="23" t="shared"/>
        <v>0</v>
      </c>
      <c r="H23" s="13">
        <f si="11" t="shared"/>
        <v>3.698465935409203E-3</v>
      </c>
      <c r="J23" s="9" t="s">
        <v>6</v>
      </c>
      <c r="K23" s="13">
        <f si="12" t="shared"/>
        <v>1.067983619716202E-3</v>
      </c>
      <c r="L23" s="13">
        <f si="12" t="shared"/>
        <v>4.4828102254329755E-3</v>
      </c>
      <c r="M23" s="13">
        <f ref="M23:P23" si="24" t="shared">M9/$Q$13</f>
        <v>4.4011809041807817E-3</v>
      </c>
      <c r="N23" s="13">
        <f si="24" t="shared"/>
        <v>1.1496129409683958E-3</v>
      </c>
      <c r="O23" s="13">
        <f si="24" t="shared"/>
        <v>5.251486333891134E-3</v>
      </c>
      <c r="P23" s="13">
        <f si="24" t="shared"/>
        <v>2.9930751125804389E-4</v>
      </c>
      <c r="Q23" s="13">
        <f si="14" t="shared"/>
        <v>5.5507938451491773E-3</v>
      </c>
    </row>
    <row r="24" spans="1:22" x14ac:dyDescent="0.45">
      <c r="A24" s="9" t="s">
        <v>7</v>
      </c>
      <c r="B24" s="13">
        <f si="9" t="shared"/>
        <v>7.5889247760717255E-3</v>
      </c>
      <c r="C24" s="13">
        <f si="9" t="shared"/>
        <v>1.8489102309073205E-2</v>
      </c>
      <c r="D24" s="13">
        <f ref="D24:G24" si="25" t="shared">D10/$H$13</f>
        <v>1.3751706871389538E-2</v>
      </c>
      <c r="E24" s="13">
        <f si="25" t="shared"/>
        <v>1.2326320213755392E-2</v>
      </c>
      <c r="F24" s="13">
        <f si="25" t="shared"/>
        <v>2.2863621748292821E-2</v>
      </c>
      <c r="G24" s="13">
        <f si="25" t="shared"/>
        <v>3.2144053368521083E-3</v>
      </c>
      <c r="H24" s="13">
        <f si="11" t="shared"/>
        <v>2.6078027085144933E-2</v>
      </c>
      <c r="J24" s="9" t="s">
        <v>7</v>
      </c>
      <c r="K24" s="13">
        <f si="12" t="shared"/>
        <v>1.18362515815681E-2</v>
      </c>
      <c r="L24" s="13">
        <f si="12" t="shared"/>
        <v>2.6100975470388962E-2</v>
      </c>
      <c r="M24" s="13">
        <f ref="M24:P24" si="26" t="shared">M10/$Q$13</f>
        <v>2.8529447777641728E-2</v>
      </c>
      <c r="N24" s="13">
        <f si="26" t="shared"/>
        <v>9.4077792743153341E-3</v>
      </c>
      <c r="O24" s="13">
        <f si="26" t="shared"/>
        <v>3.5685618274084049E-2</v>
      </c>
      <c r="P24" s="13">
        <f si="26" t="shared"/>
        <v>2.2516087778730121E-3</v>
      </c>
      <c r="Q24" s="13">
        <f si="14" t="shared"/>
        <v>3.7937227051957061E-2</v>
      </c>
    </row>
    <row r="25" spans="1:22" x14ac:dyDescent="0.45">
      <c r="A25" s="9" t="s">
        <v>8</v>
      </c>
      <c r="B25" s="13">
        <f si="9" t="shared"/>
        <v>0</v>
      </c>
      <c r="C25" s="13">
        <f si="9" t="shared"/>
        <v>0</v>
      </c>
      <c r="D25" s="13">
        <f ref="D25:G26" si="27" t="shared">D11/$H$13</f>
        <v>0</v>
      </c>
      <c r="E25" s="13">
        <f si="27" t="shared"/>
        <v>0</v>
      </c>
      <c r="F25" s="13">
        <f si="27" t="shared"/>
        <v>0</v>
      </c>
      <c r="G25" s="13">
        <f si="27" t="shared"/>
        <v>0</v>
      </c>
      <c r="H25" s="13">
        <f si="11" t="shared"/>
        <v>0</v>
      </c>
      <c r="J25" s="9" t="s">
        <v>8</v>
      </c>
      <c r="K25" s="13">
        <f si="12" t="shared"/>
        <v>0</v>
      </c>
      <c r="L25" s="13">
        <f si="12" t="shared"/>
        <v>0</v>
      </c>
      <c r="M25" s="13">
        <f ref="M25:P26" si="28" t="shared">M11/$Q$13</f>
        <v>0</v>
      </c>
      <c r="N25" s="13">
        <f si="28" t="shared"/>
        <v>0</v>
      </c>
      <c r="O25" s="13">
        <f si="28" t="shared"/>
        <v>0</v>
      </c>
      <c r="P25" s="13">
        <f si="28" t="shared"/>
        <v>0</v>
      </c>
      <c r="Q25" s="13">
        <f si="14" t="shared"/>
        <v>0</v>
      </c>
    </row>
    <row r="26" spans="1:22" x14ac:dyDescent="0.4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4.65" r="27" spans="1:22" thickBot="1" x14ac:dyDescent="0.5">
      <c r="A27" s="83" t="s">
        <v>19</v>
      </c>
      <c r="B27" s="86">
        <f si="9" t="shared"/>
        <v>4.50299437650395E-2</v>
      </c>
      <c r="C27" s="86">
        <f si="9" t="shared"/>
        <v>0.95497005623496034</v>
      </c>
      <c r="D27" s="86">
        <f ref="D27:G27" si="29" t="shared">D13/$H$13</f>
        <v>0.77121851986455447</v>
      </c>
      <c r="E27" s="86">
        <f si="29" t="shared"/>
        <v>0.22878148013544516</v>
      </c>
      <c r="F27" s="86">
        <f si="29" t="shared"/>
        <v>0.96278174842399966</v>
      </c>
      <c r="G27" s="86">
        <f si="29" t="shared"/>
        <v>3.7218251576000443E-2</v>
      </c>
      <c r="H27" s="86">
        <f si="11" t="shared"/>
        <v>1</v>
      </c>
      <c r="J27" s="83" t="s">
        <v>19</v>
      </c>
      <c r="K27" s="86">
        <f si="12" t="shared"/>
        <v>4.9154456280696028E-2</v>
      </c>
      <c r="L27" s="86">
        <f si="12" t="shared"/>
        <v>0.95084554371930396</v>
      </c>
      <c r="M27" s="86">
        <f ref="M27:P27" si="30" t="shared">M13/$Q$13</f>
        <v>0.80110335632559215</v>
      </c>
      <c r="N27" s="86">
        <f si="30" t="shared"/>
        <v>0.19889664367440785</v>
      </c>
      <c r="O27" s="86">
        <f si="30" t="shared"/>
        <v>0.96272260996149817</v>
      </c>
      <c r="P27" s="86">
        <f si="30" t="shared"/>
        <v>3.7277390038501827E-2</v>
      </c>
      <c r="Q27" s="86">
        <f si="14" t="shared"/>
        <v>1</v>
      </c>
    </row>
    <row ht="14.65" r="30" spans="1:22" thickBot="1" x14ac:dyDescent="0.5">
      <c r="J30" s="1" t="s">
        <v>31</v>
      </c>
      <c r="K30" s="1"/>
      <c r="L30" s="3"/>
      <c r="M30" s="3"/>
      <c r="N30" s="3"/>
      <c r="O30" s="3"/>
      <c r="P30" s="3"/>
      <c r="Q30" s="3"/>
      <c r="S30" s="15" t="s">
        <v>39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31" t="shared">K18-B18</f>
        <v>-2.0822063068138275E-3</v>
      </c>
      <c r="L32" s="13">
        <f ref="L32:L40" si="32" t="shared">L18-C18</f>
        <v>-3.1139111458692359E-2</v>
      </c>
      <c r="M32" s="13">
        <f ref="M32:M40" si="33" t="shared">M18-D18</f>
        <v>-3.1036751779761951E-2</v>
      </c>
      <c r="N32" s="13">
        <f ref="N32:N40" si="34" t="shared">N18-E18</f>
        <v>-2.1845659857442218E-3</v>
      </c>
      <c r="O32" s="13">
        <f ref="O32:O40" si="35" t="shared">O18-F18</f>
        <v>-3.9001705837351186E-2</v>
      </c>
      <c r="P32" s="13">
        <f ref="P32:P40" si="36" t="shared">P18-G18</f>
        <v>5.7803880718449979E-3</v>
      </c>
      <c r="Q32" s="13">
        <f ref="Q32:Q40" si="37" t="shared">Q18-H18</f>
        <v>-3.1139111458692359E-2</v>
      </c>
      <c r="S32" s="82" t="s">
        <v>1</v>
      </c>
      <c r="T32" s="87">
        <f ref="T32:T40" si="38" t="shared">H18</f>
        <v>0.52260204494440043</v>
      </c>
      <c r="U32" s="87">
        <f ref="U32:U40" si="39" t="shared">Q18</f>
        <v>0.49146293348570808</v>
      </c>
      <c r="V32" s="87">
        <f>U32-T32</f>
        <v>-3.1139111458692359E-2</v>
      </c>
    </row>
    <row r="33" spans="10:22" x14ac:dyDescent="0.45">
      <c r="J33" s="9" t="s">
        <v>2</v>
      </c>
      <c r="K33" s="13">
        <f si="31" t="shared"/>
        <v>8.6954304890568147E-3</v>
      </c>
      <c r="L33" s="13">
        <f si="32" t="shared"/>
        <v>-3.7985541578667459E-2</v>
      </c>
      <c r="M33" s="13">
        <f si="33" t="shared"/>
        <v>1.6293599006362652E-2</v>
      </c>
      <c r="N33" s="13">
        <f si="34" t="shared"/>
        <v>-4.5583710095973298E-2</v>
      </c>
      <c r="O33" s="13">
        <f si="35" t="shared"/>
        <v>-2.3716210370992363E-2</v>
      </c>
      <c r="P33" s="13">
        <f si="36" t="shared"/>
        <v>-5.5739007186183034E-3</v>
      </c>
      <c r="Q33" s="13">
        <f si="37" t="shared"/>
        <v>-3.0331214243017601E-2</v>
      </c>
      <c r="S33" s="84" t="s">
        <v>2</v>
      </c>
      <c r="T33" s="85">
        <f si="38" t="shared"/>
        <v>0.31946907256172569</v>
      </c>
      <c r="U33" s="85">
        <f si="39" t="shared"/>
        <v>0.28913785831870809</v>
      </c>
      <c r="V33" s="85">
        <f ref="V33:V41" si="40" t="shared">U33-T33</f>
        <v>-3.0331214243017601E-2</v>
      </c>
    </row>
    <row r="34" spans="10:22" x14ac:dyDescent="0.45">
      <c r="J34" s="9" t="s">
        <v>3</v>
      </c>
      <c r="K34" s="13">
        <f si="31" t="shared"/>
        <v>1.4064594339730395E-3</v>
      </c>
      <c r="L34" s="13">
        <f si="32" t="shared"/>
        <v>5.6553803538098579E-2</v>
      </c>
      <c r="M34" s="13">
        <f si="33" t="shared"/>
        <v>3.7284232195478259E-2</v>
      </c>
      <c r="N34" s="13">
        <f si="34" t="shared"/>
        <v>2.0676030776593343E-2</v>
      </c>
      <c r="O34" s="13">
        <f si="35" t="shared"/>
        <v>5.6953267775551028E-2</v>
      </c>
      <c r="P34" s="13">
        <f si="36" t="shared"/>
        <v>1.0069951965205792E-3</v>
      </c>
      <c r="Q34" s="13">
        <f si="37" t="shared"/>
        <v>5.6919159818664702E-2</v>
      </c>
      <c r="S34" s="17" t="s">
        <v>3</v>
      </c>
      <c r="T34" s="88">
        <f si="38" t="shared"/>
        <v>0.11003320947238464</v>
      </c>
      <c r="U34" s="88">
        <f si="39" t="shared"/>
        <v>0.16695236929104934</v>
      </c>
      <c r="V34" s="88">
        <f si="40" t="shared"/>
        <v>5.6919159818664702E-2</v>
      </c>
    </row>
    <row r="35" spans="10:22" x14ac:dyDescent="0.45">
      <c r="J35" s="9" t="s">
        <v>4</v>
      </c>
      <c r="K35" s="13">
        <f si="31" t="shared"/>
        <v>-5.7014488644924156E-4</v>
      </c>
      <c r="L35" s="13">
        <f si="32" t="shared"/>
        <v>-5.5887947390166159E-4</v>
      </c>
      <c r="M35" s="13">
        <f si="33" t="shared"/>
        <v>-5.7014488644924156E-4</v>
      </c>
      <c r="N35" s="13">
        <f si="34" t="shared"/>
        <v>-5.5887947390166159E-4</v>
      </c>
      <c r="O35" s="13">
        <f si="35" t="shared"/>
        <v>-5.7014488644924156E-4</v>
      </c>
      <c r="P35" s="13">
        <f si="36" t="shared"/>
        <v>-5.5887947390166159E-4</v>
      </c>
      <c r="Q35" s="13">
        <f si="37" t="shared"/>
        <v>-1.1290243603509032E-3</v>
      </c>
      <c r="S35" s="84" t="s">
        <v>4</v>
      </c>
      <c r="T35" s="85">
        <f si="38" t="shared"/>
        <v>1.1290243603509032E-3</v>
      </c>
      <c r="U35" s="85">
        <f si="39" t="shared"/>
        <v>0</v>
      </c>
      <c r="V35" s="85">
        <f si="40" t="shared"/>
        <v>-1.1290243603509032E-3</v>
      </c>
    </row>
    <row r="36" spans="10:22" x14ac:dyDescent="0.45">
      <c r="J36" s="9" t="s">
        <v>5</v>
      </c>
      <c r="K36" s="13">
        <f si="31" t="shared"/>
        <v>-6.5652110316365749E-3</v>
      </c>
      <c r="L36" s="13">
        <f si="32" t="shared"/>
        <v>-1.4661266015193151E-3</v>
      </c>
      <c r="M36" s="13">
        <f si="33" t="shared"/>
        <v>-7.866823266456522E-3</v>
      </c>
      <c r="N36" s="13">
        <f si="34" t="shared"/>
        <v>-1.6451436669936897E-4</v>
      </c>
      <c r="O36" s="13">
        <f si="35" t="shared"/>
        <v>-8.0993620675327178E-3</v>
      </c>
      <c r="P36" s="13">
        <f si="36" t="shared"/>
        <v>6.8024434376828152E-5</v>
      </c>
      <c r="Q36" s="13">
        <f si="37" t="shared"/>
        <v>-8.0313376331558866E-3</v>
      </c>
      <c r="S36" s="17" t="s">
        <v>5</v>
      </c>
      <c r="T36" s="88">
        <f si="38" t="shared"/>
        <v>1.6990155640584155E-2</v>
      </c>
      <c r="U36" s="88">
        <f si="39" t="shared"/>
        <v>8.9588180074282684E-3</v>
      </c>
      <c r="V36" s="88">
        <f si="40" t="shared"/>
        <v>-8.0313376331558866E-3</v>
      </c>
    </row>
    <row r="37" spans="10:22" x14ac:dyDescent="0.45">
      <c r="J37" s="9" t="s">
        <v>6</v>
      </c>
      <c r="K37" s="13">
        <f si="31" t="shared"/>
        <v>-1.0071419879700662E-3</v>
      </c>
      <c r="L37" s="13">
        <f si="32" t="shared"/>
        <v>2.8594698977100403E-3</v>
      </c>
      <c r="M37" s="13">
        <f si="33" t="shared"/>
        <v>1.0029842856120632E-3</v>
      </c>
      <c r="N37" s="13">
        <f si="34" t="shared"/>
        <v>8.4934362412791115E-4</v>
      </c>
      <c r="O37" s="13">
        <f si="35" t="shared"/>
        <v>1.5530203984819302E-3</v>
      </c>
      <c r="P37" s="13">
        <f si="36" t="shared"/>
        <v>2.9930751125804389E-4</v>
      </c>
      <c r="Q37" s="13">
        <f si="37" t="shared"/>
        <v>1.8523279097399743E-3</v>
      </c>
      <c r="S37" s="84" t="s">
        <v>6</v>
      </c>
      <c r="T37" s="85">
        <f si="38" t="shared"/>
        <v>3.698465935409203E-3</v>
      </c>
      <c r="U37" s="85">
        <f si="39" t="shared"/>
        <v>5.5507938451491773E-3</v>
      </c>
      <c r="V37" s="85">
        <f si="40" t="shared"/>
        <v>1.8523279097399743E-3</v>
      </c>
    </row>
    <row r="38" spans="10:22" x14ac:dyDescent="0.45">
      <c r="J38" s="9" t="s">
        <v>7</v>
      </c>
      <c r="K38" s="13">
        <f si="31" t="shared"/>
        <v>4.2473268054963745E-3</v>
      </c>
      <c r="L38" s="13">
        <f si="32" t="shared"/>
        <v>7.6118731613157575E-3</v>
      </c>
      <c r="M38" s="13">
        <f si="33" t="shared"/>
        <v>1.4777740906252191E-2</v>
      </c>
      <c r="N38" s="13">
        <f si="34" t="shared"/>
        <v>-2.9185409394400577E-3</v>
      </c>
      <c r="O38" s="13">
        <f si="35" t="shared"/>
        <v>1.2821996525791229E-2</v>
      </c>
      <c r="P38" s="13">
        <f si="36" t="shared"/>
        <v>-9.6279655897909622E-4</v>
      </c>
      <c r="Q38" s="13">
        <f si="37" t="shared"/>
        <v>1.1859199966812128E-2</v>
      </c>
      <c r="S38" s="17" t="s">
        <v>7</v>
      </c>
      <c r="T38" s="88">
        <f si="38" t="shared"/>
        <v>2.6078027085144933E-2</v>
      </c>
      <c r="U38" s="88">
        <f si="39" t="shared"/>
        <v>3.7937227051957061E-2</v>
      </c>
      <c r="V38" s="88">
        <f si="40" t="shared"/>
        <v>1.1859199966812128E-2</v>
      </c>
    </row>
    <row r="39" spans="10:22" x14ac:dyDescent="0.45">
      <c r="J39" s="9" t="s">
        <v>8</v>
      </c>
      <c r="K39" s="13">
        <f si="31" t="shared"/>
        <v>0</v>
      </c>
      <c r="L39" s="13">
        <f si="32" t="shared"/>
        <v>0</v>
      </c>
      <c r="M39" s="13">
        <f si="33" t="shared"/>
        <v>0</v>
      </c>
      <c r="N39" s="13">
        <f si="34" t="shared"/>
        <v>0</v>
      </c>
      <c r="O39" s="13">
        <f si="35" t="shared"/>
        <v>0</v>
      </c>
      <c r="P39" s="13">
        <f si="36" t="shared"/>
        <v>0</v>
      </c>
      <c r="Q39" s="13">
        <f si="37" t="shared"/>
        <v>0</v>
      </c>
      <c r="S39" s="84" t="s">
        <v>8</v>
      </c>
      <c r="T39" s="85">
        <f si="38" t="shared"/>
        <v>0</v>
      </c>
      <c r="U39" s="85">
        <f si="39" t="shared"/>
        <v>0</v>
      </c>
      <c r="V39" s="85">
        <f si="40" t="shared"/>
        <v>0</v>
      </c>
    </row>
    <row r="40" spans="10:22" x14ac:dyDescent="0.4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89">
        <f si="38" t="shared"/>
        <v>0</v>
      </c>
      <c r="U40" s="89">
        <f si="39" t="shared"/>
        <v>0</v>
      </c>
      <c r="V40" s="89">
        <f ref="V40" si="41" t="shared">U40-T40</f>
        <v>0</v>
      </c>
    </row>
    <row ht="14.65" r="41" spans="10:22" thickBot="1" x14ac:dyDescent="0.5">
      <c r="J41" s="83" t="s">
        <v>19</v>
      </c>
      <c r="K41" s="86">
        <f ref="K41" si="42" t="shared">K27-B27</f>
        <v>4.1245125156565282E-3</v>
      </c>
      <c r="L41" s="86">
        <f ref="L41" si="43" t="shared">L27-C27</f>
        <v>-4.1245125156563756E-3</v>
      </c>
      <c r="M41" s="86">
        <f ref="M41" si="44" t="shared">M27-D27</f>
        <v>2.9884836461037678E-2</v>
      </c>
      <c r="N41" s="86">
        <f ref="N41" si="45" t="shared">N27-E27</f>
        <v>-2.9884836461037317E-2</v>
      </c>
      <c r="O41" s="86">
        <f ref="O41" si="46" t="shared">O27-F27</f>
        <v>-5.9138462501495681E-5</v>
      </c>
      <c r="P41" s="86">
        <f ref="P41" si="47" t="shared">P27-G27</f>
        <v>5.9138462501384659E-5</v>
      </c>
      <c r="Q41" s="86">
        <f ref="Q41" si="48" t="shared">Q27-H27</f>
        <v>0</v>
      </c>
      <c r="S41" s="90" t="s">
        <v>19</v>
      </c>
      <c r="T41" s="91">
        <f ref="T41" si="49" t="shared">H27</f>
        <v>1</v>
      </c>
      <c r="U41" s="91">
        <f ref="U41" si="50" t="shared">Q27</f>
        <v>1</v>
      </c>
      <c r="V41" s="91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W41"/>
  <sheetViews>
    <sheetView topLeftCell="H1" workbookViewId="0">
      <selection activeCell="Q11" sqref="Q11:Q12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52</v>
      </c>
      <c r="B2" s="1"/>
      <c r="C2" s="3"/>
      <c r="D2" s="3"/>
      <c r="E2" s="3"/>
      <c r="F2" s="3"/>
      <c r="G2" s="3"/>
      <c r="H2" s="3"/>
      <c r="J2" s="1" t="s">
        <v>14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50.2648851201951</v>
      </c>
      <c r="C4" s="9" t="n">
        <v>20620.16576553249</v>
      </c>
      <c r="D4" s="9" t="n">
        <v>18468.39224408507</v>
      </c>
      <c r="E4" s="9" t="n">
        <v>2202.038406567617</v>
      </c>
      <c r="F4" s="9" t="n">
        <v>20290.48050404345</v>
      </c>
      <c r="G4" s="9" t="n">
        <v>379.95014660923505</v>
      </c>
      <c r="H4" s="9">
        <f>SUM(B4:C4)-B4</f>
        <v>20620.165765532489</v>
      </c>
      <c r="I4" s="9"/>
      <c r="J4" s="9" t="s">
        <v>1</v>
      </c>
      <c r="K4" s="9" t="n">
        <v>0.0</v>
      </c>
      <c r="L4" s="9" t="n">
        <v>18614.0</v>
      </c>
      <c r="M4" s="9" t="n">
        <v>16961.0</v>
      </c>
      <c r="N4" s="9" t="n">
        <v>1653.0</v>
      </c>
      <c r="O4" s="9" t="n">
        <v>18136.0</v>
      </c>
      <c r="P4" s="9" t="n">
        <v>478.0</v>
      </c>
      <c r="Q4" s="9">
        <f>SUM(K4:L4)</f>
        <v>18497</v>
      </c>
    </row>
    <row r="5" spans="1:17" x14ac:dyDescent="0.45">
      <c r="A5" s="9" t="s">
        <v>2</v>
      </c>
      <c r="B5" s="9" t="n">
        <v>815.3888502918346</v>
      </c>
      <c r="C5" s="9" t="n">
        <v>50551.79438417866</v>
      </c>
      <c r="D5" s="9" t="n">
        <v>38025.599056909035</v>
      </c>
      <c r="E5" s="9" t="n">
        <v>13341.584177561455</v>
      </c>
      <c r="F5" s="9" t="n">
        <v>46835.21072143715</v>
      </c>
      <c r="G5" s="9" t="n">
        <v>4531.972513033344</v>
      </c>
      <c r="H5" s="9">
        <f>SUM(B5:C5)+0.5*B4</f>
        <v>51392.315677030594</v>
      </c>
      <c r="I5" s="9"/>
      <c r="J5" s="9" t="s">
        <v>2</v>
      </c>
      <c r="K5" s="9" t="n">
        <v>1330.0</v>
      </c>
      <c r="L5" s="9" t="n">
        <v>42996.0</v>
      </c>
      <c r="M5" s="9" t="n">
        <v>35507.0</v>
      </c>
      <c r="N5" s="9" t="n">
        <v>8819.0</v>
      </c>
      <c r="O5" s="9" t="n">
        <v>41436.0</v>
      </c>
      <c r="P5" s="9" t="n">
        <v>2890.0</v>
      </c>
      <c r="Q5" s="9">
        <f ref="Q5:Q12" si="0" t="shared">SUM(K5:L5)</f>
        <v>44332</v>
      </c>
    </row>
    <row r="6" spans="1:17" x14ac:dyDescent="0.45">
      <c r="A6" s="9" t="s">
        <v>3</v>
      </c>
      <c r="B6" s="9" t="n">
        <v>0.0</v>
      </c>
      <c r="C6" s="9" t="n">
        <v>30849.72459794005</v>
      </c>
      <c r="D6" s="9" t="n">
        <v>26734.31957675497</v>
      </c>
      <c r="E6" s="9" t="n">
        <v>4115.405021185081</v>
      </c>
      <c r="F6" s="9" t="n">
        <v>30050.406229450913</v>
      </c>
      <c r="G6" s="9" t="n">
        <v>799.3183684891367</v>
      </c>
      <c r="H6" s="9">
        <f>SUM(B6:C6)+0.5*B4</f>
        <v>30874.857040500148</v>
      </c>
      <c r="I6" s="9"/>
      <c r="J6" s="9" t="s">
        <v>3</v>
      </c>
      <c r="K6" s="9" t="n">
        <v>556.0</v>
      </c>
      <c r="L6" s="9" t="n">
        <v>21466.0</v>
      </c>
      <c r="M6" s="9" t="n">
        <v>17572.0</v>
      </c>
      <c r="N6" s="9" t="n">
        <v>4450.0</v>
      </c>
      <c r="O6" s="9" t="n">
        <v>21675.0</v>
      </c>
      <c r="P6" s="9" t="n">
        <v>347.0</v>
      </c>
      <c r="Q6" s="9">
        <f si="0" t="shared"/>
        <v>21915</v>
      </c>
    </row>
    <row r="7" spans="1:17" x14ac:dyDescent="0.45">
      <c r="A7" s="9" t="s">
        <v>4</v>
      </c>
      <c r="B7" s="101" t="n">
        <v>0.0</v>
      </c>
      <c r="C7" s="101" t="n">
        <v>0.0</v>
      </c>
      <c r="D7" s="101" t="n">
        <v>0.0</v>
      </c>
      <c r="E7" s="101" t="n">
        <v>0.0</v>
      </c>
      <c r="F7" s="101" t="n">
        <v>0.0</v>
      </c>
      <c r="G7" s="101" t="n">
        <v>0.0</v>
      </c>
      <c r="H7" s="101">
        <f ref="H7:H12" si="1" t="shared">SUM(B7:C7)</f>
        <v>0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45">
      <c r="A8" s="9" t="s">
        <v>5</v>
      </c>
      <c r="B8" s="101" t="n">
        <v>0.0</v>
      </c>
      <c r="C8" s="101" t="n">
        <v>28.4975484599947</v>
      </c>
      <c r="D8" s="101" t="n">
        <v>28.4975484599947</v>
      </c>
      <c r="E8" s="101" t="n">
        <v>0.0</v>
      </c>
      <c r="F8" s="101" t="n">
        <v>28.4975484599947</v>
      </c>
      <c r="G8" s="101" t="n">
        <v>0.0</v>
      </c>
      <c r="H8" s="101">
        <f si="1" t="shared"/>
        <v>28.4975484599947</v>
      </c>
      <c r="I8" s="9"/>
      <c r="J8" s="9" t="s">
        <v>5</v>
      </c>
      <c r="K8" s="9" t="n">
        <v>399.0</v>
      </c>
      <c r="L8" s="9" t="n">
        <v>142.0</v>
      </c>
      <c r="M8" s="9" t="n">
        <v>515.0</v>
      </c>
      <c r="N8" s="9" t="n">
        <v>26.0</v>
      </c>
      <c r="O8" s="9" t="n">
        <v>531.0</v>
      </c>
      <c r="P8" s="9" t="n">
        <v>10.0</v>
      </c>
      <c r="Q8" s="9">
        <f si="0" t="shared"/>
        <v>527</v>
      </c>
    </row>
    <row r="9" spans="1:17" x14ac:dyDescent="0.45">
      <c r="A9" s="9" t="s">
        <v>6</v>
      </c>
      <c r="B9" s="9" t="n">
        <v>0.0</v>
      </c>
      <c r="C9" s="9" t="n">
        <v>666.6912682938104</v>
      </c>
      <c r="D9" s="9" t="n">
        <v>119.5346741980853</v>
      </c>
      <c r="E9" s="9" t="n">
        <v>547.156594095725</v>
      </c>
      <c r="F9" s="9" t="n">
        <v>666.6912682938104</v>
      </c>
      <c r="G9" s="9" t="n">
        <v>0.0</v>
      </c>
      <c r="H9" s="9">
        <f si="1" t="shared"/>
        <v>666.69126829381037</v>
      </c>
      <c r="I9" s="9"/>
      <c r="J9" s="9" t="s">
        <v>6</v>
      </c>
      <c r="K9" s="9" t="n">
        <v>21.0</v>
      </c>
      <c r="L9" s="9" t="n">
        <v>189.0</v>
      </c>
      <c r="M9" s="9" t="n">
        <v>183.0</v>
      </c>
      <c r="N9" s="9" t="n">
        <v>27.0</v>
      </c>
      <c r="O9" s="9" t="n">
        <v>198.0</v>
      </c>
      <c r="P9" s="9" t="n">
        <v>12.0</v>
      </c>
      <c r="Q9" s="9">
        <f si="0" t="shared"/>
        <v>217</v>
      </c>
    </row>
    <row r="10" spans="1:17" x14ac:dyDescent="0.45">
      <c r="A10" s="9" t="s">
        <v>7</v>
      </c>
      <c r="B10" s="9" t="n">
        <v>274.3764523930936</v>
      </c>
      <c r="C10" s="9" t="n">
        <v>2480.87961384862</v>
      </c>
      <c r="D10" s="9" t="n">
        <v>961.2281000665503</v>
      </c>
      <c r="E10" s="9" t="n">
        <v>1794.027966175163</v>
      </c>
      <c r="F10" s="9" t="n">
        <v>1543.6632374329286</v>
      </c>
      <c r="G10" s="9" t="n">
        <v>1211.592828808785</v>
      </c>
      <c r="H10" s="9">
        <f si="1" t="shared"/>
        <v>2755.2560662417136</v>
      </c>
      <c r="I10" s="9"/>
      <c r="J10" s="9" t="s">
        <v>7</v>
      </c>
      <c r="K10" s="9" t="n">
        <v>492.0</v>
      </c>
      <c r="L10" s="9" t="n">
        <v>2110.0</v>
      </c>
      <c r="M10" s="9" t="n">
        <v>2061.0</v>
      </c>
      <c r="N10" s="9" t="n">
        <v>541.0</v>
      </c>
      <c r="O10" s="9" t="n">
        <v>2449.0</v>
      </c>
      <c r="P10" s="9" t="n">
        <v>153.0</v>
      </c>
      <c r="Q10" s="9">
        <f si="0" t="shared"/>
        <v>2558</v>
      </c>
    </row>
    <row r="11" spans="1:17" x14ac:dyDescent="0.45">
      <c r="A11" s="9" t="s">
        <v>8</v>
      </c>
      <c r="B11" s="9" t="n">
        <v>0.0</v>
      </c>
      <c r="C11" s="9" t="n">
        <v>252.932518515191</v>
      </c>
      <c r="D11" s="9" t="n">
        <v>252.932518515191</v>
      </c>
      <c r="E11" s="9" t="n">
        <v>0.0</v>
      </c>
      <c r="F11" s="9" t="n">
        <v>252.932518515191</v>
      </c>
      <c r="G11" s="9" t="n">
        <v>0.0</v>
      </c>
      <c r="H11" s="9">
        <f si="1" t="shared"/>
        <v>252.93251851519099</v>
      </c>
      <c r="I11" s="9"/>
      <c r="J11" s="9" t="s">
        <v>8</v>
      </c>
      <c r="K11" s="9" t="n">
        <v>0.0</v>
      </c>
      <c r="L11" s="9" t="n">
        <v>0.0</v>
      </c>
      <c r="M11" s="9" t="n">
        <v>0.0</v>
      </c>
      <c r="N11" s="9" t="n">
        <v>0.0</v>
      </c>
      <c r="O11" s="9" t="n">
        <v>0.0</v>
      </c>
      <c r="P11" s="9" t="n">
        <v>0.0</v>
      </c>
      <c r="Q11" s="9">
        <f si="0" t="shared"/>
        <v>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9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9">
        <f si="0" t="shared"/>
        <v>0</v>
      </c>
    </row>
    <row ht="14.65" r="13" spans="1:17" thickBot="1" x14ac:dyDescent="0.5">
      <c r="A13" s="83" t="s">
        <v>19</v>
      </c>
      <c r="B13" s="83">
        <f>SUM(B4:B12)</f>
        <v>1140.0301878051232</v>
      </c>
      <c r="C13" s="83">
        <f ref="C13:H13" si="2" t="shared">SUM(C4:C12)</f>
        <v>105450.68569676882</v>
      </c>
      <c r="D13" s="83">
        <f si="2" t="shared"/>
        <v>84590.503718988926</v>
      </c>
      <c r="E13" s="83">
        <f si="2" t="shared"/>
        <v>22000.212165585042</v>
      </c>
      <c r="F13" s="83">
        <f si="2" t="shared"/>
        <v>99667.882027633474</v>
      </c>
      <c r="G13" s="83">
        <f si="2" t="shared"/>
        <v>6922.8338569405005</v>
      </c>
      <c r="H13" s="83">
        <f si="2" t="shared"/>
        <v>106590.71588457396</v>
      </c>
      <c r="J13" s="83" t="s">
        <v>19</v>
      </c>
      <c r="K13" s="83">
        <f>SUM(K4:K12)</f>
        <v>3184</v>
      </c>
      <c r="L13" s="83">
        <f ref="L13" si="3" t="shared">SUM(L4:L12)</f>
        <v>84862</v>
      </c>
      <c r="M13" s="83">
        <f ref="M13" si="4" t="shared">SUM(M4:M12)</f>
        <v>71972</v>
      </c>
      <c r="N13" s="83">
        <f ref="N13" si="5" t="shared">SUM(N4:N12)</f>
        <v>16074</v>
      </c>
      <c r="O13" s="83">
        <f ref="O13" si="6" t="shared">SUM(O4:O12)</f>
        <v>83950</v>
      </c>
      <c r="P13" s="83">
        <f ref="P13" si="7" t="shared">SUM(P4:P12)</f>
        <v>4096</v>
      </c>
      <c r="Q13" s="83">
        <f ref="Q13" si="8" t="shared">SUM(Q4:Q12)</f>
        <v>88046</v>
      </c>
    </row>
    <row ht="14.65" r="16" spans="1:17" thickBot="1" x14ac:dyDescent="0.5">
      <c r="A16" s="1" t="s">
        <v>52</v>
      </c>
      <c r="B16" s="1"/>
      <c r="C16" s="3"/>
      <c r="D16" s="3"/>
      <c r="E16" s="3"/>
      <c r="F16" s="3"/>
      <c r="G16" s="3"/>
      <c r="H16" s="3"/>
      <c r="J16" s="1" t="s">
        <v>14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45">
      <c r="A18" s="9" t="s">
        <v>1</v>
      </c>
      <c r="B18" s="13">
        <f ref="B18:C27" si="9" t="shared">B4/$H$13</f>
        <v>4.715690733762071E-4</v>
      </c>
      <c r="C18" s="13">
        <f si="9" t="shared"/>
        <v>0.19345179919667549</v>
      </c>
      <c r="D18" s="13">
        <f ref="D18:G18" si="10" t="shared">D4/$H$13</f>
        <v>0.17326454833162308</v>
      </c>
      <c r="E18" s="13">
        <f si="10" t="shared"/>
        <v>2.0658819938428625E-2</v>
      </c>
      <c r="F18" s="13">
        <f si="10" t="shared"/>
        <v>0.19035879753369714</v>
      </c>
      <c r="G18" s="13">
        <f si="10" t="shared"/>
        <v>3.5645707363545559E-3</v>
      </c>
      <c r="H18" s="13">
        <f ref="H18:H27" si="11" t="shared">H4/$H$13</f>
        <v>0.19345179919667549</v>
      </c>
      <c r="J18" s="9" t="s">
        <v>1</v>
      </c>
      <c r="K18" s="13">
        <f ref="K18:L27" si="12" t="shared">K4/$Q$13</f>
        <v>0</v>
      </c>
      <c r="L18" s="13">
        <f si="12" t="shared"/>
        <v>0.21008336551348158</v>
      </c>
      <c r="M18" s="13">
        <f ref="M18:P18" si="13" t="shared">M4/$Q$13</f>
        <v>0.19065034186675148</v>
      </c>
      <c r="N18" s="13">
        <f si="13" t="shared"/>
        <v>1.9433023646730118E-2</v>
      </c>
      <c r="O18" s="13">
        <f si="13" t="shared"/>
        <v>0.20444994661881288</v>
      </c>
      <c r="P18" s="13">
        <f si="13" t="shared"/>
        <v>5.6334188946686962E-3</v>
      </c>
      <c r="Q18" s="13">
        <f ref="Q18:Q27" si="14" t="shared">Q4/$Q$13</f>
        <v>0.21008336551348158</v>
      </c>
    </row>
    <row r="19" spans="1:22" x14ac:dyDescent="0.45">
      <c r="A19" s="9" t="s">
        <v>2</v>
      </c>
      <c r="B19" s="13">
        <f si="9" t="shared"/>
        <v>7.6497173653924154E-3</v>
      </c>
      <c r="C19" s="13">
        <f si="9" t="shared"/>
        <v>0.47426076431385172</v>
      </c>
      <c r="D19" s="13">
        <f ref="D19:G19" si="15" t="shared">D5/$H$13</f>
        <v>0.35674400665520045</v>
      </c>
      <c r="E19" s="13">
        <f si="15" t="shared"/>
        <v>0.1251664750240436</v>
      </c>
      <c r="F19" s="13">
        <f si="15" t="shared"/>
        <v>0.43939296525744831</v>
      </c>
      <c r="G19" s="13">
        <f si="15" t="shared"/>
        <v>4.2517516421795798E-2</v>
      </c>
      <c r="H19" s="13">
        <f si="11" t="shared"/>
        <v>0.48214626621593226</v>
      </c>
      <c r="J19" s="9" t="s">
        <v>2</v>
      </c>
      <c r="K19" s="13">
        <f si="12" t="shared"/>
        <v>1.716148376984758E-2</v>
      </c>
      <c r="L19" s="13">
        <f si="12" t="shared"/>
        <v>0.48634804533993592</v>
      </c>
      <c r="M19" s="13">
        <f ref="M19:P19" si="16" t="shared">M5/$Q$13</f>
        <v>0.39842809440519728</v>
      </c>
      <c r="N19" s="13">
        <f si="16" t="shared"/>
        <v>0.10508143470458624</v>
      </c>
      <c r="O19" s="13">
        <f si="16" t="shared"/>
        <v>0.46882311518978714</v>
      </c>
      <c r="P19" s="13">
        <f si="16" t="shared"/>
        <v>3.4686413919996363E-2</v>
      </c>
      <c r="Q19" s="13">
        <f si="14" t="shared"/>
        <v>0.50350952910978353</v>
      </c>
    </row>
    <row r="20" spans="1:22" x14ac:dyDescent="0.45">
      <c r="A20" s="9" t="s">
        <v>3</v>
      </c>
      <c r="B20" s="13">
        <f si="9" t="shared"/>
        <v>0</v>
      </c>
      <c r="C20" s="13">
        <f si="9" t="shared"/>
        <v>0.28942224791272547</v>
      </c>
      <c r="D20" s="13">
        <f ref="D20:G20" si="17" t="shared">D6/$H$13</f>
        <v>0.25081283444709485</v>
      </c>
      <c r="E20" s="13">
        <f si="17" t="shared"/>
        <v>3.8609413465630654E-2</v>
      </c>
      <c r="F20" s="13">
        <f si="17" t="shared"/>
        <v>0.28192329866695148</v>
      </c>
      <c r="G20" s="13">
        <f si="17" t="shared"/>
        <v>7.4989492457740005E-3</v>
      </c>
      <c r="H20" s="13">
        <f si="11" t="shared"/>
        <v>0.28965803244941357</v>
      </c>
      <c r="J20" s="9" t="s">
        <v>3</v>
      </c>
      <c r="K20" s="13">
        <f si="12" t="shared"/>
        <v>7.7459509801694566E-3</v>
      </c>
      <c r="L20" s="13">
        <f si="12" t="shared"/>
        <v>0.24115803102923472</v>
      </c>
      <c r="M20" s="13">
        <f ref="M20:P20" si="18" t="shared">M6/$Q$13</f>
        <v>0.19754446539308998</v>
      </c>
      <c r="N20" s="13">
        <f si="18" t="shared"/>
        <v>5.1359516616314202E-2</v>
      </c>
      <c r="O20" s="13">
        <f si="18" t="shared"/>
        <v>0.24475842173409354</v>
      </c>
      <c r="P20" s="13">
        <f si="18" t="shared"/>
        <v>4.1455602753106332E-3</v>
      </c>
      <c r="Q20" s="13">
        <f si="14" t="shared"/>
        <v>0.24890398200940417</v>
      </c>
    </row>
    <row r="21" spans="1:22" x14ac:dyDescent="0.45">
      <c r="A21" s="9" t="s">
        <v>4</v>
      </c>
      <c r="B21" s="13">
        <f si="9" t="shared"/>
        <v>0</v>
      </c>
      <c r="C21" s="13">
        <f si="9" t="shared"/>
        <v>0</v>
      </c>
      <c r="D21" s="13">
        <f ref="D21:G21" si="19" t="shared">D7/$H$13</f>
        <v>0</v>
      </c>
      <c r="E21" s="13">
        <f si="19" t="shared"/>
        <v>0</v>
      </c>
      <c r="F21" s="13">
        <f si="19" t="shared"/>
        <v>0</v>
      </c>
      <c r="G21" s="13">
        <f si="19" t="shared"/>
        <v>0</v>
      </c>
      <c r="H21" s="13">
        <f si="11" t="shared"/>
        <v>0</v>
      </c>
      <c r="J21" s="9" t="s">
        <v>4</v>
      </c>
      <c r="K21" s="13">
        <f si="12" t="shared"/>
        <v>0</v>
      </c>
      <c r="L21" s="13">
        <f si="12" t="shared"/>
        <v>0</v>
      </c>
      <c r="M21" s="13">
        <f ref="M21:P21" si="20" t="shared">M7/$Q$13</f>
        <v>0</v>
      </c>
      <c r="N21" s="13">
        <f si="20" t="shared"/>
        <v>0</v>
      </c>
      <c r="O21" s="13">
        <f si="20" t="shared"/>
        <v>0</v>
      </c>
      <c r="P21" s="13">
        <f si="20" t="shared"/>
        <v>0</v>
      </c>
      <c r="Q21" s="13">
        <f si="14" t="shared"/>
        <v>0</v>
      </c>
    </row>
    <row r="22" spans="1:22" x14ac:dyDescent="0.45">
      <c r="A22" s="9" t="s">
        <v>5</v>
      </c>
      <c r="B22" s="13">
        <f si="9" t="shared"/>
        <v>0</v>
      </c>
      <c r="C22" s="13">
        <f si="9" t="shared"/>
        <v>2.6735488380483734E-4</v>
      </c>
      <c r="D22" s="13">
        <f ref="D22:G22" si="21" t="shared">D8/$H$13</f>
        <v>2.6735488380483734E-4</v>
      </c>
      <c r="E22" s="13">
        <f si="21" t="shared"/>
        <v>0</v>
      </c>
      <c r="F22" s="13">
        <f si="21" t="shared"/>
        <v>2.6735488380483734E-4</v>
      </c>
      <c r="G22" s="13">
        <f si="21" t="shared"/>
        <v>0</v>
      </c>
      <c r="H22" s="13">
        <f si="11" t="shared"/>
        <v>2.6735488380483734E-4</v>
      </c>
      <c r="J22" s="9" t="s">
        <v>5</v>
      </c>
      <c r="K22" s="13">
        <f si="12" t="shared"/>
        <v>4.7702337414533315E-3</v>
      </c>
      <c r="L22" s="13">
        <f si="12" t="shared"/>
        <v>1.2152738341321581E-3</v>
      </c>
      <c r="M22" s="13">
        <f ref="M22:P22" si="22" t="shared">M8/$Q$13</f>
        <v>5.7924266860504732E-3</v>
      </c>
      <c r="N22" s="13">
        <f si="22" t="shared"/>
        <v>1.9308088953501578E-4</v>
      </c>
      <c r="O22" s="13">
        <f si="22" t="shared"/>
        <v>5.8946459805101882E-3</v>
      </c>
      <c r="P22" s="13">
        <f si="22" t="shared"/>
        <v>9.0861595075301545E-5</v>
      </c>
      <c r="Q22" s="13">
        <f si="14" t="shared"/>
        <v>5.9855075755854891E-3</v>
      </c>
    </row>
    <row r="23" spans="1:22" x14ac:dyDescent="0.45">
      <c r="A23" s="9" t="s">
        <v>6</v>
      </c>
      <c r="B23" s="13">
        <f si="9" t="shared"/>
        <v>0</v>
      </c>
      <c r="C23" s="13">
        <f si="9" t="shared"/>
        <v>6.2546842167357595E-3</v>
      </c>
      <c r="D23" s="13">
        <f ref="D23:G23" si="23" t="shared">D9/$H$13</f>
        <v>1.1214360763607989E-3</v>
      </c>
      <c r="E23" s="13">
        <f si="23" t="shared"/>
        <v>5.1332481403749608E-3</v>
      </c>
      <c r="F23" s="13">
        <f si="23" t="shared"/>
        <v>6.2546842167357595E-3</v>
      </c>
      <c r="G23" s="13">
        <f si="23" t="shared"/>
        <v>0</v>
      </c>
      <c r="H23" s="13">
        <f si="11" t="shared"/>
        <v>6.2546842167357595E-3</v>
      </c>
      <c r="J23" s="9" t="s">
        <v>6</v>
      </c>
      <c r="K23" s="13">
        <f si="12" t="shared"/>
        <v>2.9530018399473001E-4</v>
      </c>
      <c r="L23" s="13">
        <f si="12" t="shared"/>
        <v>2.1693205824228246E-3</v>
      </c>
      <c r="M23" s="13">
        <f ref="M23:P23" si="24" t="shared">M9/$Q$13</f>
        <v>2.0330281898098719E-3</v>
      </c>
      <c r="N23" s="13">
        <f si="24" t="shared"/>
        <v>4.3159257660768235E-4</v>
      </c>
      <c r="O23" s="13">
        <f si="24" t="shared"/>
        <v>2.2488244781137131E-3</v>
      </c>
      <c r="P23" s="13">
        <f si="24" t="shared"/>
        <v>2.1579628830384117E-4</v>
      </c>
      <c r="Q23" s="13">
        <f si="14" t="shared"/>
        <v>2.4646207664175543E-3</v>
      </c>
    </row>
    <row r="24" spans="1:22" x14ac:dyDescent="0.45">
      <c r="A24" s="9" t="s">
        <v>7</v>
      </c>
      <c r="B24" s="13">
        <f si="9" t="shared"/>
        <v>2.5741121083210769E-3</v>
      </c>
      <c r="C24" s="13">
        <f si="9" t="shared"/>
        <v>2.3274818948914276E-2</v>
      </c>
      <c r="D24" s="13">
        <f ref="D24:G24" si="25" t="shared">D10/$H$13</f>
        <v>9.0179345554584206E-3</v>
      </c>
      <c r="E24" s="13">
        <f si="25" t="shared"/>
        <v>1.683099650177693E-2</v>
      </c>
      <c r="F24" s="13">
        <f si="25" t="shared"/>
        <v>1.4482154703835053E-2</v>
      </c>
      <c r="G24" s="13">
        <f si="25" t="shared"/>
        <v>1.1366776353400301E-2</v>
      </c>
      <c r="H24" s="13">
        <f si="11" t="shared"/>
        <v>2.5848931057235354E-2</v>
      </c>
      <c r="J24" s="9" t="s">
        <v>7</v>
      </c>
      <c r="K24" s="13">
        <f si="12" t="shared"/>
        <v>6.1899461645049175E-3</v>
      </c>
      <c r="L24" s="13">
        <f si="12" t="shared"/>
        <v>2.286304886082275E-2</v>
      </c>
      <c r="M24" s="13">
        <f ref="M24:P24" si="26" t="shared">M10/$Q$13</f>
        <v>2.2987983554051291E-2</v>
      </c>
      <c r="N24" s="13">
        <f si="26" t="shared"/>
        <v>6.0650114712763785E-3</v>
      </c>
      <c r="O24" s="13">
        <f si="26" t="shared"/>
        <v>2.7303909320128116E-2</v>
      </c>
      <c r="P24" s="13">
        <f si="26" t="shared"/>
        <v>1.7490857051995548E-3</v>
      </c>
      <c r="Q24" s="13">
        <f si="14" t="shared"/>
        <v>2.9052995025327669E-2</v>
      </c>
    </row>
    <row r="25" spans="1:22" x14ac:dyDescent="0.45">
      <c r="A25" s="9" t="s">
        <v>8</v>
      </c>
      <c r="B25" s="13">
        <f si="9" t="shared"/>
        <v>0</v>
      </c>
      <c r="C25" s="13">
        <f si="9" t="shared"/>
        <v>2.3729319802025641E-3</v>
      </c>
      <c r="D25" s="13">
        <f ref="D25:G26" si="27" t="shared">D11/$H$13</f>
        <v>2.3729319802025641E-3</v>
      </c>
      <c r="E25" s="13">
        <f si="27" t="shared"/>
        <v>0</v>
      </c>
      <c r="F25" s="13">
        <f si="27" t="shared"/>
        <v>2.3729319802025641E-3</v>
      </c>
      <c r="G25" s="13">
        <f si="27" t="shared"/>
        <v>0</v>
      </c>
      <c r="H25" s="13">
        <f si="11" t="shared"/>
        <v>2.3729319802025641E-3</v>
      </c>
      <c r="J25" s="9" t="s">
        <v>8</v>
      </c>
      <c r="K25" s="13">
        <f si="12" t="shared"/>
        <v>0</v>
      </c>
      <c r="L25" s="13">
        <f si="12" t="shared"/>
        <v>0</v>
      </c>
      <c r="M25" s="13">
        <f ref="M25:P26" si="28" t="shared">M11/$Q$13</f>
        <v>0</v>
      </c>
      <c r="N25" s="13">
        <f si="28" t="shared"/>
        <v>0</v>
      </c>
      <c r="O25" s="13">
        <f si="28" t="shared"/>
        <v>0</v>
      </c>
      <c r="P25" s="13">
        <f si="28" t="shared"/>
        <v>0</v>
      </c>
      <c r="Q25" s="13">
        <f si="14" t="shared"/>
        <v>0</v>
      </c>
    </row>
    <row r="26" spans="1:22" x14ac:dyDescent="0.4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4.65" r="27" spans="1:22" thickBot="1" x14ac:dyDescent="0.5">
      <c r="A27" s="83" t="s">
        <v>19</v>
      </c>
      <c r="B27" s="86">
        <f si="9" t="shared"/>
        <v>1.0695398547089698E-2</v>
      </c>
      <c r="C27" s="86">
        <f si="9" t="shared"/>
        <v>0.9893046014529101</v>
      </c>
      <c r="D27" s="86">
        <f ref="D27:G27" si="29" t="shared">D13/$H$13</f>
        <v>0.79360104692974531</v>
      </c>
      <c r="E27" s="86">
        <f si="29" t="shared"/>
        <v>0.2063989530702548</v>
      </c>
      <c r="F27" s="86">
        <f si="29" t="shared"/>
        <v>0.93505218724267547</v>
      </c>
      <c r="G27" s="86">
        <f si="29" t="shared"/>
        <v>6.4947812757324655E-2</v>
      </c>
      <c r="H27" s="86">
        <f si="11" t="shared"/>
        <v>1</v>
      </c>
      <c r="J27" s="83" t="s">
        <v>19</v>
      </c>
      <c r="K27" s="86">
        <f si="12" t="shared"/>
        <v>3.6162914839970015E-2</v>
      </c>
      <c r="L27" s="86">
        <f si="12" t="shared"/>
        <v>0.96383708516002997</v>
      </c>
      <c r="M27" s="86">
        <f ref="M27:P27" si="30" t="shared">M13/$Q$13</f>
        <v>0.81743634009495036</v>
      </c>
      <c r="N27" s="86">
        <f si="30" t="shared"/>
        <v>0.18256365990504964</v>
      </c>
      <c r="O27" s="86">
        <f si="30" t="shared"/>
        <v>0.9534788633214456</v>
      </c>
      <c r="P27" s="86">
        <f si="30" t="shared"/>
        <v>4.6521136678554391E-2</v>
      </c>
      <c r="Q27" s="86">
        <f si="14" t="shared"/>
        <v>1</v>
      </c>
    </row>
    <row ht="14.65" r="30" spans="1:22" thickBot="1" x14ac:dyDescent="0.5">
      <c r="J30" s="1" t="s">
        <v>32</v>
      </c>
      <c r="K30" s="1"/>
      <c r="L30" s="3"/>
      <c r="M30" s="3"/>
      <c r="N30" s="3"/>
      <c r="O30" s="3"/>
      <c r="P30" s="3"/>
      <c r="Q30" s="3"/>
      <c r="S30" s="15" t="s">
        <v>40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31" t="shared">K18-B18</f>
        <v>-4.715690733762071E-4</v>
      </c>
      <c r="L32" s="13">
        <f ref="L32:L40" si="32" t="shared">L18-C18</f>
        <v>1.6631566316806096E-2</v>
      </c>
      <c r="M32" s="13">
        <f ref="M32:M40" si="33" t="shared">M18-D18</f>
        <v>1.7385793535128397E-2</v>
      </c>
      <c r="N32" s="13">
        <f ref="N32:N40" si="34" t="shared">N18-E18</f>
        <v>-1.2257962916985068E-3</v>
      </c>
      <c r="O32" s="13">
        <f ref="O32:O40" si="35" t="shared">O18-F18</f>
        <v>1.4091149085115745E-2</v>
      </c>
      <c r="P32" s="13">
        <f ref="P32:P40" si="36" t="shared">P18-G18</f>
        <v>2.0688481583141403E-3</v>
      </c>
      <c r="Q32" s="13">
        <f ref="Q32:Q40" si="37" t="shared">Q18-H18</f>
        <v>1.6631566316806096E-2</v>
      </c>
      <c r="S32" s="82" t="s">
        <v>1</v>
      </c>
      <c r="T32" s="87">
        <f ref="T32:T40" si="38" t="shared">H18</f>
        <v>0.19345179919667549</v>
      </c>
      <c r="U32" s="87">
        <f ref="U32:U40" si="39" t="shared">Q18</f>
        <v>0.21008336551348158</v>
      </c>
      <c r="V32" s="87">
        <f>U32-T32</f>
        <v>1.6631566316806096E-2</v>
      </c>
    </row>
    <row r="33" spans="10:22" x14ac:dyDescent="0.45">
      <c r="J33" s="9" t="s">
        <v>2</v>
      </c>
      <c r="K33" s="13">
        <f si="31" t="shared"/>
        <v>9.5117664044551652E-3</v>
      </c>
      <c r="L33" s="13">
        <f si="32" t="shared"/>
        <v>1.2087281026084196E-2</v>
      </c>
      <c r="M33" s="13">
        <f si="33" t="shared"/>
        <v>4.1684087749996823E-2</v>
      </c>
      <c r="N33" s="13">
        <f si="34" t="shared"/>
        <v>-2.0085040319457362E-2</v>
      </c>
      <c r="O33" s="13">
        <f si="35" t="shared"/>
        <v>2.9430149932338834E-2</v>
      </c>
      <c r="P33" s="13">
        <f si="36" t="shared"/>
        <v>-7.8311025017994348E-3</v>
      </c>
      <c r="Q33" s="13">
        <f si="37" t="shared"/>
        <v>2.1363262893851265E-2</v>
      </c>
      <c r="S33" s="84" t="s">
        <v>2</v>
      </c>
      <c r="T33" s="85">
        <f si="38" t="shared"/>
        <v>0.48214626621593226</v>
      </c>
      <c r="U33" s="85">
        <f si="39" t="shared"/>
        <v>0.50350952910978353</v>
      </c>
      <c r="V33" s="85">
        <f ref="V33:V41" si="40" t="shared">U33-T33</f>
        <v>2.1363262893851265E-2</v>
      </c>
    </row>
    <row r="34" spans="10:22" x14ac:dyDescent="0.45">
      <c r="J34" s="9" t="s">
        <v>3</v>
      </c>
      <c r="K34" s="13">
        <f si="31" t="shared"/>
        <v>7.7459509801694566E-3</v>
      </c>
      <c r="L34" s="13">
        <f si="32" t="shared"/>
        <v>-4.8264216883490751E-2</v>
      </c>
      <c r="M34" s="13">
        <f si="33" t="shared"/>
        <v>-5.3268369054004866E-2</v>
      </c>
      <c r="N34" s="13">
        <f si="34" t="shared"/>
        <v>1.2750103150683548E-2</v>
      </c>
      <c r="O34" s="13">
        <f si="35" t="shared"/>
        <v>-3.7164876932857943E-2</v>
      </c>
      <c r="P34" s="13">
        <f si="36" t="shared"/>
        <v>-3.3533889704633673E-3</v>
      </c>
      <c r="Q34" s="13">
        <f si="37" t="shared"/>
        <v>-4.0754050440009404E-2</v>
      </c>
      <c r="S34" s="17" t="s">
        <v>3</v>
      </c>
      <c r="T34" s="88">
        <f si="38" t="shared"/>
        <v>0.28965803244941357</v>
      </c>
      <c r="U34" s="88">
        <f si="39" t="shared"/>
        <v>0.24890398200940417</v>
      </c>
      <c r="V34" s="88">
        <f si="40" t="shared"/>
        <v>-4.0754050440009404E-2</v>
      </c>
    </row>
    <row r="35" spans="10:22" x14ac:dyDescent="0.45">
      <c r="J35" s="9" t="s">
        <v>4</v>
      </c>
      <c r="K35" s="13">
        <f si="31" t="shared"/>
        <v>0</v>
      </c>
      <c r="L35" s="13">
        <f si="32" t="shared"/>
        <v>0</v>
      </c>
      <c r="M35" s="13">
        <f si="33" t="shared"/>
        <v>0</v>
      </c>
      <c r="N35" s="13">
        <f si="34" t="shared"/>
        <v>0</v>
      </c>
      <c r="O35" s="13">
        <f si="35" t="shared"/>
        <v>0</v>
      </c>
      <c r="P35" s="13">
        <f si="36" t="shared"/>
        <v>0</v>
      </c>
      <c r="Q35" s="13">
        <f si="37" t="shared"/>
        <v>0</v>
      </c>
      <c r="S35" s="84" t="s">
        <v>4</v>
      </c>
      <c r="T35" s="85">
        <f si="38" t="shared"/>
        <v>0</v>
      </c>
      <c r="U35" s="85">
        <f si="39" t="shared"/>
        <v>0</v>
      </c>
      <c r="V35" s="85">
        <f si="40" t="shared"/>
        <v>0</v>
      </c>
    </row>
    <row r="36" spans="10:22" x14ac:dyDescent="0.45">
      <c r="J36" s="9" t="s">
        <v>5</v>
      </c>
      <c r="K36" s="13">
        <f si="31" t="shared"/>
        <v>4.7702337414533315E-3</v>
      </c>
      <c r="L36" s="13">
        <f si="32" t="shared"/>
        <v>9.4791895032732081E-4</v>
      </c>
      <c r="M36" s="13">
        <f si="33" t="shared"/>
        <v>5.5250718022456357E-3</v>
      </c>
      <c r="N36" s="13">
        <f si="34" t="shared"/>
        <v>1.9308088953501578E-4</v>
      </c>
      <c r="O36" s="13">
        <f si="35" t="shared"/>
        <v>5.6272910967053507E-3</v>
      </c>
      <c r="P36" s="13">
        <f si="36" t="shared"/>
        <v>9.0861595075301545E-5</v>
      </c>
      <c r="Q36" s="13">
        <f si="37" t="shared"/>
        <v>5.7181526917806516E-3</v>
      </c>
      <c r="S36" s="17" t="s">
        <v>5</v>
      </c>
      <c r="T36" s="88">
        <f si="38" t="shared"/>
        <v>2.6735488380483734E-4</v>
      </c>
      <c r="U36" s="88">
        <f si="39" t="shared"/>
        <v>5.9855075755854891E-3</v>
      </c>
      <c r="V36" s="88">
        <f si="40" t="shared"/>
        <v>5.7181526917806516E-3</v>
      </c>
    </row>
    <row r="37" spans="10:22" x14ac:dyDescent="0.45">
      <c r="J37" s="9" t="s">
        <v>6</v>
      </c>
      <c r="K37" s="13">
        <f si="31" t="shared"/>
        <v>2.9530018399473001E-4</v>
      </c>
      <c r="L37" s="13">
        <f si="32" t="shared"/>
        <v>-4.0853636343129354E-3</v>
      </c>
      <c r="M37" s="13">
        <f si="33" t="shared"/>
        <v>9.1159211344907297E-4</v>
      </c>
      <c r="N37" s="13">
        <f si="34" t="shared"/>
        <v>-4.7016555637672784E-3</v>
      </c>
      <c r="O37" s="13">
        <f si="35" t="shared"/>
        <v>-4.005859738622046E-3</v>
      </c>
      <c r="P37" s="13">
        <f si="36" t="shared"/>
        <v>2.1579628830384117E-4</v>
      </c>
      <c r="Q37" s="13">
        <f si="37" t="shared"/>
        <v>-3.7900634503182052E-3</v>
      </c>
      <c r="S37" s="84" t="s">
        <v>6</v>
      </c>
      <c r="T37" s="85">
        <f si="38" t="shared"/>
        <v>6.2546842167357595E-3</v>
      </c>
      <c r="U37" s="85">
        <f si="39" t="shared"/>
        <v>2.4646207664175543E-3</v>
      </c>
      <c r="V37" s="85">
        <f si="40" t="shared"/>
        <v>-3.7900634503182052E-3</v>
      </c>
    </row>
    <row r="38" spans="10:22" x14ac:dyDescent="0.45">
      <c r="J38" s="9" t="s">
        <v>7</v>
      </c>
      <c r="K38" s="13">
        <f si="31" t="shared"/>
        <v>3.6158340561838406E-3</v>
      </c>
      <c r="L38" s="13">
        <f si="32" t="shared"/>
        <v>-4.1177008809152593E-4</v>
      </c>
      <c r="M38" s="13">
        <f si="33" t="shared"/>
        <v>1.397004899859287E-2</v>
      </c>
      <c r="N38" s="13">
        <f si="34" t="shared"/>
        <v>-1.0765985030500552E-2</v>
      </c>
      <c r="O38" s="13">
        <f si="35" t="shared"/>
        <v>1.2821754616293063E-2</v>
      </c>
      <c r="P38" s="13">
        <f si="36" t="shared"/>
        <v>-9.6176906482007465E-3</v>
      </c>
      <c r="Q38" s="13">
        <f si="37" t="shared"/>
        <v>3.2040639680923147E-3</v>
      </c>
      <c r="S38" s="17" t="s">
        <v>7</v>
      </c>
      <c r="T38" s="88">
        <f si="38" t="shared"/>
        <v>2.5848931057235354E-2</v>
      </c>
      <c r="U38" s="88">
        <f si="39" t="shared"/>
        <v>2.9052995025327669E-2</v>
      </c>
      <c r="V38" s="88">
        <f si="40" t="shared"/>
        <v>3.2040639680923147E-3</v>
      </c>
    </row>
    <row r="39" spans="10:22" x14ac:dyDescent="0.45">
      <c r="J39" s="9" t="s">
        <v>8</v>
      </c>
      <c r="K39" s="13">
        <f si="31" t="shared"/>
        <v>0</v>
      </c>
      <c r="L39" s="13">
        <f si="32" t="shared"/>
        <v>-2.3729319802025641E-3</v>
      </c>
      <c r="M39" s="13">
        <f si="33" t="shared"/>
        <v>-2.3729319802025641E-3</v>
      </c>
      <c r="N39" s="13">
        <f si="34" t="shared"/>
        <v>0</v>
      </c>
      <c r="O39" s="13">
        <f si="35" t="shared"/>
        <v>-2.3729319802025641E-3</v>
      </c>
      <c r="P39" s="13">
        <f si="36" t="shared"/>
        <v>0</v>
      </c>
      <c r="Q39" s="13">
        <f si="37" t="shared"/>
        <v>-2.3729319802025641E-3</v>
      </c>
      <c r="S39" s="84" t="s">
        <v>8</v>
      </c>
      <c r="T39" s="85">
        <f si="38" t="shared"/>
        <v>2.3729319802025641E-3</v>
      </c>
      <c r="U39" s="85">
        <f si="39" t="shared"/>
        <v>0</v>
      </c>
      <c r="V39" s="85">
        <f si="40" t="shared"/>
        <v>-2.3729319802025641E-3</v>
      </c>
    </row>
    <row r="40" spans="10:22" x14ac:dyDescent="0.4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89">
        <f si="38" t="shared"/>
        <v>0</v>
      </c>
      <c r="U40" s="89">
        <f si="39" t="shared"/>
        <v>0</v>
      </c>
      <c r="V40" s="89">
        <f ref="V40" si="41" t="shared">U40-T40</f>
        <v>0</v>
      </c>
    </row>
    <row ht="14.65" r="41" spans="10:22" thickBot="1" x14ac:dyDescent="0.5">
      <c r="J41" s="83" t="s">
        <v>19</v>
      </c>
      <c r="K41" s="86">
        <f ref="K41" si="42" t="shared">K27-B27</f>
        <v>2.5467516292880316E-2</v>
      </c>
      <c r="L41" s="86">
        <f ref="L41" si="43" t="shared">L27-C27</f>
        <v>-2.5467516292880132E-2</v>
      </c>
      <c r="M41" s="86">
        <f ref="M41" si="44" t="shared">M27-D27</f>
        <v>2.3835293165205051E-2</v>
      </c>
      <c r="N41" s="86">
        <f ref="N41" si="45" t="shared">N27-E27</f>
        <v>-2.3835293165205163E-2</v>
      </c>
      <c r="O41" s="86">
        <f ref="O41" si="46" t="shared">O27-F27</f>
        <v>1.8426676078770132E-2</v>
      </c>
      <c r="P41" s="86">
        <f ref="P41" si="47" t="shared">P27-G27</f>
        <v>-1.8426676078770264E-2</v>
      </c>
      <c r="Q41" s="86">
        <f ref="Q41" si="48" t="shared">Q27-H27</f>
        <v>0</v>
      </c>
      <c r="S41" s="90" t="s">
        <v>19</v>
      </c>
      <c r="T41" s="91">
        <f ref="T41" si="49" t="shared">H27</f>
        <v>1</v>
      </c>
      <c r="U41" s="91">
        <f ref="U41" si="50" t="shared">Q27</f>
        <v>1</v>
      </c>
      <c r="V41" s="91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W41"/>
  <sheetViews>
    <sheetView topLeftCell="F1" workbookViewId="0">
      <selection activeCell="S16" sqref="S16"/>
    </sheetView>
  </sheetViews>
  <sheetFormatPr defaultRowHeight="14.25" x14ac:dyDescent="0.45"/>
  <cols>
    <col min="1" max="8" customWidth="true" width="16.73046875" collapsed="true"/>
    <col min="10" max="17" customWidth="true" width="16.73046875" collapsed="true"/>
    <col min="19" max="19" customWidth="true" width="16.73046875" collapsed="true"/>
    <col min="20" max="22" customWidth="true" width="11.86328125" collapsed="true"/>
  </cols>
  <sheetData>
    <row ht="14.65" r="2" spans="1:17" thickBot="1" x14ac:dyDescent="0.5">
      <c r="A2" s="1" t="s">
        <v>53</v>
      </c>
      <c r="B2" s="1"/>
      <c r="C2" s="3"/>
      <c r="D2" s="3"/>
      <c r="E2" s="3"/>
      <c r="F2" s="3"/>
      <c r="G2" s="3"/>
      <c r="H2" s="3"/>
      <c r="J2" s="1" t="s">
        <v>16</v>
      </c>
      <c r="K2" s="1"/>
      <c r="L2" s="3"/>
      <c r="M2" s="3"/>
      <c r="N2" s="3"/>
      <c r="O2" s="3"/>
      <c r="P2" s="3"/>
      <c r="Q2" s="3"/>
    </row>
    <row r="3" spans="1:17" x14ac:dyDescent="0.4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45">
      <c r="A4" s="9" t="s">
        <v>1</v>
      </c>
      <c r="B4" s="9" t="n">
        <v>159.7334466960648</v>
      </c>
      <c r="C4" s="9" t="n">
        <v>83398.3042717022</v>
      </c>
      <c r="D4" s="9" t="n">
        <v>75952.68376930516</v>
      </c>
      <c r="E4" s="9" t="n">
        <v>7605.353949093095</v>
      </c>
      <c r="F4" s="9" t="n">
        <v>81559.06983639643</v>
      </c>
      <c r="G4" s="9" t="n">
        <v>1998.9678820018337</v>
      </c>
      <c r="H4" s="9">
        <f>SUM(B4:C4)-B4</f>
        <v>83398.304271702204</v>
      </c>
      <c r="I4" s="9"/>
      <c r="J4" s="9" t="s">
        <v>1</v>
      </c>
      <c r="K4" s="9" t="n">
        <v>0.0</v>
      </c>
      <c r="L4" s="9" t="n">
        <v>68892.0</v>
      </c>
      <c r="M4" s="9" t="n">
        <v>59963.0</v>
      </c>
      <c r="N4" s="9" t="n">
        <v>8929.0</v>
      </c>
      <c r="O4" s="9" t="n">
        <v>66478.0</v>
      </c>
      <c r="P4" s="9" t="n">
        <v>2414.0</v>
      </c>
      <c r="Q4" s="9">
        <f>SUM(K4:L4)</f>
        <v>68738</v>
      </c>
    </row>
    <row r="5" spans="1:17" x14ac:dyDescent="0.45">
      <c r="A5" s="9" t="s">
        <v>2</v>
      </c>
      <c r="B5" s="9" t="n">
        <v>1080.6628418987298</v>
      </c>
      <c r="C5" s="9" t="n">
        <v>70934.24386469224</v>
      </c>
      <c r="D5" s="9" t="n">
        <v>58846.70612435429</v>
      </c>
      <c r="E5" s="9" t="n">
        <v>13168.200582236674</v>
      </c>
      <c r="F5" s="9" t="n">
        <v>67748.45144140812</v>
      </c>
      <c r="G5" s="9" t="n">
        <v>4266.455265182848</v>
      </c>
      <c r="H5" s="9">
        <f>SUM(B5:C5)+0.5*B4</f>
        <v>72094.773429938999</v>
      </c>
      <c r="I5" s="9"/>
      <c r="J5" s="9" t="s">
        <v>2</v>
      </c>
      <c r="K5" s="9" t="n">
        <v>1946.0</v>
      </c>
      <c r="L5" s="9" t="n">
        <v>70276.0</v>
      </c>
      <c r="M5" s="9" t="n">
        <v>56757.0</v>
      </c>
      <c r="N5" s="9" t="n">
        <v>15465.0</v>
      </c>
      <c r="O5" s="9" t="n">
        <v>67281.0</v>
      </c>
      <c r="P5" s="9" t="n">
        <v>4941.0</v>
      </c>
      <c r="Q5" s="9">
        <f ref="Q5:Q12" si="0" t="shared">SUM(K5:L5)</f>
        <v>72045</v>
      </c>
    </row>
    <row r="6" spans="1:17" x14ac:dyDescent="0.45">
      <c r="A6" s="9" t="s">
        <v>3</v>
      </c>
      <c r="B6" s="9" t="n">
        <v>973.2307692347657</v>
      </c>
      <c r="C6" s="9" t="n">
        <v>60712.487439963515</v>
      </c>
      <c r="D6" s="9" t="n">
        <v>54113.26988797387</v>
      </c>
      <c r="E6" s="9" t="n">
        <v>7572.44832122441</v>
      </c>
      <c r="F6" s="9" t="n">
        <v>61054.521239258866</v>
      </c>
      <c r="G6" s="9" t="n">
        <v>631.1969699394147</v>
      </c>
      <c r="H6" s="9">
        <f>SUM(B6:C6)+0.5*B4</f>
        <v>61765.584932546313</v>
      </c>
      <c r="I6" s="9"/>
      <c r="J6" s="9" t="s">
        <v>3</v>
      </c>
      <c r="K6" s="9" t="n">
        <v>1124.0</v>
      </c>
      <c r="L6" s="9" t="n">
        <v>48451.0</v>
      </c>
      <c r="M6" s="9" t="n">
        <v>39724.0</v>
      </c>
      <c r="N6" s="9" t="n">
        <v>9851.0</v>
      </c>
      <c r="O6" s="9" t="n">
        <v>48765.0</v>
      </c>
      <c r="P6" s="9" t="n">
        <v>810.0</v>
      </c>
      <c r="Q6" s="9">
        <f si="0" t="shared"/>
        <v>49804</v>
      </c>
    </row>
    <row r="7" spans="1:17" x14ac:dyDescent="0.45">
      <c r="A7" s="9" t="s">
        <v>4</v>
      </c>
      <c r="B7" s="101" t="n">
        <v>0.0</v>
      </c>
      <c r="C7" s="101" t="n">
        <v>282.585670980127</v>
      </c>
      <c r="D7" s="101" t="n">
        <v>282.585670980127</v>
      </c>
      <c r="E7" s="101" t="n">
        <v>0.0</v>
      </c>
      <c r="F7" s="101" t="n">
        <v>282.585670980127</v>
      </c>
      <c r="G7" s="101" t="n">
        <v>0.0</v>
      </c>
      <c r="H7" s="101">
        <f ref="H7:H12" si="1" t="shared">SUM(B7:C7)</f>
        <v>282.58567098012702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45">
      <c r="A8" s="9" t="s">
        <v>5</v>
      </c>
      <c r="B8" s="101" t="n">
        <v>267.8510108965802</v>
      </c>
      <c r="C8" s="101" t="n">
        <v>236.6426498516682</v>
      </c>
      <c r="D8" s="101" t="n">
        <v>417.7598684851929</v>
      </c>
      <c r="E8" s="101" t="n">
        <v>86.7337922630555</v>
      </c>
      <c r="F8" s="101" t="n">
        <v>454.9829232470193</v>
      </c>
      <c r="G8" s="101" t="n">
        <v>49.5107375012291</v>
      </c>
      <c r="H8" s="101">
        <f si="1" t="shared"/>
        <v>504.49366074824843</v>
      </c>
      <c r="I8" s="9"/>
      <c r="J8" s="9" t="s">
        <v>5</v>
      </c>
      <c r="K8" s="9" t="n">
        <v>811.0</v>
      </c>
      <c r="L8" s="9" t="n">
        <v>314.0</v>
      </c>
      <c r="M8" s="9" t="n">
        <v>1046.0</v>
      </c>
      <c r="N8" s="9" t="n">
        <v>79.0</v>
      </c>
      <c r="O8" s="9" t="n">
        <v>1097.0</v>
      </c>
      <c r="P8" s="9" t="n">
        <v>28.0</v>
      </c>
      <c r="Q8" s="9">
        <f si="0" t="shared"/>
        <v>1110</v>
      </c>
    </row>
    <row r="9" spans="1:17" x14ac:dyDescent="0.45">
      <c r="A9" s="9" t="s">
        <v>6</v>
      </c>
      <c r="B9" s="9" t="n">
        <v>0.0</v>
      </c>
      <c r="C9" s="9" t="n">
        <v>2671.235180589374</v>
      </c>
      <c r="D9" s="9" t="n">
        <v>2217.142962046495</v>
      </c>
      <c r="E9" s="9" t="n">
        <v>454.0922185428791</v>
      </c>
      <c r="F9" s="9" t="n">
        <v>2671.235180589374</v>
      </c>
      <c r="G9" s="9" t="n">
        <v>0.0</v>
      </c>
      <c r="H9" s="9">
        <f si="1" t="shared"/>
        <v>2671.2351805893741</v>
      </c>
      <c r="I9" s="9"/>
      <c r="J9" s="9" t="s">
        <v>6</v>
      </c>
      <c r="K9" s="9" t="n">
        <v>160.0</v>
      </c>
      <c r="L9" s="9" t="n">
        <v>1821.0</v>
      </c>
      <c r="M9" s="9" t="n">
        <v>1584.0</v>
      </c>
      <c r="N9" s="9" t="n">
        <v>397.0</v>
      </c>
      <c r="O9" s="9" t="n">
        <v>1848.0</v>
      </c>
      <c r="P9" s="9" t="n">
        <v>133.0</v>
      </c>
      <c r="Q9" s="9">
        <f si="0" t="shared"/>
        <v>1874</v>
      </c>
    </row>
    <row r="10" spans="1:17" x14ac:dyDescent="0.45">
      <c r="A10" s="9" t="s">
        <v>7</v>
      </c>
      <c r="B10" s="9" t="n">
        <v>2809.229391908223</v>
      </c>
      <c r="C10" s="9" t="n">
        <v>21236.827433665036</v>
      </c>
      <c r="D10" s="9" t="n">
        <v>21049.36342552774</v>
      </c>
      <c r="E10" s="9" t="n">
        <v>2996.6934000455212</v>
      </c>
      <c r="F10" s="9" t="n">
        <v>23759.941814752005</v>
      </c>
      <c r="G10" s="9" t="n">
        <v>286.1150108212563</v>
      </c>
      <c r="H10" s="9">
        <f si="1" t="shared"/>
        <v>24046.056825573258</v>
      </c>
      <c r="I10" s="9"/>
      <c r="J10" s="9" t="s">
        <v>7</v>
      </c>
      <c r="K10" s="9" t="n">
        <v>1699.0</v>
      </c>
      <c r="L10" s="9" t="n">
        <v>12073.0</v>
      </c>
      <c r="M10" s="9" t="n">
        <v>10440.0</v>
      </c>
      <c r="N10" s="9" t="n">
        <v>3332.0</v>
      </c>
      <c r="O10" s="9" t="n">
        <v>12880.0</v>
      </c>
      <c r="P10" s="9" t="n">
        <v>892.0</v>
      </c>
      <c r="Q10" s="9">
        <f si="0" t="shared"/>
        <v>13845</v>
      </c>
    </row>
    <row r="11" spans="1:17" x14ac:dyDescent="0.45">
      <c r="A11" s="9" t="s">
        <v>8</v>
      </c>
      <c r="B11" s="9" t="n">
        <v>36.9082176358203</v>
      </c>
      <c r="C11" s="9" t="n">
        <v>3009.7688870833504</v>
      </c>
      <c r="D11" s="9" t="n">
        <v>1546.2329057954182</v>
      </c>
      <c r="E11" s="9" t="n">
        <v>1500.4441989237528</v>
      </c>
      <c r="F11" s="9" t="n">
        <v>2744.2415356310594</v>
      </c>
      <c r="G11" s="9" t="n">
        <v>302.4355690881114</v>
      </c>
      <c r="H11" s="9">
        <f si="1" t="shared"/>
        <v>3046.6771047191705</v>
      </c>
      <c r="I11" s="9"/>
      <c r="J11" s="9" t="s">
        <v>8</v>
      </c>
      <c r="K11" s="9" t="n">
        <v>0.0</v>
      </c>
      <c r="L11" s="9" t="n">
        <v>0.0</v>
      </c>
      <c r="M11" s="9" t="n">
        <v>0.0</v>
      </c>
      <c r="N11" s="9" t="n">
        <v>0.0</v>
      </c>
      <c r="O11" s="9" t="n">
        <v>0.0</v>
      </c>
      <c r="P11" s="9" t="n">
        <v>0.0</v>
      </c>
      <c r="Q11" s="9">
        <f si="0" t="shared"/>
        <v>0</v>
      </c>
    </row>
    <row r="12" spans="1:17" x14ac:dyDescent="0.4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9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9">
        <f si="0" t="shared"/>
        <v>0</v>
      </c>
    </row>
    <row ht="14.65" r="13" spans="1:17" thickBot="1" x14ac:dyDescent="0.5">
      <c r="A13" s="83" t="s">
        <v>19</v>
      </c>
      <c r="B13" s="83">
        <f>SUM(B4:B12)</f>
        <v>5327.6156782701837</v>
      </c>
      <c r="C13" s="83">
        <f ref="C13:H13" si="2" t="shared">SUM(C4:C12)</f>
        <v>242482.09539852751</v>
      </c>
      <c r="D13" s="83">
        <f si="2" t="shared"/>
        <v>214425.74461446828</v>
      </c>
      <c r="E13" s="83">
        <f si="2" t="shared"/>
        <v>33383.966462329387</v>
      </c>
      <c r="F13" s="83">
        <f si="2" t="shared"/>
        <v>240275.02964226302</v>
      </c>
      <c r="G13" s="83">
        <f si="2" t="shared"/>
        <v>7534.6814345346929</v>
      </c>
      <c r="H13" s="83">
        <f si="2" t="shared"/>
        <v>247809.71107679766</v>
      </c>
      <c r="J13" s="83" t="s">
        <v>19</v>
      </c>
      <c r="K13" s="83">
        <f>SUM(K4:K12)</f>
        <v>6632</v>
      </c>
      <c r="L13" s="83">
        <f ref="L13" si="3" t="shared">SUM(L4:L12)</f>
        <v>200784</v>
      </c>
      <c r="M13" s="83">
        <f ref="M13" si="4" t="shared">SUM(M4:M12)</f>
        <v>167588</v>
      </c>
      <c r="N13" s="83">
        <f ref="N13" si="5" t="shared">SUM(N4:N12)</f>
        <v>39828</v>
      </c>
      <c r="O13" s="83">
        <f ref="O13" si="6" t="shared">SUM(O4:O12)</f>
        <v>197470</v>
      </c>
      <c r="P13" s="83">
        <f ref="P13" si="7" t="shared">SUM(P4:P12)</f>
        <v>9946</v>
      </c>
      <c r="Q13" s="83">
        <f ref="Q13" si="8" t="shared">SUM(Q4:Q12)</f>
        <v>207416</v>
      </c>
    </row>
    <row ht="14.65" r="16" spans="1:17" thickBot="1" x14ac:dyDescent="0.5">
      <c r="A16" s="1" t="s">
        <v>54</v>
      </c>
      <c r="B16" s="1"/>
      <c r="C16" s="3"/>
      <c r="D16" s="3"/>
      <c r="E16" s="3"/>
      <c r="F16" s="3"/>
      <c r="G16" s="3"/>
      <c r="H16" s="3"/>
      <c r="J16" s="1" t="s">
        <v>22</v>
      </c>
      <c r="K16" s="1"/>
      <c r="L16" s="3"/>
      <c r="M16" s="3"/>
      <c r="N16" s="3"/>
      <c r="O16" s="3"/>
      <c r="P16" s="3"/>
      <c r="Q16" s="3"/>
    </row>
    <row r="17" spans="1:22" x14ac:dyDescent="0.4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45">
      <c r="A18" s="9" t="s">
        <v>1</v>
      </c>
      <c r="B18" s="13">
        <f ref="B18:C27" si="9" t="shared">B4/$H$13</f>
        <v>6.4458106182353151E-4</v>
      </c>
      <c r="C18" s="13">
        <f si="9" t="shared"/>
        <v>0.33654171141766348</v>
      </c>
      <c r="D18" s="13">
        <f ref="D18:G18" si="10" t="shared">D4/$H$13</f>
        <v>0.30649599420164364</v>
      </c>
      <c r="E18" s="13">
        <f si="10" t="shared"/>
        <v>3.0690298277843326E-2</v>
      </c>
      <c r="F18" s="13">
        <f si="10" t="shared"/>
        <v>0.32911974870557353</v>
      </c>
      <c r="G18" s="13">
        <f si="10" t="shared"/>
        <v>8.0665437739134531E-3</v>
      </c>
      <c r="H18" s="13">
        <f ref="H18:H27" si="11" t="shared">H4/$H$13</f>
        <v>0.33654171141766348</v>
      </c>
      <c r="J18" s="9" t="s">
        <v>1</v>
      </c>
      <c r="K18" s="13">
        <f ref="K18:L27" si="12" t="shared">K4/$Q$13</f>
        <v>0</v>
      </c>
      <c r="L18" s="13">
        <f si="12" t="shared"/>
        <v>0.33140162764685466</v>
      </c>
      <c r="M18" s="13">
        <f ref="M18:P18" si="13" t="shared">M4/$Q$13</f>
        <v>0.28578798164076058</v>
      </c>
      <c r="N18" s="13">
        <f si="13" t="shared"/>
        <v>4.5613646006094036E-2</v>
      </c>
      <c r="O18" s="13">
        <f si="13" t="shared"/>
        <v>0.31875072318432524</v>
      </c>
      <c r="P18" s="13">
        <f si="13" t="shared"/>
        <v>1.265090446252941E-2</v>
      </c>
      <c r="Q18" s="13">
        <f ref="Q18:Q27" si="14" t="shared">Q4/$Q$13</f>
        <v>0.33140162764685466</v>
      </c>
    </row>
    <row r="19" spans="1:22" x14ac:dyDescent="0.45">
      <c r="A19" s="9" t="s">
        <v>2</v>
      </c>
      <c r="B19" s="13">
        <f si="9" t="shared"/>
        <v>4.36085751927545E-3</v>
      </c>
      <c r="C19" s="13">
        <f si="9" t="shared"/>
        <v>0.28624481081255654</v>
      </c>
      <c r="D19" s="13">
        <f ref="D19:G19" si="15" t="shared">D5/$H$13</f>
        <v>0.23746731259501513</v>
      </c>
      <c r="E19" s="13">
        <f si="15" t="shared"/>
        <v>5.3138355736816835E-2</v>
      </c>
      <c r="F19" s="13">
        <f si="15" t="shared"/>
        <v>0.2733890094420573</v>
      </c>
      <c r="G19" s="13">
        <f si="15" t="shared"/>
        <v>1.7216658889774698E-2</v>
      </c>
      <c r="H19" s="13">
        <f si="11" t="shared"/>
        <v>0.29092795886274375</v>
      </c>
      <c r="J19" s="9" t="s">
        <v>2</v>
      </c>
      <c r="K19" s="13">
        <f si="12" t="shared"/>
        <v>1.1002044201025957E-2</v>
      </c>
      <c r="L19" s="13">
        <f si="12" t="shared"/>
        <v>0.33634338720253021</v>
      </c>
      <c r="M19" s="13">
        <f ref="M19:P19" si="16" t="shared">M5/$Q$13</f>
        <v>0.26899564160913336</v>
      </c>
      <c r="N19" s="13">
        <f si="16" t="shared"/>
        <v>7.8349789794422808E-2</v>
      </c>
      <c r="O19" s="13">
        <f si="16" t="shared"/>
        <v>0.32144096887414664</v>
      </c>
      <c r="P19" s="13">
        <f si="16" t="shared"/>
        <v>2.5904462529409495E-2</v>
      </c>
      <c r="Q19" s="13">
        <f si="14" t="shared"/>
        <v>0.34734543140355612</v>
      </c>
    </row>
    <row r="20" spans="1:22" x14ac:dyDescent="0.45">
      <c r="A20" s="9" t="s">
        <v>3</v>
      </c>
      <c r="B20" s="13">
        <f si="9" t="shared"/>
        <v>3.9273310355991495E-3</v>
      </c>
      <c r="C20" s="13">
        <f si="9" t="shared"/>
        <v>0.24499640137649153</v>
      </c>
      <c r="D20" s="13">
        <f ref="D20:G20" si="17" t="shared">D6/$H$13</f>
        <v>0.21836622000339548</v>
      </c>
      <c r="E20" s="13">
        <f si="17" t="shared"/>
        <v>3.0557512408695173E-2</v>
      </c>
      <c r="F20" s="13">
        <f si="17" t="shared"/>
        <v>0.24637662896244497</v>
      </c>
      <c r="G20" s="13">
        <f si="17" t="shared"/>
        <v>2.5471034496456963E-3</v>
      </c>
      <c r="H20" s="13">
        <f si="11" t="shared"/>
        <v>0.24924602294300244</v>
      </c>
      <c r="J20" s="9" t="s">
        <v>3</v>
      </c>
      <c r="K20" s="13">
        <f si="12" t="shared"/>
        <v>6.243491341073013E-3</v>
      </c>
      <c r="L20" s="13">
        <f si="12" t="shared"/>
        <v>0.23387298954757588</v>
      </c>
      <c r="M20" s="13">
        <f ref="M20:P20" si="18" t="shared">M6/$Q$13</f>
        <v>0.19051567863617078</v>
      </c>
      <c r="N20" s="13">
        <f si="18" t="shared"/>
        <v>4.9600802252478114E-2</v>
      </c>
      <c r="O20" s="13">
        <f si="18" t="shared"/>
        <v>0.23599433023489028</v>
      </c>
      <c r="P20" s="13">
        <f si="18" t="shared"/>
        <v>4.1221506537586303E-3</v>
      </c>
      <c r="Q20" s="13">
        <f si="14" t="shared"/>
        <v>0.2401164808886489</v>
      </c>
    </row>
    <row r="21" spans="1:22" x14ac:dyDescent="0.45">
      <c r="A21" s="9" t="s">
        <v>4</v>
      </c>
      <c r="B21" s="13">
        <f si="9" t="shared"/>
        <v>0</v>
      </c>
      <c r="C21" s="13">
        <f si="9" t="shared"/>
        <v>1.1403333216935638E-3</v>
      </c>
      <c r="D21" s="13">
        <f ref="D21:G21" si="19" t="shared">D7/$H$13</f>
        <v>1.1403333216935638E-3</v>
      </c>
      <c r="E21" s="13">
        <f si="19" t="shared"/>
        <v>0</v>
      </c>
      <c r="F21" s="13">
        <f si="19" t="shared"/>
        <v>1.1403333216935638E-3</v>
      </c>
      <c r="G21" s="13">
        <f si="19" t="shared"/>
        <v>0</v>
      </c>
      <c r="H21" s="13">
        <f si="11" t="shared"/>
        <v>1.1403333216935638E-3</v>
      </c>
      <c r="J21" s="9" t="s">
        <v>4</v>
      </c>
      <c r="K21" s="13">
        <f si="12" t="shared"/>
        <v>0</v>
      </c>
      <c r="L21" s="13">
        <f si="12" t="shared"/>
        <v>0</v>
      </c>
      <c r="M21" s="13">
        <f ref="M21:P21" si="20" t="shared">M7/$Q$13</f>
        <v>0</v>
      </c>
      <c r="N21" s="13">
        <f si="20" t="shared"/>
        <v>0</v>
      </c>
      <c r="O21" s="13">
        <f si="20" t="shared"/>
        <v>0</v>
      </c>
      <c r="P21" s="13">
        <f si="20" t="shared"/>
        <v>0</v>
      </c>
      <c r="Q21" s="13">
        <f si="14" t="shared"/>
        <v>0</v>
      </c>
    </row>
    <row r="22" spans="1:22" x14ac:dyDescent="0.45">
      <c r="A22" s="9" t="s">
        <v>5</v>
      </c>
      <c r="B22" s="13">
        <f si="9" t="shared"/>
        <v>1.080873746766008E-3</v>
      </c>
      <c r="C22" s="13">
        <f si="9" t="shared"/>
        <v>9.5493695070864796E-4</v>
      </c>
      <c r="D22" s="13">
        <f ref="D22:G22" si="21" t="shared">D8/$H$13</f>
        <v>1.6858091100220311E-3</v>
      </c>
      <c r="E22" s="13">
        <f si="21" t="shared"/>
        <v>3.5000158745262491E-4</v>
      </c>
      <c r="F22" s="13">
        <f si="21" t="shared"/>
        <v>1.836017326641479E-3</v>
      </c>
      <c r="G22" s="13">
        <f si="21" t="shared"/>
        <v>1.9979337083317708E-4</v>
      </c>
      <c r="H22" s="13">
        <f si="11" t="shared"/>
        <v>2.035810697474656E-3</v>
      </c>
      <c r="J22" s="9" t="s">
        <v>5</v>
      </c>
      <c r="K22" s="13">
        <f si="12" t="shared"/>
        <v>4.3632120954989004E-3</v>
      </c>
      <c r="L22" s="13">
        <f si="12" t="shared"/>
        <v>9.8835191113511001E-4</v>
      </c>
      <c r="M22" s="13">
        <f ref="M22:P22" si="22" t="shared">M8/$Q$13</f>
        <v>5.0622902765456862E-3</v>
      </c>
      <c r="N22" s="13">
        <f si="22" t="shared"/>
        <v>2.8927373008832491E-4</v>
      </c>
      <c r="O22" s="13">
        <f si="22" t="shared"/>
        <v>5.240675743433486E-3</v>
      </c>
      <c r="P22" s="13">
        <f si="22" t="shared"/>
        <v>1.1088826320052455E-4</v>
      </c>
      <c r="Q22" s="13">
        <f si="14" t="shared"/>
        <v>5.3515640066340107E-3</v>
      </c>
    </row>
    <row r="23" spans="1:22" x14ac:dyDescent="0.45">
      <c r="A23" s="9" t="s">
        <v>6</v>
      </c>
      <c r="B23" s="13">
        <f si="9" t="shared"/>
        <v>0</v>
      </c>
      <c r="C23" s="13">
        <f si="9" t="shared"/>
        <v>1.0779380553660154E-2</v>
      </c>
      <c r="D23" s="13">
        <f ref="D23:G23" si="23" t="shared">D9/$H$13</f>
        <v>8.9469575361370308E-3</v>
      </c>
      <c r="E23" s="13">
        <f si="23" t="shared"/>
        <v>1.8324230175231241E-3</v>
      </c>
      <c r="F23" s="13">
        <f si="23" t="shared"/>
        <v>1.0779380553660154E-2</v>
      </c>
      <c r="G23" s="13">
        <f si="23" t="shared"/>
        <v>0</v>
      </c>
      <c r="H23" s="13">
        <f si="11" t="shared"/>
        <v>1.0779380553660154E-2</v>
      </c>
      <c r="J23" s="9" t="s">
        <v>6</v>
      </c>
      <c r="K23" s="13">
        <f si="12" t="shared"/>
        <v>8.9192733443900182E-4</v>
      </c>
      <c r="L23" s="13">
        <f si="12" t="shared"/>
        <v>8.1430555019863463E-3</v>
      </c>
      <c r="M23" s="13">
        <f ref="M23:P23" si="24" t="shared">M9/$Q$13</f>
        <v>7.048636556485517E-3</v>
      </c>
      <c r="N23" s="13">
        <f si="24" t="shared"/>
        <v>1.9863462799398312E-3</v>
      </c>
      <c r="O23" s="13">
        <f si="24" t="shared"/>
        <v>8.3648320283873957E-3</v>
      </c>
      <c r="P23" s="13">
        <f si="24" t="shared"/>
        <v>6.7015080803795274E-4</v>
      </c>
      <c r="Q23" s="13">
        <f si="14" t="shared"/>
        <v>9.0349828364253478E-3</v>
      </c>
    </row>
    <row r="24" spans="1:22" x14ac:dyDescent="0.45">
      <c r="A24" s="9" t="s">
        <v>7</v>
      </c>
      <c r="B24" s="13">
        <f si="9" t="shared"/>
        <v>1.133623609704959E-2</v>
      </c>
      <c r="C24" s="13">
        <f si="9" t="shared"/>
        <v>8.5698124344625135E-2</v>
      </c>
      <c r="D24" s="13">
        <f ref="D24:G24" si="25" t="shared">D10/$H$13</f>
        <v>8.4941640640565613E-2</v>
      </c>
      <c r="E24" s="13">
        <f si="25" t="shared"/>
        <v>1.209271980110912E-2</v>
      </c>
      <c r="F24" s="13">
        <f si="25" t="shared"/>
        <v>9.5879784983037494E-2</v>
      </c>
      <c r="G24" s="13">
        <f si="25" t="shared"/>
        <v>1.1545754586372429E-3</v>
      </c>
      <c r="H24" s="13">
        <f si="11" t="shared"/>
        <v>9.7034360441674725E-2</v>
      </c>
      <c r="J24" s="9" t="s">
        <v>7</v>
      </c>
      <c r="K24" s="13">
        <f si="12" t="shared"/>
        <v>9.473714660392641E-3</v>
      </c>
      <c r="L24" s="13">
        <f si="12" t="shared"/>
        <v>5.7276198557488334E-2</v>
      </c>
      <c r="M24" s="13">
        <f ref="M24:P24" si="26" t="shared">M10/$Q$13</f>
        <v>5.0569869248274002E-2</v>
      </c>
      <c r="N24" s="13">
        <f si="26" t="shared"/>
        <v>1.6180043969606973E-2</v>
      </c>
      <c r="O24" s="13">
        <f si="26" t="shared"/>
        <v>6.225652794384233E-2</v>
      </c>
      <c r="P24" s="13">
        <f si="26" t="shared"/>
        <v>4.4933852740386467E-3</v>
      </c>
      <c r="Q24" s="13">
        <f si="14" t="shared"/>
        <v>6.6749913217880971E-2</v>
      </c>
    </row>
    <row r="25" spans="1:22" x14ac:dyDescent="0.45">
      <c r="A25" s="9" t="s">
        <v>8</v>
      </c>
      <c r="B25" s="13">
        <f si="9" t="shared"/>
        <v>1.4893773724784429E-4</v>
      </c>
      <c r="C25" s="13">
        <f si="9" t="shared"/>
        <v>1.214548402483955E-2</v>
      </c>
      <c r="D25" s="13">
        <f ref="D25:G26" si="27" t="shared">D11/$H$13</f>
        <v>6.2395977101810662E-3</v>
      </c>
      <c r="E25" s="13">
        <f si="27" t="shared"/>
        <v>6.0548240519063294E-3</v>
      </c>
      <c r="F25" s="13">
        <f si="27" t="shared"/>
        <v>1.1073987067361549E-2</v>
      </c>
      <c r="G25" s="13">
        <f si="27" t="shared"/>
        <v>1.2204346947258448E-3</v>
      </c>
      <c r="H25" s="13">
        <f si="11" t="shared"/>
        <v>1.2294421762087393E-2</v>
      </c>
      <c r="J25" s="9" t="s">
        <v>8</v>
      </c>
      <c r="K25" s="13">
        <f si="12" t="shared"/>
        <v>0</v>
      </c>
      <c r="L25" s="13">
        <f si="12" t="shared"/>
        <v>0</v>
      </c>
      <c r="M25" s="13">
        <f ref="M25:P26" si="28" t="shared">M11/$Q$13</f>
        <v>0</v>
      </c>
      <c r="N25" s="13">
        <f si="28" t="shared"/>
        <v>0</v>
      </c>
      <c r="O25" s="13">
        <f si="28" t="shared"/>
        <v>0</v>
      </c>
      <c r="P25" s="13">
        <f si="28" t="shared"/>
        <v>0</v>
      </c>
      <c r="Q25" s="13">
        <f si="14" t="shared"/>
        <v>0</v>
      </c>
    </row>
    <row r="26" spans="1:22" x14ac:dyDescent="0.4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4.65" r="27" spans="1:22" thickBot="1" x14ac:dyDescent="0.5">
      <c r="A27" s="83" t="s">
        <v>19</v>
      </c>
      <c r="B27" s="86">
        <f si="9" t="shared"/>
        <v>2.1498817197761571E-2</v>
      </c>
      <c r="C27" s="86">
        <f si="9" t="shared"/>
        <v>0.97850118280223863</v>
      </c>
      <c r="D27" s="86">
        <f ref="D27:G27" si="29" t="shared">D13/$H$13</f>
        <v>0.86528386511865352</v>
      </c>
      <c r="E27" s="86">
        <f si="29" t="shared"/>
        <v>0.13471613488134654</v>
      </c>
      <c r="F27" s="86">
        <f si="29" t="shared"/>
        <v>0.96959489036247015</v>
      </c>
      <c r="G27" s="86">
        <f si="29" t="shared"/>
        <v>3.0405109637530112E-2</v>
      </c>
      <c r="H27" s="86">
        <f si="11" t="shared"/>
        <v>1</v>
      </c>
      <c r="J27" s="83" t="s">
        <v>19</v>
      </c>
      <c r="K27" s="86">
        <f si="12" t="shared"/>
        <v>3.197438963242951E-2</v>
      </c>
      <c r="L27" s="86">
        <f si="12" t="shared"/>
        <v>0.96802561036757051</v>
      </c>
      <c r="M27" s="86">
        <f ref="M27:P27" si="30" t="shared">M13/$Q$13</f>
        <v>0.80798009796736991</v>
      </c>
      <c r="N27" s="86">
        <f si="30" t="shared"/>
        <v>0.19201990203263009</v>
      </c>
      <c r="O27" s="86">
        <f si="30" t="shared"/>
        <v>0.95204805800902537</v>
      </c>
      <c r="P27" s="86">
        <f si="30" t="shared"/>
        <v>4.7951941990974661E-2</v>
      </c>
      <c r="Q27" s="86">
        <f si="14" t="shared"/>
        <v>1</v>
      </c>
    </row>
    <row ht="14.65" r="30" spans="1:22" thickBot="1" x14ac:dyDescent="0.5">
      <c r="J30" s="1" t="s">
        <v>23</v>
      </c>
      <c r="K30" s="1"/>
      <c r="L30" s="3"/>
      <c r="M30" s="3"/>
      <c r="N30" s="3"/>
      <c r="O30" s="3"/>
      <c r="P30" s="3"/>
      <c r="Q30" s="3"/>
      <c r="S30" s="15" t="s">
        <v>41</v>
      </c>
      <c r="T30" s="15"/>
      <c r="U30" s="16"/>
      <c r="V30" s="16"/>
    </row>
    <row r="31" spans="1:22" x14ac:dyDescent="0.4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45">
      <c r="J32" s="9" t="s">
        <v>1</v>
      </c>
      <c r="K32" s="13">
        <f ref="K32:K40" si="31" t="shared">K18-B18</f>
        <v>-6.4458106182353151E-4</v>
      </c>
      <c r="L32" s="13">
        <f ref="L32:L40" si="32" t="shared">L18-C18</f>
        <v>-5.1400837708088232E-3</v>
      </c>
      <c r="M32" s="13">
        <f ref="M32:M40" si="33" t="shared">M18-D18</f>
        <v>-2.070801256088306E-2</v>
      </c>
      <c r="N32" s="13">
        <f ref="N32:N40" si="34" t="shared">N18-E18</f>
        <v>1.492334772825071E-2</v>
      </c>
      <c r="O32" s="13">
        <f ref="O32:O40" si="35" t="shared">O18-F18</f>
        <v>-1.0369025521248298E-2</v>
      </c>
      <c r="P32" s="13">
        <f ref="P32:P40" si="36" t="shared">P18-G18</f>
        <v>4.5843606886159568E-3</v>
      </c>
      <c r="Q32" s="13">
        <f ref="Q32:Q40" si="37" t="shared">Q18-H18</f>
        <v>-5.1400837708088232E-3</v>
      </c>
      <c r="S32" s="82" t="s">
        <v>1</v>
      </c>
      <c r="T32" s="87">
        <f ref="T32:T40" si="38" t="shared">H18</f>
        <v>0.33654171141766348</v>
      </c>
      <c r="U32" s="87">
        <f ref="U32:U40" si="39" t="shared">Q18</f>
        <v>0.33140162764685466</v>
      </c>
      <c r="V32" s="87">
        <f>U32-T32</f>
        <v>-5.1400837708088232E-3</v>
      </c>
    </row>
    <row r="33" spans="10:22" x14ac:dyDescent="0.45">
      <c r="J33" s="9" t="s">
        <v>2</v>
      </c>
      <c r="K33" s="13">
        <f si="31" t="shared"/>
        <v>6.6411866817505071E-3</v>
      </c>
      <c r="L33" s="13">
        <f si="32" t="shared"/>
        <v>5.009857638997367E-2</v>
      </c>
      <c r="M33" s="13">
        <f si="33" t="shared"/>
        <v>3.1528329014118228E-2</v>
      </c>
      <c r="N33" s="13">
        <f si="34" t="shared"/>
        <v>2.5211434057605973E-2</v>
      </c>
      <c r="O33" s="13">
        <f si="35" t="shared"/>
        <v>4.8051959432089342E-2</v>
      </c>
      <c r="P33" s="13">
        <f si="36" t="shared"/>
        <v>8.6878036396347974E-3</v>
      </c>
      <c r="Q33" s="13">
        <f si="37" t="shared"/>
        <v>5.6417472540812363E-2</v>
      </c>
      <c r="S33" s="84" t="s">
        <v>2</v>
      </c>
      <c r="T33" s="85">
        <f si="38" t="shared"/>
        <v>0.29092795886274375</v>
      </c>
      <c r="U33" s="85">
        <f si="39" t="shared"/>
        <v>0.34734543140355612</v>
      </c>
      <c r="V33" s="85">
        <f ref="V33:V41" si="40" t="shared">U33-T33</f>
        <v>5.6417472540812363E-2</v>
      </c>
    </row>
    <row r="34" spans="10:22" x14ac:dyDescent="0.45">
      <c r="J34" s="9" t="s">
        <v>3</v>
      </c>
      <c r="K34" s="13">
        <f si="31" t="shared"/>
        <v>2.3161603054738635E-3</v>
      </c>
      <c r="L34" s="13">
        <f si="32" t="shared"/>
        <v>-1.1123411828915658E-2</v>
      </c>
      <c r="M34" s="13">
        <f si="33" t="shared"/>
        <v>-2.7850541367224702E-2</v>
      </c>
      <c r="N34" s="13">
        <f si="34" t="shared"/>
        <v>1.9043289843782941E-2</v>
      </c>
      <c r="O34" s="13">
        <f si="35" t="shared"/>
        <v>-1.0382298727554695E-2</v>
      </c>
      <c r="P34" s="13">
        <f si="36" t="shared"/>
        <v>1.575047204112934E-3</v>
      </c>
      <c r="Q34" s="13">
        <f si="37" t="shared"/>
        <v>-9.1295420543535399E-3</v>
      </c>
      <c r="S34" s="17" t="s">
        <v>3</v>
      </c>
      <c r="T34" s="88">
        <f si="38" t="shared"/>
        <v>0.24924602294300244</v>
      </c>
      <c r="U34" s="88">
        <f si="39" t="shared"/>
        <v>0.2401164808886489</v>
      </c>
      <c r="V34" s="88">
        <f si="40" t="shared"/>
        <v>-9.1295420543535399E-3</v>
      </c>
    </row>
    <row r="35" spans="10:22" x14ac:dyDescent="0.45">
      <c r="J35" s="9" t="s">
        <v>4</v>
      </c>
      <c r="K35" s="13">
        <f si="31" t="shared"/>
        <v>0</v>
      </c>
      <c r="L35" s="13">
        <f si="32" t="shared"/>
        <v>-1.1403333216935638E-3</v>
      </c>
      <c r="M35" s="13">
        <f si="33" t="shared"/>
        <v>-1.1403333216935638E-3</v>
      </c>
      <c r="N35" s="13">
        <f si="34" t="shared"/>
        <v>0</v>
      </c>
      <c r="O35" s="13">
        <f si="35" t="shared"/>
        <v>-1.1403333216935638E-3</v>
      </c>
      <c r="P35" s="13">
        <f si="36" t="shared"/>
        <v>0</v>
      </c>
      <c r="Q35" s="13">
        <f si="37" t="shared"/>
        <v>-1.1403333216935638E-3</v>
      </c>
      <c r="S35" s="84" t="s">
        <v>4</v>
      </c>
      <c r="T35" s="85">
        <f si="38" t="shared"/>
        <v>1.1403333216935638E-3</v>
      </c>
      <c r="U35" s="85">
        <f si="39" t="shared"/>
        <v>0</v>
      </c>
      <c r="V35" s="85">
        <f si="40" t="shared"/>
        <v>-1.1403333216935638E-3</v>
      </c>
    </row>
    <row r="36" spans="10:22" x14ac:dyDescent="0.45">
      <c r="J36" s="9" t="s">
        <v>5</v>
      </c>
      <c r="K36" s="13">
        <f si="31" t="shared"/>
        <v>3.2823383487328925E-3</v>
      </c>
      <c r="L36" s="13">
        <f si="32" t="shared"/>
        <v>3.3414960426462049E-5</v>
      </c>
      <c r="M36" s="13">
        <f si="33" t="shared"/>
        <v>3.3764811665236549E-3</v>
      </c>
      <c r="N36" s="13">
        <f si="34" t="shared"/>
        <v>-6.0727857364300001E-5</v>
      </c>
      <c r="O36" s="13">
        <f si="35" t="shared"/>
        <v>3.4046584167920068E-3</v>
      </c>
      <c r="P36" s="13">
        <f si="36" t="shared"/>
        <v>-8.8905107632652523E-5</v>
      </c>
      <c r="Q36" s="13">
        <f si="37" t="shared"/>
        <v>3.3157533091593546E-3</v>
      </c>
      <c r="S36" s="17" t="s">
        <v>5</v>
      </c>
      <c r="T36" s="88">
        <f si="38" t="shared"/>
        <v>2.035810697474656E-3</v>
      </c>
      <c r="U36" s="88">
        <f si="39" t="shared"/>
        <v>5.3515640066340107E-3</v>
      </c>
      <c r="V36" s="88">
        <f si="40" t="shared"/>
        <v>3.3157533091593546E-3</v>
      </c>
    </row>
    <row r="37" spans="10:22" x14ac:dyDescent="0.45">
      <c r="J37" s="9" t="s">
        <v>6</v>
      </c>
      <c r="K37" s="13">
        <f si="31" t="shared"/>
        <v>8.9192733443900182E-4</v>
      </c>
      <c r="L37" s="13">
        <f si="32" t="shared"/>
        <v>-2.6363250516738077E-3</v>
      </c>
      <c r="M37" s="13">
        <f si="33" t="shared"/>
        <v>-1.8983209796515138E-3</v>
      </c>
      <c r="N37" s="13">
        <f si="34" t="shared"/>
        <v>1.5392326241670711E-4</v>
      </c>
      <c r="O37" s="13">
        <f si="35" t="shared"/>
        <v>-2.4145485252727583E-3</v>
      </c>
      <c r="P37" s="13">
        <f si="36" t="shared"/>
        <v>6.7015080803795274E-4</v>
      </c>
      <c r="Q37" s="13">
        <f si="37" t="shared"/>
        <v>-1.7443977172348062E-3</v>
      </c>
      <c r="S37" s="84" t="s">
        <v>6</v>
      </c>
      <c r="T37" s="85">
        <f si="38" t="shared"/>
        <v>1.0779380553660154E-2</v>
      </c>
      <c r="U37" s="85">
        <f si="39" t="shared"/>
        <v>9.0349828364253478E-3</v>
      </c>
      <c r="V37" s="85">
        <f si="40" t="shared"/>
        <v>-1.7443977172348062E-3</v>
      </c>
    </row>
    <row r="38" spans="10:22" x14ac:dyDescent="0.45">
      <c r="J38" s="9" t="s">
        <v>7</v>
      </c>
      <c r="K38" s="13">
        <f si="31" t="shared"/>
        <v>-1.8625214366569491E-3</v>
      </c>
      <c r="L38" s="13">
        <f si="32" t="shared"/>
        <v>-2.8421925787136801E-2</v>
      </c>
      <c r="M38" s="13">
        <f si="33" t="shared"/>
        <v>-3.4371771392291611E-2</v>
      </c>
      <c r="N38" s="13">
        <f si="34" t="shared"/>
        <v>4.0873241684978526E-3</v>
      </c>
      <c r="O38" s="13">
        <f si="35" t="shared"/>
        <v>-3.3623257039195165E-2</v>
      </c>
      <c r="P38" s="13">
        <f si="36" t="shared"/>
        <v>3.3388098154014038E-3</v>
      </c>
      <c r="Q38" s="13">
        <f si="37" t="shared"/>
        <v>-3.0284447223793753E-2</v>
      </c>
      <c r="S38" s="17" t="s">
        <v>7</v>
      </c>
      <c r="T38" s="88">
        <f si="38" t="shared"/>
        <v>9.7034360441674725E-2</v>
      </c>
      <c r="U38" s="88">
        <f si="39" t="shared"/>
        <v>6.6749913217880971E-2</v>
      </c>
      <c r="V38" s="88">
        <f si="40" t="shared"/>
        <v>-3.0284447223793753E-2</v>
      </c>
    </row>
    <row r="39" spans="10:22" x14ac:dyDescent="0.45">
      <c r="J39" s="9" t="s">
        <v>8</v>
      </c>
      <c r="K39" s="13">
        <f si="31" t="shared"/>
        <v>-1.4893773724784429E-4</v>
      </c>
      <c r="L39" s="13">
        <f si="32" t="shared"/>
        <v>-1.214548402483955E-2</v>
      </c>
      <c r="M39" s="13">
        <f si="33" t="shared"/>
        <v>-6.2395977101810662E-3</v>
      </c>
      <c r="N39" s="13">
        <f si="34" t="shared"/>
        <v>-6.0548240519063294E-3</v>
      </c>
      <c r="O39" s="13">
        <f si="35" t="shared"/>
        <v>-1.1073987067361549E-2</v>
      </c>
      <c r="P39" s="13">
        <f si="36" t="shared"/>
        <v>-1.2204346947258448E-3</v>
      </c>
      <c r="Q39" s="13">
        <f si="37" t="shared"/>
        <v>-1.2294421762087393E-2</v>
      </c>
      <c r="S39" s="84" t="s">
        <v>8</v>
      </c>
      <c r="T39" s="85">
        <f si="38" t="shared"/>
        <v>1.2294421762087393E-2</v>
      </c>
      <c r="U39" s="85">
        <f si="39" t="shared"/>
        <v>0</v>
      </c>
      <c r="V39" s="85">
        <f si="40" t="shared"/>
        <v>-1.2294421762087393E-2</v>
      </c>
    </row>
    <row r="40" spans="10:22" x14ac:dyDescent="0.4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89">
        <f si="38" t="shared"/>
        <v>0</v>
      </c>
      <c r="U40" s="89">
        <f si="39" t="shared"/>
        <v>0</v>
      </c>
      <c r="V40" s="89">
        <f ref="V40" si="41" t="shared">U40-T40</f>
        <v>0</v>
      </c>
    </row>
    <row ht="14.65" r="41" spans="10:22" thickBot="1" x14ac:dyDescent="0.5">
      <c r="J41" s="83" t="s">
        <v>19</v>
      </c>
      <c r="K41" s="86">
        <f ref="K41" si="42" t="shared">K27-B27</f>
        <v>1.0475572434667939E-2</v>
      </c>
      <c r="L41" s="86">
        <f ref="L41" si="43" t="shared">L27-C27</f>
        <v>-1.0475572434668123E-2</v>
      </c>
      <c r="M41" s="86">
        <f ref="M41" si="44" t="shared">M27-D27</f>
        <v>-5.7303767151283602E-2</v>
      </c>
      <c r="N41" s="86">
        <f ref="N41" si="45" t="shared">N27-E27</f>
        <v>5.7303767151283547E-2</v>
      </c>
      <c r="O41" s="86">
        <f ref="O41" si="46" t="shared">O27-F27</f>
        <v>-1.7546832353444786E-2</v>
      </c>
      <c r="P41" s="86">
        <f ref="P41" si="47" t="shared">P27-G27</f>
        <v>1.754683235344455E-2</v>
      </c>
      <c r="Q41" s="86">
        <f ref="Q41" si="48" t="shared">Q27-H27</f>
        <v>0</v>
      </c>
      <c r="S41" s="90" t="s">
        <v>19</v>
      </c>
      <c r="T41" s="91">
        <f ref="T41" si="49" t="shared">H27</f>
        <v>1</v>
      </c>
      <c r="U41" s="91">
        <f ref="U41" si="50" t="shared">Q27</f>
        <v>1</v>
      </c>
      <c r="V41" s="91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T41"/>
  <sheetViews>
    <sheetView topLeftCell="C1" workbookViewId="0">
      <selection activeCell="F12" sqref="F12"/>
    </sheetView>
  </sheetViews>
  <sheetFormatPr defaultRowHeight="14.25" x14ac:dyDescent="0.45"/>
  <cols>
    <col min="1" max="1" customWidth="true" width="16.73046875" collapsed="true"/>
    <col min="2" max="9" customWidth="true" width="12.73046875" collapsed="true"/>
    <col min="10" max="10" customWidth="true" width="3.73046875" collapsed="true"/>
    <col min="11" max="11" customWidth="true" width="16.73046875" collapsed="true"/>
    <col min="12" max="20" customWidth="true" width="12.73046875" collapsed="true"/>
  </cols>
  <sheetData>
    <row ht="14.65" r="2" spans="1:19" thickBot="1" x14ac:dyDescent="0.5">
      <c r="A2" s="1" t="s">
        <v>55</v>
      </c>
      <c r="B2" s="1"/>
      <c r="C2" s="3"/>
      <c r="D2" s="3"/>
      <c r="E2" s="3"/>
      <c r="F2" s="3"/>
      <c r="G2" s="3"/>
      <c r="H2" s="3"/>
      <c r="I2" s="3"/>
      <c r="K2" s="1" t="s">
        <v>56</v>
      </c>
      <c r="L2" s="1"/>
      <c r="M2" s="3"/>
      <c r="N2" s="3"/>
      <c r="O2" s="3"/>
      <c r="P2" s="3"/>
      <c r="Q2" s="3"/>
      <c r="R2" s="3"/>
      <c r="S2" s="3"/>
    </row>
    <row r="3" spans="1:19" x14ac:dyDescent="0.45">
      <c r="A3" s="5"/>
      <c r="B3" s="104" t="s">
        <v>18</v>
      </c>
      <c r="C3" s="104"/>
      <c r="D3" s="104"/>
      <c r="E3" s="104"/>
      <c r="F3" s="104"/>
      <c r="G3" s="104"/>
      <c r="H3" s="104"/>
      <c r="I3" s="11"/>
      <c r="K3" s="5"/>
      <c r="L3" s="104" t="s">
        <v>18</v>
      </c>
      <c r="M3" s="104"/>
      <c r="N3" s="104"/>
      <c r="O3" s="104"/>
      <c r="P3" s="104"/>
      <c r="Q3" s="104"/>
      <c r="R3" s="104"/>
      <c r="S3" s="104"/>
    </row>
    <row r="4" spans="1:19" x14ac:dyDescent="0.4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45">
      <c r="A5" t="s">
        <v>1</v>
      </c>
      <c r="B5" s="9" t="n">
        <v>49854.54610122021</v>
      </c>
      <c r="C5" s="9" t="n">
        <v>11586.15740269541</v>
      </c>
      <c r="D5" s="9" t="n">
        <v>3323.548318144275</v>
      </c>
      <c r="E5" s="9" t="n">
        <v>0.0</v>
      </c>
      <c r="F5" s="9" t="n">
        <v>0.0</v>
      </c>
      <c r="G5" s="9" t="n">
        <v>0.0</v>
      </c>
      <c r="H5" s="9" t="n">
        <v>83.599448546233</v>
      </c>
      <c r="I5" s="9">
        <f>SUM(B5:H5)</f>
        <v>64847.85127060613</v>
      </c>
      <c r="J5" s="9"/>
      <c r="K5" t="s">
        <v>1</v>
      </c>
      <c r="L5" s="9" t="n">
        <v>45995.0</v>
      </c>
      <c r="M5" s="9" t="n">
        <v>6624.0</v>
      </c>
      <c r="N5" s="9" t="n">
        <v>1289.0</v>
      </c>
      <c r="O5" s="9" t="n">
        <v>16.0</v>
      </c>
      <c r="P5" s="9" t="n">
        <v>19.0</v>
      </c>
      <c r="Q5" s="9" t="n">
        <v>60.0</v>
      </c>
      <c r="R5" s="9" t="n">
        <v>33.0</v>
      </c>
      <c r="S5" s="9">
        <f>SUM(L5:R5)</f>
        <v>54444</v>
      </c>
    </row>
    <row r="6" spans="1:19" x14ac:dyDescent="0.45">
      <c r="A6" t="s">
        <v>2</v>
      </c>
      <c r="B6" s="9" t="n">
        <v>14113.356989881104</v>
      </c>
      <c r="C6" s="9" t="n">
        <v>12156.61122621056</v>
      </c>
      <c r="D6" s="9" t="n">
        <v>1558.6026488037103</v>
      </c>
      <c r="E6" s="9" t="n">
        <v>0.0</v>
      </c>
      <c r="F6" s="9" t="n">
        <v>119.69276332552</v>
      </c>
      <c r="G6" s="9" t="n">
        <v>113.225554293073</v>
      </c>
      <c r="H6" s="9" t="n">
        <v>0.0</v>
      </c>
      <c r="I6" s="9">
        <f ref="I6:I11" si="0" t="shared">SUM(B6:H6)</f>
        <v>28061.489182513968</v>
      </c>
      <c r="J6" s="9"/>
      <c r="K6" t="s">
        <v>2</v>
      </c>
      <c r="L6" s="9" t="n">
        <v>8282.0</v>
      </c>
      <c r="M6" s="9" t="n">
        <v>10639.0</v>
      </c>
      <c r="N6" s="9" t="n">
        <v>4083.0</v>
      </c>
      <c r="O6" s="9" t="n">
        <v>50.0</v>
      </c>
      <c r="P6" s="9" t="n">
        <v>234.0</v>
      </c>
      <c r="Q6" s="9" t="n">
        <v>219.0</v>
      </c>
      <c r="R6" s="9" t="n">
        <v>127.0</v>
      </c>
      <c r="S6" s="9">
        <f ref="S6:S11" si="1" t="shared">SUM(L6:R6)</f>
        <v>23871</v>
      </c>
    </row>
    <row r="7" spans="1:19" x14ac:dyDescent="0.45">
      <c r="A7" t="s">
        <v>3</v>
      </c>
      <c r="B7" s="9" t="n">
        <v>8806.314102963956</v>
      </c>
      <c r="C7" s="9" t="n">
        <v>1120.3966564716295</v>
      </c>
      <c r="D7" s="9" t="n">
        <v>1359.1391395595767</v>
      </c>
      <c r="E7" s="9" t="n">
        <v>57.4074797979963</v>
      </c>
      <c r="F7" s="9" t="n">
        <v>0.0</v>
      </c>
      <c r="G7" s="9" t="n">
        <v>0.0</v>
      </c>
      <c r="H7" s="9" t="n">
        <v>0.0</v>
      </c>
      <c r="I7" s="9">
        <f si="0" t="shared"/>
        <v>11343.257378793158</v>
      </c>
      <c r="J7" s="9"/>
      <c r="K7" t="s">
        <v>3</v>
      </c>
      <c r="L7" s="9" t="n">
        <v>3589.0</v>
      </c>
      <c r="M7" s="9" t="n">
        <v>4528.0</v>
      </c>
      <c r="N7" s="9" t="n">
        <v>1669.0</v>
      </c>
      <c r="O7" s="9" t="n">
        <v>14.0</v>
      </c>
      <c r="P7" s="9" t="n">
        <v>123.0</v>
      </c>
      <c r="Q7" s="9" t="n">
        <v>110.0</v>
      </c>
      <c r="R7" s="9" t="n">
        <v>46.0</v>
      </c>
      <c r="S7" s="9">
        <f si="1" t="shared"/>
        <v>10134</v>
      </c>
    </row>
    <row r="8" spans="1:19" x14ac:dyDescent="0.45">
      <c r="A8" t="s">
        <v>4</v>
      </c>
      <c r="B8" s="101" t="n">
        <v>0.0</v>
      </c>
      <c r="C8" s="101" t="n">
        <v>0.0</v>
      </c>
      <c r="D8" s="101" t="n">
        <v>0.0</v>
      </c>
      <c r="E8" s="101" t="n">
        <v>0.0</v>
      </c>
      <c r="F8" s="101" t="n">
        <v>0.0</v>
      </c>
      <c r="G8" s="101" t="n">
        <v>0.0</v>
      </c>
      <c r="H8" s="101" t="n">
        <v>0.0</v>
      </c>
      <c r="I8" s="101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45">
      <c r="A9" t="s">
        <v>5</v>
      </c>
      <c r="B9" s="101" t="n">
        <v>49.6927684640005</v>
      </c>
      <c r="C9" s="101" t="n">
        <v>0.0</v>
      </c>
      <c r="D9" s="101" t="n">
        <v>0.0</v>
      </c>
      <c r="E9" s="101" t="n">
        <v>97.0766688259674</v>
      </c>
      <c r="F9" s="101" t="n">
        <v>69.3241415826164</v>
      </c>
      <c r="G9" s="101" t="n">
        <v>0.0</v>
      </c>
      <c r="H9" s="101" t="n">
        <v>0.0</v>
      </c>
      <c r="I9" s="101">
        <f si="0" t="shared"/>
        <v>216.09357887258432</v>
      </c>
      <c r="J9" s="9"/>
      <c r="K9" t="s">
        <v>5</v>
      </c>
      <c r="L9" s="9" t="n">
        <v>125.0</v>
      </c>
      <c r="M9" s="9" t="n">
        <v>41.0</v>
      </c>
      <c r="N9" s="9" t="n">
        <v>62.0</v>
      </c>
      <c r="O9" s="9" t="n">
        <v>1.0</v>
      </c>
      <c r="P9" s="9" t="n">
        <v>3.0</v>
      </c>
      <c r="Q9" s="9" t="n">
        <v>7.0</v>
      </c>
      <c r="R9" s="9" t="n">
        <v>3.0</v>
      </c>
      <c r="S9" s="9">
        <f si="1" t="shared"/>
        <v>255</v>
      </c>
    </row>
    <row r="10" spans="1:19" x14ac:dyDescent="0.45">
      <c r="A10" t="s">
        <v>6</v>
      </c>
      <c r="B10" s="9" t="n">
        <v>111.0441114514881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336.2162671859415</v>
      </c>
      <c r="H10" s="9" t="n">
        <v>0.0</v>
      </c>
      <c r="I10" s="9">
        <f si="0" t="shared"/>
        <v>447.2603786374296</v>
      </c>
      <c r="J10" s="9"/>
      <c r="K10" t="s">
        <v>6</v>
      </c>
      <c r="L10" s="9" t="n">
        <v>138.0</v>
      </c>
      <c r="M10" s="9" t="n">
        <v>30.0</v>
      </c>
      <c r="N10" s="9" t="n">
        <v>38.0</v>
      </c>
      <c r="O10" s="9" t="n">
        <v>1.0</v>
      </c>
      <c r="P10" s="9" t="n">
        <v>10.0</v>
      </c>
      <c r="Q10" s="9" t="n">
        <v>192.0</v>
      </c>
      <c r="R10" s="9" t="n">
        <v>1.0</v>
      </c>
      <c r="S10" s="9">
        <f si="1" t="shared"/>
        <v>391</v>
      </c>
    </row>
    <row r="11" spans="1:19" x14ac:dyDescent="0.45">
      <c r="A11" t="s">
        <v>7</v>
      </c>
      <c r="B11" s="9" t="n">
        <v>10008.532462563882</v>
      </c>
      <c r="C11" s="9" t="n">
        <v>3617.984416577356</v>
      </c>
      <c r="D11" s="9" t="n">
        <v>774.5263512453145</v>
      </c>
      <c r="E11" s="9" t="n">
        <v>2174.641328476001</v>
      </c>
      <c r="F11" s="9" t="n">
        <v>2563.087244364257</v>
      </c>
      <c r="G11" s="9" t="n">
        <v>306.287204936095</v>
      </c>
      <c r="H11" s="9" t="n">
        <v>91.492492737117</v>
      </c>
      <c r="I11" s="9">
        <f si="0" t="shared"/>
        <v>19536.551500900026</v>
      </c>
      <c r="J11" s="9"/>
      <c r="K11" t="s">
        <v>7</v>
      </c>
      <c r="L11" s="9" t="n">
        <v>9577.0</v>
      </c>
      <c r="M11" s="9" t="n">
        <v>3055.0</v>
      </c>
      <c r="N11" s="9" t="n">
        <v>1997.0</v>
      </c>
      <c r="O11" s="9" t="n">
        <v>21.0</v>
      </c>
      <c r="P11" s="9" t="n">
        <v>107.0</v>
      </c>
      <c r="Q11" s="9" t="n">
        <v>82.0</v>
      </c>
      <c r="R11" s="9" t="n">
        <v>426.0</v>
      </c>
      <c r="S11" s="9">
        <f si="1" t="shared"/>
        <v>15387</v>
      </c>
    </row>
    <row r="12" spans="1:19" x14ac:dyDescent="0.45">
      <c r="A12" t="s">
        <v>302</v>
      </c>
      <c r="B12" s="9"/>
      <c r="C12" s="9"/>
      <c r="D12" s="9"/>
      <c r="E12" s="9"/>
      <c r="F12" s="9"/>
      <c r="G12" s="9"/>
      <c r="H12" s="9"/>
      <c r="I12" s="9"/>
      <c r="J12" s="9"/>
      <c r="K12" t="s">
        <v>302</v>
      </c>
      <c r="L12" s="9"/>
      <c r="M12" s="9"/>
      <c r="N12" s="9"/>
      <c r="O12" s="9"/>
      <c r="P12" s="9"/>
      <c r="Q12" s="9"/>
      <c r="R12" s="9"/>
      <c r="S12" s="9"/>
    </row>
    <row ht="14.65" r="13" spans="1:19" thickBot="1" x14ac:dyDescent="0.5">
      <c r="A13" s="92" t="s">
        <v>19</v>
      </c>
      <c r="B13" s="43">
        <f>SUM(B5:B12)</f>
        <v>82943.486536544631</v>
      </c>
      <c r="C13" s="43">
        <f ref="C13:I13" si="2" t="shared">SUM(C5:C12)</f>
        <v>28481.149701954957</v>
      </c>
      <c r="D13" s="43">
        <f si="2" t="shared"/>
        <v>7015.8164577528769</v>
      </c>
      <c r="E13" s="43">
        <f si="2" t="shared"/>
        <v>2329.1254770999649</v>
      </c>
      <c r="F13" s="43">
        <f si="2" t="shared"/>
        <v>2752.1041492723934</v>
      </c>
      <c r="G13" s="43">
        <f si="2" t="shared"/>
        <v>755.7290264151095</v>
      </c>
      <c r="H13" s="43">
        <f si="2" t="shared"/>
        <v>175.09194128335002</v>
      </c>
      <c r="I13" s="43">
        <f si="2" t="shared"/>
        <v>124452.50329032329</v>
      </c>
      <c r="K13" s="92" t="s">
        <v>19</v>
      </c>
      <c r="L13" s="43">
        <f>SUM(L5:L12)</f>
        <v>68237</v>
      </c>
      <c r="M13" s="43">
        <f ref="M13" si="3" t="shared">SUM(M5:M12)</f>
        <v>25443</v>
      </c>
      <c r="N13" s="43">
        <f ref="N13" si="4" t="shared">SUM(N5:N12)</f>
        <v>9060</v>
      </c>
      <c r="O13" s="43">
        <f ref="O13" si="5" t="shared">SUM(O5:O12)</f>
        <v>88</v>
      </c>
      <c r="P13" s="43">
        <f ref="P13" si="6" t="shared">SUM(P5:P12)</f>
        <v>462</v>
      </c>
      <c r="Q13" s="43">
        <f ref="Q13" si="7" t="shared">SUM(Q5:Q12)</f>
        <v>619</v>
      </c>
      <c r="R13" s="43">
        <f ref="R13" si="8" t="shared">SUM(R5:R12)</f>
        <v>573</v>
      </c>
      <c r="S13" s="43">
        <f ref="S13" si="9" t="shared">SUM(S5:S12)</f>
        <v>104482</v>
      </c>
    </row>
    <row ht="14.65" r="16" spans="1:19" thickBot="1" x14ac:dyDescent="0.5">
      <c r="A16" s="1" t="s">
        <v>57</v>
      </c>
      <c r="B16" s="1"/>
      <c r="C16" s="3"/>
      <c r="D16" s="3"/>
      <c r="E16" s="3"/>
      <c r="F16" s="3"/>
      <c r="G16" s="3"/>
      <c r="H16" s="3"/>
      <c r="I16" s="3"/>
      <c r="K16" s="1" t="s">
        <v>58</v>
      </c>
      <c r="L16" s="1"/>
      <c r="M16" s="3"/>
      <c r="N16" s="3"/>
      <c r="O16" s="3"/>
      <c r="P16" s="3"/>
      <c r="Q16" s="3"/>
      <c r="R16" s="3"/>
      <c r="S16" s="3"/>
    </row>
    <row r="17" spans="1:19" x14ac:dyDescent="0.45">
      <c r="A17" s="5"/>
      <c r="B17" s="104" t="s">
        <v>18</v>
      </c>
      <c r="C17" s="104"/>
      <c r="D17" s="104"/>
      <c r="E17" s="104"/>
      <c r="F17" s="104"/>
      <c r="G17" s="104"/>
      <c r="H17" s="104"/>
      <c r="I17" s="11"/>
      <c r="K17" s="5"/>
      <c r="L17" s="104" t="s">
        <v>18</v>
      </c>
      <c r="M17" s="104"/>
      <c r="N17" s="104"/>
      <c r="O17" s="104"/>
      <c r="P17" s="104"/>
      <c r="Q17" s="104"/>
      <c r="R17" s="104"/>
      <c r="S17" s="104"/>
    </row>
    <row r="18" spans="1:19" x14ac:dyDescent="0.45">
      <c r="A18" s="6" t="s">
        <v>0</v>
      </c>
      <c r="B18" s="7" t="s">
        <v>1</v>
      </c>
      <c r="C18" s="7" t="s">
        <v>2</v>
      </c>
      <c r="D18" s="7" t="s">
        <v>3</v>
      </c>
      <c r="E18" s="7" t="s">
        <v>4</v>
      </c>
      <c r="F18" s="7" t="s">
        <v>5</v>
      </c>
      <c r="G18" s="7" t="s">
        <v>6</v>
      </c>
      <c r="H18" s="7" t="s">
        <v>7</v>
      </c>
      <c r="I18" s="7" t="s">
        <v>19</v>
      </c>
      <c r="K18" s="6" t="s">
        <v>0</v>
      </c>
      <c r="L18" s="7" t="s">
        <v>1</v>
      </c>
      <c r="M18" s="7" t="s">
        <v>2</v>
      </c>
      <c r="N18" s="7" t="s">
        <v>3</v>
      </c>
      <c r="O18" s="7" t="s">
        <v>4</v>
      </c>
      <c r="P18" s="7" t="s">
        <v>5</v>
      </c>
      <c r="Q18" s="7" t="s">
        <v>6</v>
      </c>
      <c r="R18" s="7" t="s">
        <v>7</v>
      </c>
      <c r="S18" s="7" t="s">
        <v>19</v>
      </c>
    </row>
    <row r="19" spans="1:19" x14ac:dyDescent="0.45">
      <c r="A19" t="s">
        <v>1</v>
      </c>
      <c r="B19" s="13">
        <f>B5/$I$13</f>
        <v>0.40059094661132949</v>
      </c>
      <c r="C19" s="13">
        <f ref="C19:I19" si="10" t="shared">C5/$I$13</f>
        <v>9.3097021726169502E-2</v>
      </c>
      <c r="D19" s="13">
        <f si="10" t="shared"/>
        <v>2.6705355298407202E-2</v>
      </c>
      <c r="E19" s="13">
        <f si="10" t="shared"/>
        <v>0</v>
      </c>
      <c r="F19" s="13">
        <f si="10" t="shared"/>
        <v>0</v>
      </c>
      <c r="G19" s="13">
        <f si="10" t="shared"/>
        <v>0</v>
      </c>
      <c r="H19" s="13">
        <f si="10" t="shared"/>
        <v>6.7173778217391E-4</v>
      </c>
      <c r="I19" s="13">
        <f si="10" t="shared"/>
        <v>0.52106506141808018</v>
      </c>
      <c r="J19" s="9"/>
      <c r="K19" t="s">
        <v>1</v>
      </c>
      <c r="L19" s="13">
        <f ref="L19:S27" si="11" t="shared">L5/$S$13</f>
        <v>0.44360751134166648</v>
      </c>
      <c r="M19" s="13">
        <f si="11" t="shared"/>
        <v>6.4011025822629741E-2</v>
      </c>
      <c r="N19" s="13">
        <f si="11" t="shared"/>
        <v>1.2375337378687238E-2</v>
      </c>
      <c r="O19" s="13">
        <f si="11" t="shared"/>
        <v>9.5710265883118626E-5</v>
      </c>
      <c r="P19" s="13">
        <f si="11" t="shared"/>
        <v>9.5710265883118626E-5</v>
      </c>
      <c r="Q19" s="13">
        <f si="11" t="shared"/>
        <v>5.6469056871039992E-4</v>
      </c>
      <c r="R19" s="13">
        <f si="11" t="shared"/>
        <v>3.3498593059091519E-4</v>
      </c>
      <c r="S19" s="13">
        <f si="11" t="shared"/>
        <v>0.52108497157405098</v>
      </c>
    </row>
    <row r="20" spans="1:19" x14ac:dyDescent="0.45">
      <c r="A20" t="s">
        <v>2</v>
      </c>
      <c r="B20" s="13">
        <f ref="B20:I20" si="12" t="shared">B6/$I$13</f>
        <v>0.11340356052909123</v>
      </c>
      <c r="C20" s="13">
        <f si="12" t="shared"/>
        <v>9.7680728830753766E-2</v>
      </c>
      <c r="D20" s="13">
        <f si="12" t="shared"/>
        <v>1.2523674555326507E-2</v>
      </c>
      <c r="E20" s="13">
        <f si="12" t="shared"/>
        <v>0</v>
      </c>
      <c r="F20" s="13">
        <f si="12" t="shared"/>
        <v>9.6175456628863664E-4</v>
      </c>
      <c r="G20" s="13">
        <f si="12" t="shared"/>
        <v>9.0978928747572057E-4</v>
      </c>
      <c r="H20" s="13">
        <f si="12" t="shared"/>
        <v>0</v>
      </c>
      <c r="I20" s="13">
        <f si="12" t="shared"/>
        <v>0.22547950776893586</v>
      </c>
      <c r="J20" s="9"/>
      <c r="K20" t="s">
        <v>2</v>
      </c>
      <c r="L20" s="13">
        <f si="11" t="shared"/>
        <v>7.9669225321107942E-2</v>
      </c>
      <c r="M20" s="13">
        <f si="11" t="shared"/>
        <v>0.10429547673283436</v>
      </c>
      <c r="N20" s="13">
        <f si="11" t="shared"/>
        <v>3.879137076242798E-2</v>
      </c>
      <c r="O20" s="13">
        <f si="11" t="shared"/>
        <v>4.5940927623896939E-4</v>
      </c>
      <c r="P20" s="13">
        <f si="11" t="shared"/>
        <v>2.0864837962519859E-3</v>
      </c>
      <c r="Q20" s="13">
        <f si="11" t="shared"/>
        <v>2.0194866101338029E-3</v>
      </c>
      <c r="R20" s="13">
        <f si="11" t="shared"/>
        <v>1.1485231905974235E-3</v>
      </c>
      <c r="S20" s="13">
        <f si="11" t="shared"/>
        <v>0.22846997568959246</v>
      </c>
    </row>
    <row r="21" spans="1:19" x14ac:dyDescent="0.45">
      <c r="A21" t="s">
        <v>3</v>
      </c>
      <c r="B21" s="13">
        <f ref="B21:I21" si="13" t="shared">B7/$I$13</f>
        <v>7.0760441695741153E-2</v>
      </c>
      <c r="C21" s="13">
        <f si="13" t="shared"/>
        <v>9.00260442217031E-3</v>
      </c>
      <c r="D21" s="13">
        <f si="13" t="shared"/>
        <v>1.0920946575007588E-2</v>
      </c>
      <c r="E21" s="13">
        <f si="13" t="shared"/>
        <v>4.6128023366533583E-4</v>
      </c>
      <c r="F21" s="13">
        <f si="13" t="shared"/>
        <v>0</v>
      </c>
      <c r="G21" s="13">
        <f si="13" t="shared"/>
        <v>0</v>
      </c>
      <c r="H21" s="13">
        <f si="13" t="shared"/>
        <v>0</v>
      </c>
      <c r="I21" s="13">
        <f si="13" t="shared"/>
        <v>9.1145272926584392E-2</v>
      </c>
      <c r="J21" s="9"/>
      <c r="K21" t="s">
        <v>3</v>
      </c>
      <c r="L21" s="13">
        <f si="11" t="shared"/>
        <v>3.4178135946861664E-2</v>
      </c>
      <c r="M21" s="13">
        <f si="11" t="shared"/>
        <v>4.4629696981298213E-2</v>
      </c>
      <c r="N21" s="13">
        <f si="11" t="shared"/>
        <v>1.5524205126241841E-2</v>
      </c>
      <c r="O21" s="13">
        <f si="11" t="shared"/>
        <v>1.5313642541298981E-4</v>
      </c>
      <c r="P21" s="13">
        <f si="11" t="shared"/>
        <v>1.1006680576558642E-3</v>
      </c>
      <c r="Q21" s="13">
        <f si="11" t="shared"/>
        <v>1.0049577917727456E-3</v>
      </c>
      <c r="R21" s="13">
        <f si="11" t="shared"/>
        <v>4.0198311670909824E-4</v>
      </c>
      <c r="S21" s="13">
        <f si="11" t="shared"/>
        <v>9.6992783445952413E-2</v>
      </c>
    </row>
    <row r="22" spans="1:19" x14ac:dyDescent="0.45">
      <c r="A22" t="s">
        <v>4</v>
      </c>
      <c r="B22" s="13">
        <f ref="B22:I22" si="14" t="shared">B8/$I$13</f>
        <v>0</v>
      </c>
      <c r="C22" s="13">
        <f si="14" t="shared"/>
        <v>0</v>
      </c>
      <c r="D22" s="13">
        <f si="14" t="shared"/>
        <v>0</v>
      </c>
      <c r="E22" s="13">
        <f si="14" t="shared"/>
        <v>0</v>
      </c>
      <c r="F22" s="13">
        <f si="14" t="shared"/>
        <v>0</v>
      </c>
      <c r="G22" s="13">
        <f si="14" t="shared"/>
        <v>0</v>
      </c>
      <c r="H22" s="13">
        <f si="14" t="shared"/>
        <v>0</v>
      </c>
      <c r="I22" s="13">
        <f si="14" t="shared"/>
        <v>0</v>
      </c>
      <c r="J22" s="9"/>
      <c r="K22" t="s">
        <v>4</v>
      </c>
      <c r="L22" s="13">
        <f si="11" t="shared"/>
        <v>0</v>
      </c>
      <c r="M22" s="13">
        <f si="11" t="shared"/>
        <v>0</v>
      </c>
      <c r="N22" s="13">
        <f si="11" t="shared"/>
        <v>0</v>
      </c>
      <c r="O22" s="13">
        <f si="11" t="shared"/>
        <v>0</v>
      </c>
      <c r="P22" s="13">
        <f si="11" t="shared"/>
        <v>0</v>
      </c>
      <c r="Q22" s="13">
        <f si="11" t="shared"/>
        <v>0</v>
      </c>
      <c r="R22" s="13">
        <f si="11" t="shared"/>
        <v>0</v>
      </c>
      <c r="S22" s="13">
        <f si="11" t="shared"/>
        <v>0</v>
      </c>
    </row>
    <row r="23" spans="1:19" x14ac:dyDescent="0.45">
      <c r="A23" t="s">
        <v>5</v>
      </c>
      <c r="B23" s="13">
        <f ref="B23:I23" si="15" t="shared">B9/$I$13</f>
        <v>3.9929103192144728E-4</v>
      </c>
      <c r="C23" s="13">
        <f si="15" t="shared"/>
        <v>0</v>
      </c>
      <c r="D23" s="13">
        <f si="15" t="shared"/>
        <v>0</v>
      </c>
      <c r="E23" s="13">
        <f si="15" t="shared"/>
        <v>7.8002986086592857E-4</v>
      </c>
      <c r="F23" s="13">
        <f si="15" t="shared"/>
        <v>5.5703292219760957E-4</v>
      </c>
      <c r="G23" s="13">
        <f si="15" t="shared"/>
        <v>0</v>
      </c>
      <c r="H23" s="13">
        <f si="15" t="shared"/>
        <v>0</v>
      </c>
      <c r="I23" s="13">
        <f si="15" t="shared"/>
        <v>1.7363538149849855E-3</v>
      </c>
      <c r="J23" s="9"/>
      <c r="K23" t="s">
        <v>5</v>
      </c>
      <c r="L23" s="13">
        <f si="11" t="shared"/>
        <v>1.3208016691870371E-3</v>
      </c>
      <c r="M23" s="13">
        <f si="11" t="shared"/>
        <v>3.6369901035585077E-4</v>
      </c>
      <c r="N23" s="13">
        <f si="11" t="shared"/>
        <v>4.7855132941559313E-4</v>
      </c>
      <c r="O23" s="13">
        <f si="11" t="shared"/>
        <v>1.9142053176623726E-5</v>
      </c>
      <c r="P23" s="13">
        <f si="11" t="shared"/>
        <v>1.1485231905974235E-4</v>
      </c>
      <c r="Q23" s="13">
        <f si="11" t="shared"/>
        <v>1.1485231905974235E-4</v>
      </c>
      <c r="R23" s="13">
        <f si="11" t="shared"/>
        <v>2.8713079764935587E-5</v>
      </c>
      <c r="S23" s="13">
        <f si="11" t="shared"/>
        <v>2.4406117800195247E-3</v>
      </c>
    </row>
    <row r="24" spans="1:19" x14ac:dyDescent="0.45">
      <c r="A24" t="s">
        <v>6</v>
      </c>
      <c r="B24" s="13">
        <f ref="B24:I24" si="16" t="shared">B10/$I$13</f>
        <v>8.9226097117905262E-4</v>
      </c>
      <c r="C24" s="13">
        <f si="16" t="shared"/>
        <v>0</v>
      </c>
      <c r="D24" s="13">
        <f si="16" t="shared"/>
        <v>0</v>
      </c>
      <c r="E24" s="13">
        <f si="16" t="shared"/>
        <v>0</v>
      </c>
      <c r="F24" s="13">
        <f si="16" t="shared"/>
        <v>0</v>
      </c>
      <c r="G24" s="13">
        <f si="16" t="shared"/>
        <v>2.7015629119296609E-3</v>
      </c>
      <c r="H24" s="13">
        <f si="16" t="shared"/>
        <v>0</v>
      </c>
      <c r="I24" s="13">
        <f si="16" t="shared"/>
        <v>3.5938238831087137E-3</v>
      </c>
      <c r="J24" s="9"/>
      <c r="K24" t="s">
        <v>6</v>
      </c>
      <c r="L24" s="13">
        <f si="11" t="shared"/>
        <v>1.3303726957753488E-3</v>
      </c>
      <c r="M24" s="13">
        <f si="11" t="shared"/>
        <v>3.9241209012078635E-4</v>
      </c>
      <c r="N24" s="13">
        <f si="11" t="shared"/>
        <v>5.0726440918052865E-4</v>
      </c>
      <c r="O24" s="13">
        <f si="11" t="shared"/>
        <v>0</v>
      </c>
      <c r="P24" s="13">
        <f si="11" t="shared"/>
        <v>8.6139239294806758E-5</v>
      </c>
      <c r="Q24" s="13">
        <f si="11" t="shared"/>
        <v>1.4260829616584674E-3</v>
      </c>
      <c r="R24" s="13">
        <f si="11" t="shared"/>
        <v>0</v>
      </c>
      <c r="S24" s="13">
        <f si="11" t="shared"/>
        <v>3.7422713960299381E-3</v>
      </c>
    </row>
    <row r="25" spans="1:19" x14ac:dyDescent="0.45">
      <c r="A25" t="s">
        <v>7</v>
      </c>
      <c r="B25" s="13">
        <f ref="B25:I26" si="17" t="shared">B11/$I$13</f>
        <v>8.0420499370879972E-2</v>
      </c>
      <c r="C25" s="13">
        <f si="17" t="shared"/>
        <v>2.9071206451647725E-2</v>
      </c>
      <c r="D25" s="13">
        <f si="17" t="shared"/>
        <v>6.2234694423019864E-3</v>
      </c>
      <c r="E25" s="13">
        <f si="17" t="shared"/>
        <v>1.7473664819766536E-2</v>
      </c>
      <c r="F25" s="13">
        <f si="17" t="shared"/>
        <v>2.0594903088329827E-2</v>
      </c>
      <c r="G25" s="13">
        <f si="17" t="shared"/>
        <v>2.4610770923714329E-3</v>
      </c>
      <c r="H25" s="13">
        <f si="17" t="shared"/>
        <v>7.3515992300840233E-4</v>
      </c>
      <c r="I25" s="13">
        <f si="17" t="shared"/>
        <v>0.15697998018830592</v>
      </c>
      <c r="J25" s="9"/>
      <c r="K25" t="s">
        <v>7</v>
      </c>
      <c r="L25" s="13">
        <f si="11" t="shared"/>
        <v>9.2992094332038061E-2</v>
      </c>
      <c r="M25" s="13">
        <f si="11" t="shared"/>
        <v>2.9823318849179763E-2</v>
      </c>
      <c r="N25" s="13">
        <f si="11" t="shared"/>
        <v>1.9036771884152294E-2</v>
      </c>
      <c r="O25" s="13">
        <f si="11" t="shared"/>
        <v>1.1485231905974235E-4</v>
      </c>
      <c r="P25" s="13">
        <f si="11" t="shared"/>
        <v>9.3796060565456247E-4</v>
      </c>
      <c r="Q25" s="13">
        <f si="11" t="shared"/>
        <v>7.9439520682988453E-4</v>
      </c>
      <c r="R25" s="13">
        <f si="11" t="shared"/>
        <v>3.5699929174403248E-3</v>
      </c>
      <c r="S25" s="13">
        <f si="11" t="shared"/>
        <v>0.14726938611435464</v>
      </c>
    </row>
    <row r="26" spans="1:19" x14ac:dyDescent="0.45">
      <c r="A26" t="s">
        <v>302</v>
      </c>
      <c r="B26" s="14">
        <f>B12/$I$13</f>
        <v>0</v>
      </c>
      <c r="C26" s="14">
        <f si="17" t="shared"/>
        <v>0</v>
      </c>
      <c r="D26" s="14">
        <f si="17" t="shared"/>
        <v>0</v>
      </c>
      <c r="E26" s="14">
        <f si="17" t="shared"/>
        <v>0</v>
      </c>
      <c r="F26" s="14">
        <f si="17" t="shared"/>
        <v>0</v>
      </c>
      <c r="G26" s="14">
        <f si="17" t="shared"/>
        <v>0</v>
      </c>
      <c r="H26" s="14">
        <f si="17" t="shared"/>
        <v>0</v>
      </c>
      <c r="I26" s="13">
        <f si="17" t="shared"/>
        <v>0</v>
      </c>
      <c r="J26" s="9"/>
      <c r="K26" t="s">
        <v>302</v>
      </c>
      <c r="L26" s="14">
        <f si="11" t="shared"/>
        <v>0</v>
      </c>
      <c r="M26" s="14">
        <f si="11" t="shared"/>
        <v>0</v>
      </c>
      <c r="N26" s="14">
        <f si="11" t="shared"/>
        <v>0</v>
      </c>
      <c r="O26" s="14">
        <f si="11" t="shared"/>
        <v>0</v>
      </c>
      <c r="P26" s="14">
        <f si="11" t="shared"/>
        <v>0</v>
      </c>
      <c r="Q26" s="14">
        <f si="11" t="shared"/>
        <v>0</v>
      </c>
      <c r="R26" s="14">
        <f si="11" t="shared"/>
        <v>0</v>
      </c>
      <c r="S26" s="13">
        <f si="11" t="shared"/>
        <v>0</v>
      </c>
    </row>
    <row ht="14.65" r="27" spans="1:19" thickBot="1" x14ac:dyDescent="0.5">
      <c r="A27" s="92" t="s">
        <v>19</v>
      </c>
      <c r="B27" s="93">
        <f ref="B27:I27" si="18" t="shared">B13/$I$13</f>
        <v>0.66646700021014227</v>
      </c>
      <c r="C27" s="93">
        <f si="18" t="shared"/>
        <v>0.22885156143074131</v>
      </c>
      <c r="D27" s="93">
        <f si="18" t="shared"/>
        <v>5.6373445871043287E-2</v>
      </c>
      <c r="E27" s="93">
        <f si="18" t="shared"/>
        <v>1.8714974914297799E-2</v>
      </c>
      <c r="F27" s="93">
        <f si="18" t="shared"/>
        <v>2.2113690576816072E-2</v>
      </c>
      <c r="G27" s="93">
        <f si="18" t="shared"/>
        <v>6.0724292917768144E-3</v>
      </c>
      <c r="H27" s="93">
        <f si="18" t="shared"/>
        <v>1.4068977051823123E-3</v>
      </c>
      <c r="I27" s="93">
        <f si="18" t="shared"/>
        <v>1</v>
      </c>
      <c r="K27" s="92" t="s">
        <v>19</v>
      </c>
      <c r="L27" s="93">
        <f si="11" t="shared"/>
        <v>0.65309814130663657</v>
      </c>
      <c r="M27" s="93">
        <f si="11" t="shared"/>
        <v>0.24351562948641872</v>
      </c>
      <c r="N27" s="93">
        <f si="11" t="shared"/>
        <v>8.6713500890105474E-2</v>
      </c>
      <c r="O27" s="93">
        <f si="11" t="shared"/>
        <v>8.4225033977144384E-4</v>
      </c>
      <c r="P27" s="93">
        <f si="11" t="shared"/>
        <v>4.4218142838000803E-3</v>
      </c>
      <c r="Q27" s="93">
        <f si="11" t="shared"/>
        <v>5.9244654581650427E-3</v>
      </c>
      <c r="R27" s="93">
        <f si="11" t="shared"/>
        <v>5.4841982351026969E-3</v>
      </c>
      <c r="S27" s="93">
        <f si="11" t="shared"/>
        <v>1</v>
      </c>
    </row>
    <row ht="14.65" r="30" spans="1:19" thickBot="1" x14ac:dyDescent="0.5">
      <c r="K30" s="1" t="s">
        <v>21</v>
      </c>
      <c r="L30" s="1"/>
      <c r="M30" s="3"/>
      <c r="N30" s="3"/>
      <c r="O30" s="3"/>
      <c r="P30" s="3"/>
      <c r="Q30" s="3"/>
      <c r="R30" s="3"/>
      <c r="S30" s="3"/>
    </row>
    <row r="31" spans="1:19" x14ac:dyDescent="0.45">
      <c r="K31" s="5"/>
      <c r="L31" s="104" t="s">
        <v>18</v>
      </c>
      <c r="M31" s="104"/>
      <c r="N31" s="104"/>
      <c r="O31" s="104"/>
      <c r="P31" s="104"/>
      <c r="Q31" s="104"/>
      <c r="R31" s="104"/>
      <c r="S31" s="104"/>
    </row>
    <row r="32" spans="1:19" x14ac:dyDescent="0.45">
      <c r="K32" s="6" t="s">
        <v>0</v>
      </c>
      <c r="L32" s="7" t="s">
        <v>1</v>
      </c>
      <c r="M32" s="7" t="s">
        <v>2</v>
      </c>
      <c r="N32" s="7" t="s">
        <v>3</v>
      </c>
      <c r="O32" s="7" t="s">
        <v>4</v>
      </c>
      <c r="P32" s="7" t="s">
        <v>5</v>
      </c>
      <c r="Q32" s="7" t="s">
        <v>6</v>
      </c>
      <c r="R32" s="7" t="s">
        <v>7</v>
      </c>
      <c r="S32" s="7" t="s">
        <v>19</v>
      </c>
    </row>
    <row r="33" spans="11:19" x14ac:dyDescent="0.45">
      <c r="K33" t="s">
        <v>1</v>
      </c>
      <c r="L33" s="13">
        <f ref="L33:S35" si="19" t="shared">L19-B19</f>
        <v>4.3016564730336992E-2</v>
      </c>
      <c r="M33" s="13">
        <f si="19" t="shared"/>
        <v>-2.908599590353976E-2</v>
      </c>
      <c r="N33" s="13">
        <f si="19" t="shared"/>
        <v>-1.4330017919719964E-2</v>
      </c>
      <c r="O33" s="13">
        <f si="19" t="shared"/>
        <v>9.5710265883118626E-5</v>
      </c>
      <c r="P33" s="13">
        <f si="19" t="shared"/>
        <v>9.5710265883118626E-5</v>
      </c>
      <c r="Q33" s="13">
        <f si="19" t="shared"/>
        <v>5.6469056871039992E-4</v>
      </c>
      <c r="R33" s="13">
        <f si="19" t="shared"/>
        <v>-3.3675185158299481E-4</v>
      </c>
      <c r="S33" s="13">
        <f si="19" t="shared"/>
        <v>1.99101559708037E-5</v>
      </c>
    </row>
    <row r="34" spans="11:19" x14ac:dyDescent="0.45">
      <c r="K34" t="s">
        <v>2</v>
      </c>
      <c r="L34" s="13">
        <f si="19" t="shared"/>
        <v>-3.3734335207983288E-2</v>
      </c>
      <c r="M34" s="13">
        <f si="19" t="shared"/>
        <v>6.6147479020805949E-3</v>
      </c>
      <c r="N34" s="13">
        <f si="19" t="shared"/>
        <v>2.6267696207101475E-2</v>
      </c>
      <c r="O34" s="13">
        <f si="19" t="shared"/>
        <v>4.5940927623896939E-4</v>
      </c>
      <c r="P34" s="13">
        <f si="19" t="shared"/>
        <v>1.1247292299633492E-3</v>
      </c>
      <c r="Q34" s="13">
        <f si="19" t="shared"/>
        <v>1.1096973226580823E-3</v>
      </c>
      <c r="R34" s="13">
        <f si="19" t="shared"/>
        <v>1.1485231905974235E-3</v>
      </c>
      <c r="S34" s="13">
        <f si="19" t="shared"/>
        <v>2.9904679206566032E-3</v>
      </c>
    </row>
    <row r="35" spans="11:19" x14ac:dyDescent="0.45">
      <c r="K35" t="s">
        <v>3</v>
      </c>
      <c r="L35" s="13">
        <f si="19" t="shared"/>
        <v>-3.6582305748879489E-2</v>
      </c>
      <c r="M35" s="13">
        <f si="19" t="shared"/>
        <v>3.5627092559127903E-2</v>
      </c>
      <c r="N35" s="13">
        <f si="19" t="shared"/>
        <v>4.6032585512342534E-3</v>
      </c>
      <c r="O35" s="13">
        <f si="19" t="shared"/>
        <v>-3.08143808252346E-4</v>
      </c>
      <c r="P35" s="13">
        <f si="19" t="shared"/>
        <v>1.1006680576558642E-3</v>
      </c>
      <c r="Q35" s="13">
        <f si="19" t="shared"/>
        <v>1.0049577917727456E-3</v>
      </c>
      <c r="R35" s="13">
        <f si="19" t="shared"/>
        <v>4.0198311670909824E-4</v>
      </c>
      <c r="S35" s="13">
        <f si="19" t="shared"/>
        <v>5.847510519368021E-3</v>
      </c>
    </row>
    <row r="36" spans="11:19" x14ac:dyDescent="0.45">
      <c r="K36" t="s">
        <v>4</v>
      </c>
      <c r="L36" s="13">
        <f ref="L36:L41" si="20" t="shared">L22-B22</f>
        <v>0</v>
      </c>
      <c r="M36" s="13">
        <f ref="M36:S36" si="21" t="shared">M22-C22</f>
        <v>0</v>
      </c>
      <c r="N36" s="13">
        <f si="21" t="shared"/>
        <v>0</v>
      </c>
      <c r="O36" s="13">
        <f si="21" t="shared"/>
        <v>0</v>
      </c>
      <c r="P36" s="13">
        <f si="21" t="shared"/>
        <v>0</v>
      </c>
      <c r="Q36" s="13">
        <f si="21" t="shared"/>
        <v>0</v>
      </c>
      <c r="R36" s="13">
        <f si="21" t="shared"/>
        <v>0</v>
      </c>
      <c r="S36" s="13">
        <f si="21" t="shared"/>
        <v>0</v>
      </c>
    </row>
    <row r="37" spans="11:19" x14ac:dyDescent="0.45">
      <c r="K37" t="s">
        <v>5</v>
      </c>
      <c r="L37" s="13">
        <f si="20" t="shared"/>
        <v>9.2151063726558986E-4</v>
      </c>
      <c r="M37" s="13">
        <f ref="M37:S40" si="22" t="shared">M23-C23</f>
        <v>3.6369901035585077E-4</v>
      </c>
      <c r="N37" s="13">
        <f si="22" t="shared"/>
        <v>4.7855132941559313E-4</v>
      </c>
      <c r="O37" s="13">
        <f si="22" t="shared"/>
        <v>-7.6088780768930489E-4</v>
      </c>
      <c r="P37" s="13">
        <f si="22" t="shared"/>
        <v>-4.421806031378672E-4</v>
      </c>
      <c r="Q37" s="13">
        <f si="22" t="shared"/>
        <v>1.1485231905974235E-4</v>
      </c>
      <c r="R37" s="13">
        <f si="22" t="shared"/>
        <v>2.8713079764935587E-5</v>
      </c>
      <c r="S37" s="13">
        <f si="22" t="shared"/>
        <v>7.0425796503453928E-4</v>
      </c>
    </row>
    <row r="38" spans="11:19" x14ac:dyDescent="0.45">
      <c r="K38" t="s">
        <v>6</v>
      </c>
      <c r="L38" s="13">
        <f si="20" t="shared"/>
        <v>4.3811172459629619E-4</v>
      </c>
      <c r="M38" s="13">
        <f si="22" t="shared"/>
        <v>3.9241209012078635E-4</v>
      </c>
      <c r="N38" s="13">
        <f si="22" t="shared"/>
        <v>5.0726440918052865E-4</v>
      </c>
      <c r="O38" s="13">
        <f si="22" t="shared"/>
        <v>0</v>
      </c>
      <c r="P38" s="13">
        <f si="22" t="shared"/>
        <v>8.6139239294806758E-5</v>
      </c>
      <c r="Q38" s="13">
        <f si="22" t="shared"/>
        <v>-1.2754799502711935E-3</v>
      </c>
      <c r="R38" s="13">
        <f si="22" t="shared"/>
        <v>0</v>
      </c>
      <c r="S38" s="13">
        <f si="22" t="shared"/>
        <v>1.4844751292122449E-4</v>
      </c>
    </row>
    <row r="39" spans="11:19" x14ac:dyDescent="0.45">
      <c r="K39" t="s">
        <v>7</v>
      </c>
      <c r="L39" s="13">
        <f si="20" t="shared"/>
        <v>1.2571594961158089E-2</v>
      </c>
      <c r="M39" s="13">
        <f si="22" t="shared"/>
        <v>7.5211239753203776E-4</v>
      </c>
      <c r="N39" s="13">
        <f si="22" t="shared"/>
        <v>1.2813302441850308E-2</v>
      </c>
      <c r="O39" s="13">
        <f si="22" t="shared"/>
        <v>-1.7358812500706793E-2</v>
      </c>
      <c r="P39" s="13">
        <f si="22" t="shared"/>
        <v>-1.9656942482675265E-2</v>
      </c>
      <c r="Q39" s="13">
        <f si="22" t="shared"/>
        <v>-1.6666818855415482E-3</v>
      </c>
      <c r="R39" s="13">
        <f si="22" t="shared"/>
        <v>2.8348329944319225E-3</v>
      </c>
      <c r="S39" s="13">
        <f si="22" t="shared"/>
        <v>-9.7105940739512786E-3</v>
      </c>
    </row>
    <row r="40" spans="11:19" x14ac:dyDescent="0.45">
      <c r="K40" t="s">
        <v>302</v>
      </c>
      <c r="L40" s="14">
        <f si="20" t="shared"/>
        <v>0</v>
      </c>
      <c r="M40" s="14">
        <f si="22" t="shared"/>
        <v>0</v>
      </c>
      <c r="N40" s="14">
        <f si="22" t="shared"/>
        <v>0</v>
      </c>
      <c r="O40" s="14">
        <f si="22" t="shared"/>
        <v>0</v>
      </c>
      <c r="P40" s="14">
        <f si="22" t="shared"/>
        <v>0</v>
      </c>
      <c r="Q40" s="14">
        <f si="22" t="shared"/>
        <v>0</v>
      </c>
      <c r="R40" s="14">
        <f si="22" t="shared"/>
        <v>0</v>
      </c>
      <c r="S40" s="13">
        <f si="22" t="shared"/>
        <v>0</v>
      </c>
    </row>
    <row ht="14.65" r="41" spans="11:19" thickBot="1" x14ac:dyDescent="0.5">
      <c r="K41" s="92" t="s">
        <v>19</v>
      </c>
      <c r="L41" s="93">
        <f si="20" t="shared"/>
        <v>-1.3368858903505698E-2</v>
      </c>
      <c r="M41" s="93">
        <f ref="M41:S41" si="23" t="shared">M27-C27</f>
        <v>1.4664068055677409E-2</v>
      </c>
      <c r="N41" s="93">
        <f si="23" t="shared"/>
        <v>3.0340055019062187E-2</v>
      </c>
      <c r="O41" s="93">
        <f si="23" t="shared"/>
        <v>-1.7872724574526357E-2</v>
      </c>
      <c r="P41" s="93">
        <f si="23" t="shared"/>
        <v>-1.7691876293015992E-2</v>
      </c>
      <c r="Q41" s="93">
        <f si="23" t="shared"/>
        <v>-1.4796383361177171E-4</v>
      </c>
      <c r="R41" s="93">
        <f si="23" t="shared"/>
        <v>4.0773005299203843E-3</v>
      </c>
      <c r="S41" s="93">
        <f si="23" t="shared"/>
        <v>0</v>
      </c>
    </row>
  </sheetData>
  <mergeCells count="5">
    <mergeCell ref="B3:H3"/>
    <mergeCell ref="L3:S3"/>
    <mergeCell ref="B17:H17"/>
    <mergeCell ref="L17:S17"/>
    <mergeCell ref="L31:S31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C3"/>
  <sheetViews>
    <sheetView workbookViewId="0"/>
  </sheetViews>
  <sheetFormatPr defaultRowHeight="14.25" x14ac:dyDescent="0.45"/>
  <sheetData>
    <row r="2" spans="2:2" x14ac:dyDescent="0.45">
      <c r="B2" t="s">
        <v>42</v>
      </c>
    </row>
    <row r="3" spans="2:2" x14ac:dyDescent="0.4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G47"/>
  <sheetViews>
    <sheetView workbookViewId="0">
      <selection activeCell="X6" sqref="X6"/>
    </sheetView>
  </sheetViews>
  <sheetFormatPr defaultRowHeight="14.25" x14ac:dyDescent="0.45"/>
  <cols>
    <col min="2" max="2" bestFit="true" customWidth="true" width="11.0" collapsed="true"/>
  </cols>
  <sheetData>
    <row r="1" spans="1:58" x14ac:dyDescent="0.45">
      <c r="A1" s="23" t="s">
        <v>108</v>
      </c>
      <c r="M1" s="23" t="s">
        <v>143</v>
      </c>
      <c r="W1" s="23" t="s">
        <v>163</v>
      </c>
      <c r="AL1" s="23" t="s">
        <v>184</v>
      </c>
      <c r="AZ1" s="23" t="s">
        <v>202</v>
      </c>
    </row>
    <row r="2" spans="1:58" x14ac:dyDescent="0.45">
      <c r="A2" t="s">
        <v>59</v>
      </c>
      <c r="B2" t="s">
        <v>60</v>
      </c>
      <c r="E2" s="21" t="s">
        <v>61</v>
      </c>
      <c r="M2" t="s">
        <v>59</v>
      </c>
      <c r="N2" t="s">
        <v>60</v>
      </c>
      <c r="Q2" s="21" t="s">
        <v>61</v>
      </c>
      <c r="W2" t="s">
        <v>59</v>
      </c>
      <c r="X2" t="s">
        <v>60</v>
      </c>
      <c r="AA2" t="s">
        <v>61</v>
      </c>
      <c r="AL2" t="s">
        <v>59</v>
      </c>
      <c r="AM2" t="s">
        <v>60</v>
      </c>
      <c r="AP2" t="s">
        <v>61</v>
      </c>
      <c r="AZ2" t="s">
        <v>59</v>
      </c>
      <c r="BA2" t="s">
        <v>60</v>
      </c>
      <c r="BD2" t="s">
        <v>61</v>
      </c>
    </row>
    <row r="3" spans="1:58" x14ac:dyDescent="0.45">
      <c r="A3">
        <v>1</v>
      </c>
      <c r="B3" t="s">
        <v>62</v>
      </c>
      <c r="C3" t="s">
        <v>63</v>
      </c>
      <c r="D3" s="22">
        <v>8.2714292376400003E-2</v>
      </c>
      <c r="E3" t="s">
        <v>114</v>
      </c>
      <c r="F3" t="s">
        <v>121</v>
      </c>
      <c r="G3" t="s">
        <v>122</v>
      </c>
      <c r="M3">
        <v>2</v>
      </c>
      <c r="N3" t="s">
        <v>64</v>
      </c>
      <c r="O3" t="s">
        <v>63</v>
      </c>
      <c r="P3">
        <v>3.3415951052600001</v>
      </c>
      <c r="Q3" t="s">
        <v>144</v>
      </c>
      <c r="W3">
        <v>1</v>
      </c>
      <c r="X3" t="s">
        <v>62</v>
      </c>
      <c r="Y3" t="s">
        <v>63</v>
      </c>
      <c r="Z3">
        <v>0.52879225620699999</v>
      </c>
      <c r="AA3" t="s">
        <v>167</v>
      </c>
      <c r="AB3" t="s">
        <v>169</v>
      </c>
      <c r="AC3" t="s">
        <v>170</v>
      </c>
      <c r="AL3">
        <v>1</v>
      </c>
      <c r="AM3" t="s">
        <v>62</v>
      </c>
      <c r="AN3" t="s">
        <v>63</v>
      </c>
      <c r="AO3">
        <v>0.37910550304899998</v>
      </c>
      <c r="AP3" t="s">
        <v>186</v>
      </c>
      <c r="AQ3" t="s">
        <v>121</v>
      </c>
      <c r="AR3" t="s">
        <v>122</v>
      </c>
      <c r="AZ3">
        <v>1</v>
      </c>
      <c r="BA3" t="s">
        <v>62</v>
      </c>
      <c r="BB3" t="s">
        <v>63</v>
      </c>
      <c r="BC3">
        <v>1.4514354035000001</v>
      </c>
      <c r="BD3" t="s">
        <v>203</v>
      </c>
      <c r="BE3" t="s">
        <v>206</v>
      </c>
      <c r="BF3" t="s">
        <v>207</v>
      </c>
    </row>
    <row r="4" spans="1:58" x14ac:dyDescent="0.45">
      <c r="A4">
        <v>2</v>
      </c>
      <c r="B4" t="s">
        <v>64</v>
      </c>
      <c r="C4" t="s">
        <v>63</v>
      </c>
      <c r="D4">
        <v>1.0220354865200001</v>
      </c>
      <c r="E4" t="s">
        <v>131</v>
      </c>
      <c r="M4">
        <v>30</v>
      </c>
      <c r="N4" t="s">
        <v>75</v>
      </c>
      <c r="O4" t="s">
        <v>63</v>
      </c>
      <c r="P4">
        <v>-2.1800862739200002</v>
      </c>
      <c r="Q4">
        <v>1</v>
      </c>
      <c r="W4">
        <v>2</v>
      </c>
      <c r="X4" t="s">
        <v>64</v>
      </c>
      <c r="Y4" t="s">
        <v>63</v>
      </c>
      <c r="Z4">
        <v>0.55879276356800001</v>
      </c>
      <c r="AA4" t="s">
        <v>192</v>
      </c>
      <c r="AL4">
        <v>2</v>
      </c>
      <c r="AM4" t="s">
        <v>64</v>
      </c>
      <c r="AN4" t="s">
        <v>63</v>
      </c>
      <c r="AO4">
        <v>2.0186908853599999</v>
      </c>
      <c r="AP4" t="s">
        <v>144</v>
      </c>
      <c r="AZ4">
        <v>2</v>
      </c>
      <c r="BA4" t="s">
        <v>64</v>
      </c>
      <c r="BB4" t="s">
        <v>63</v>
      </c>
      <c r="BC4">
        <v>1.3039408369400001</v>
      </c>
      <c r="BD4" t="s">
        <v>210</v>
      </c>
    </row>
    <row r="5" spans="1:58" x14ac:dyDescent="0.45">
      <c r="A5">
        <v>10</v>
      </c>
      <c r="B5" t="s">
        <v>65</v>
      </c>
      <c r="C5" t="s">
        <v>63</v>
      </c>
      <c r="D5">
        <v>-1.1944700928600001</v>
      </c>
      <c r="E5">
        <v>1</v>
      </c>
      <c r="G5" t="s">
        <v>8</v>
      </c>
      <c r="M5">
        <v>31</v>
      </c>
      <c r="N5" t="s">
        <v>133</v>
      </c>
      <c r="O5" t="s">
        <v>63</v>
      </c>
      <c r="P5">
        <v>1.16680397388</v>
      </c>
      <c r="Q5" t="s">
        <v>145</v>
      </c>
      <c r="W5">
        <v>10</v>
      </c>
      <c r="X5" t="s">
        <v>150</v>
      </c>
      <c r="Y5" t="s">
        <v>63</v>
      </c>
      <c r="Z5">
        <v>-1.6038121758199999</v>
      </c>
      <c r="AA5">
        <v>1</v>
      </c>
      <c r="AL5">
        <v>20</v>
      </c>
      <c r="AM5" t="s">
        <v>68</v>
      </c>
      <c r="AN5" t="s">
        <v>63</v>
      </c>
      <c r="AO5">
        <v>-4.4200798368200003</v>
      </c>
      <c r="AP5">
        <v>1</v>
      </c>
      <c r="AZ5">
        <v>20</v>
      </c>
      <c r="BA5" t="s">
        <v>68</v>
      </c>
      <c r="BB5" t="s">
        <v>63</v>
      </c>
      <c r="BC5">
        <v>-3.4980731239099998</v>
      </c>
      <c r="BD5">
        <v>1</v>
      </c>
    </row>
    <row r="6" spans="1:58" x14ac:dyDescent="0.45">
      <c r="A6">
        <v>17</v>
      </c>
      <c r="B6" t="s">
        <v>66</v>
      </c>
      <c r="C6" t="s">
        <v>63</v>
      </c>
      <c r="D6">
        <v>-0.37388358649999998</v>
      </c>
      <c r="E6" t="s">
        <v>109</v>
      </c>
      <c r="M6">
        <v>32</v>
      </c>
      <c r="N6" t="s">
        <v>134</v>
      </c>
      <c r="O6" t="s">
        <v>63</v>
      </c>
      <c r="P6">
        <v>0.48228420681</v>
      </c>
      <c r="Q6" t="s">
        <v>146</v>
      </c>
      <c r="W6">
        <v>11</v>
      </c>
      <c r="X6" t="s">
        <v>151</v>
      </c>
      <c r="Y6" t="s">
        <v>72</v>
      </c>
      <c r="Z6">
        <v>-2</v>
      </c>
      <c r="AA6" t="s">
        <v>106</v>
      </c>
      <c r="AD6" t="s">
        <v>165</v>
      </c>
      <c r="AL6">
        <v>21</v>
      </c>
      <c r="AM6" t="s">
        <v>69</v>
      </c>
      <c r="AN6" t="s">
        <v>63</v>
      </c>
      <c r="AO6">
        <v>4.94579205397</v>
      </c>
      <c r="AP6" t="s">
        <v>106</v>
      </c>
      <c r="AZ6">
        <v>30</v>
      </c>
      <c r="BA6" t="s">
        <v>75</v>
      </c>
      <c r="BB6" t="s">
        <v>63</v>
      </c>
      <c r="BC6">
        <v>-2.6353130235300002</v>
      </c>
      <c r="BD6">
        <v>1</v>
      </c>
    </row>
    <row r="7" spans="1:58" x14ac:dyDescent="0.45">
      <c r="A7">
        <v>18</v>
      </c>
      <c r="B7" t="s">
        <v>67</v>
      </c>
      <c r="C7" t="s">
        <v>63</v>
      </c>
      <c r="D7">
        <v>-2.1552189459600002</v>
      </c>
      <c r="E7" t="s">
        <v>110</v>
      </c>
      <c r="M7">
        <v>33</v>
      </c>
      <c r="N7" t="s">
        <v>135</v>
      </c>
      <c r="O7" t="s">
        <v>63</v>
      </c>
      <c r="P7" s="22">
        <v>7.7733428152199996E-2</v>
      </c>
      <c r="Q7" t="s">
        <v>147</v>
      </c>
      <c r="W7">
        <v>13</v>
      </c>
      <c r="X7" t="s">
        <v>152</v>
      </c>
      <c r="Y7" t="s">
        <v>63</v>
      </c>
      <c r="Z7">
        <v>-1.01072071817</v>
      </c>
      <c r="AA7" t="s">
        <v>164</v>
      </c>
      <c r="AL7">
        <v>30</v>
      </c>
      <c r="AM7" t="s">
        <v>75</v>
      </c>
      <c r="AN7" t="s">
        <v>63</v>
      </c>
      <c r="AO7">
        <v>-0.81129976642199997</v>
      </c>
      <c r="AP7">
        <v>1</v>
      </c>
      <c r="AZ7">
        <v>40</v>
      </c>
      <c r="BA7" t="s">
        <v>78</v>
      </c>
      <c r="BB7" t="s">
        <v>63</v>
      </c>
      <c r="BC7">
        <v>-1.7745103655700001</v>
      </c>
      <c r="BD7">
        <v>1</v>
      </c>
    </row>
    <row r="8" spans="1:58" x14ac:dyDescent="0.45">
      <c r="A8">
        <v>20</v>
      </c>
      <c r="B8" t="s">
        <v>68</v>
      </c>
      <c r="C8" t="s">
        <v>63</v>
      </c>
      <c r="D8">
        <v>-3.89062176924</v>
      </c>
      <c r="E8">
        <v>1</v>
      </c>
      <c r="G8" t="s">
        <v>132</v>
      </c>
      <c r="M8">
        <v>40</v>
      </c>
      <c r="N8" t="s">
        <v>78</v>
      </c>
      <c r="O8" t="s">
        <v>63</v>
      </c>
      <c r="P8">
        <v>-1.3015858506</v>
      </c>
      <c r="Q8">
        <v>1</v>
      </c>
      <c r="W8">
        <v>20</v>
      </c>
      <c r="X8" t="s">
        <v>68</v>
      </c>
      <c r="Y8" t="s">
        <v>63</v>
      </c>
      <c r="Z8">
        <v>-1.9181554270400001</v>
      </c>
      <c r="AA8">
        <v>1</v>
      </c>
      <c r="AL8">
        <v>31</v>
      </c>
      <c r="AM8" t="s">
        <v>153</v>
      </c>
      <c r="AN8" t="s">
        <v>63</v>
      </c>
      <c r="AO8">
        <v>0.59818794862500002</v>
      </c>
      <c r="AP8" t="s">
        <v>145</v>
      </c>
      <c r="AZ8">
        <v>50</v>
      </c>
      <c r="BA8" t="s">
        <v>83</v>
      </c>
      <c r="BB8" t="s">
        <v>63</v>
      </c>
      <c r="BC8">
        <v>-2.30718445759</v>
      </c>
      <c r="BD8">
        <v>1</v>
      </c>
    </row>
    <row r="9" spans="1:58" x14ac:dyDescent="0.45">
      <c r="A9">
        <v>21</v>
      </c>
      <c r="B9" t="s">
        <v>69</v>
      </c>
      <c r="C9" t="s">
        <v>63</v>
      </c>
      <c r="D9">
        <v>1.02924701291</v>
      </c>
      <c r="E9" t="s">
        <v>106</v>
      </c>
      <c r="M9">
        <v>41</v>
      </c>
      <c r="N9" t="s">
        <v>79</v>
      </c>
      <c r="O9" t="s">
        <v>72</v>
      </c>
      <c r="P9">
        <v>-5.9139999999999997</v>
      </c>
      <c r="Q9" t="s">
        <v>106</v>
      </c>
      <c r="W9">
        <v>30</v>
      </c>
      <c r="X9" t="s">
        <v>75</v>
      </c>
      <c r="Y9" t="s">
        <v>63</v>
      </c>
      <c r="Z9">
        <v>-0.96957991101999996</v>
      </c>
      <c r="AA9">
        <v>1</v>
      </c>
      <c r="AL9">
        <v>32</v>
      </c>
      <c r="AM9" t="s">
        <v>154</v>
      </c>
      <c r="AN9" t="s">
        <v>63</v>
      </c>
      <c r="AO9">
        <v>0.126346118476</v>
      </c>
      <c r="AP9" t="s">
        <v>146</v>
      </c>
      <c r="AZ9">
        <v>54</v>
      </c>
      <c r="BA9" t="s">
        <v>85</v>
      </c>
      <c r="BB9" t="s">
        <v>63</v>
      </c>
      <c r="BC9">
        <v>-0.13556679442799999</v>
      </c>
      <c r="BD9" t="s">
        <v>117</v>
      </c>
    </row>
    <row r="10" spans="1:58" x14ac:dyDescent="0.45">
      <c r="A10">
        <v>22</v>
      </c>
      <c r="B10" t="s">
        <v>70</v>
      </c>
      <c r="C10" t="s">
        <v>63</v>
      </c>
      <c r="D10">
        <v>0.28476332632899998</v>
      </c>
      <c r="E10" t="s">
        <v>107</v>
      </c>
      <c r="M10">
        <v>42</v>
      </c>
      <c r="N10" t="s">
        <v>136</v>
      </c>
      <c r="O10" t="s">
        <v>63</v>
      </c>
      <c r="P10" s="22">
        <v>-3.2567490020500002E-2</v>
      </c>
      <c r="Q10" t="s">
        <v>107</v>
      </c>
      <c r="W10">
        <v>31</v>
      </c>
      <c r="X10" t="s">
        <v>153</v>
      </c>
      <c r="Y10" t="s">
        <v>63</v>
      </c>
      <c r="Z10">
        <v>0.32331883684899998</v>
      </c>
      <c r="AA10" t="s">
        <v>145</v>
      </c>
      <c r="AL10">
        <v>34</v>
      </c>
      <c r="AM10" t="s">
        <v>171</v>
      </c>
      <c r="AN10" t="s">
        <v>63</v>
      </c>
      <c r="AO10">
        <v>0.182457426512</v>
      </c>
      <c r="AP10" t="s">
        <v>187</v>
      </c>
      <c r="AZ10">
        <v>55</v>
      </c>
      <c r="BA10" t="s">
        <v>195</v>
      </c>
      <c r="BB10" t="s">
        <v>63</v>
      </c>
      <c r="BC10">
        <v>-0.13243830190100001</v>
      </c>
      <c r="BD10" t="s">
        <v>118</v>
      </c>
    </row>
    <row r="11" spans="1:58" x14ac:dyDescent="0.45">
      <c r="A11">
        <v>27</v>
      </c>
      <c r="B11" t="s">
        <v>71</v>
      </c>
      <c r="C11" t="s">
        <v>72</v>
      </c>
      <c r="D11">
        <v>-5</v>
      </c>
      <c r="E11" t="s">
        <v>109</v>
      </c>
      <c r="M11">
        <v>50</v>
      </c>
      <c r="N11" s="24" t="s">
        <v>137</v>
      </c>
      <c r="O11" t="s">
        <v>72</v>
      </c>
      <c r="P11">
        <v>-10</v>
      </c>
      <c r="Q11">
        <v>1</v>
      </c>
      <c r="W11">
        <v>32</v>
      </c>
      <c r="X11" t="s">
        <v>154</v>
      </c>
      <c r="Y11" t="s">
        <v>63</v>
      </c>
      <c r="Z11">
        <v>0.27882626875799998</v>
      </c>
      <c r="AA11" t="s">
        <v>146</v>
      </c>
      <c r="AL11">
        <v>35</v>
      </c>
      <c r="AM11" t="s">
        <v>155</v>
      </c>
      <c r="AN11" t="s">
        <v>63</v>
      </c>
      <c r="AO11">
        <v>0.22510711488400001</v>
      </c>
      <c r="AP11" t="s">
        <v>168</v>
      </c>
      <c r="AZ11">
        <v>58</v>
      </c>
      <c r="BA11" t="s">
        <v>196</v>
      </c>
      <c r="BB11" t="s">
        <v>63</v>
      </c>
      <c r="BC11">
        <v>2.76787980308</v>
      </c>
      <c r="BD11" t="s">
        <v>204</v>
      </c>
    </row>
    <row r="12" spans="1:58" x14ac:dyDescent="0.45">
      <c r="A12">
        <v>28</v>
      </c>
      <c r="B12" t="s">
        <v>73</v>
      </c>
      <c r="C12" t="s">
        <v>63</v>
      </c>
      <c r="D12">
        <v>1.6189300503899999</v>
      </c>
      <c r="E12" t="s">
        <v>110</v>
      </c>
      <c r="M12">
        <v>60</v>
      </c>
      <c r="N12" t="s">
        <v>88</v>
      </c>
      <c r="O12" t="s">
        <v>72</v>
      </c>
      <c r="P12">
        <v>-10</v>
      </c>
      <c r="Q12">
        <v>1</v>
      </c>
      <c r="W12">
        <v>35</v>
      </c>
      <c r="X12" t="s">
        <v>155</v>
      </c>
      <c r="Y12" t="s">
        <v>63</v>
      </c>
      <c r="Z12">
        <v>-0.135816439973</v>
      </c>
      <c r="AA12" t="s">
        <v>168</v>
      </c>
      <c r="AL12">
        <v>38</v>
      </c>
      <c r="AM12" t="s">
        <v>156</v>
      </c>
      <c r="AN12" t="s">
        <v>63</v>
      </c>
      <c r="AO12">
        <v>-3.6449456511</v>
      </c>
      <c r="AP12" t="s">
        <v>116</v>
      </c>
      <c r="AZ12">
        <v>59</v>
      </c>
      <c r="BA12" t="s">
        <v>197</v>
      </c>
      <c r="BB12" t="s">
        <v>63</v>
      </c>
      <c r="BC12">
        <v>2.0325205083700002</v>
      </c>
      <c r="BD12" t="s">
        <v>205</v>
      </c>
    </row>
    <row r="13" spans="1:58" x14ac:dyDescent="0.45">
      <c r="A13">
        <v>29</v>
      </c>
      <c r="B13" t="s">
        <v>74</v>
      </c>
      <c r="C13" t="s">
        <v>63</v>
      </c>
      <c r="D13">
        <v>1.4418614350800001</v>
      </c>
      <c r="E13" t="s">
        <v>111</v>
      </c>
      <c r="M13">
        <v>73</v>
      </c>
      <c r="N13" t="s">
        <v>138</v>
      </c>
      <c r="O13" t="s">
        <v>63</v>
      </c>
      <c r="P13">
        <v>-2.3805019629599999</v>
      </c>
      <c r="Q13" t="s">
        <v>148</v>
      </c>
      <c r="W13">
        <v>38</v>
      </c>
      <c r="X13" t="s">
        <v>156</v>
      </c>
      <c r="Y13" t="s">
        <v>63</v>
      </c>
      <c r="Z13">
        <v>-0.61753363761699998</v>
      </c>
      <c r="AA13" t="s">
        <v>116</v>
      </c>
      <c r="AL13">
        <v>39</v>
      </c>
      <c r="AM13" t="s">
        <v>76</v>
      </c>
      <c r="AN13" t="s">
        <v>63</v>
      </c>
      <c r="AO13">
        <v>-2.0456438236599999</v>
      </c>
      <c r="AP13" t="s">
        <v>115</v>
      </c>
      <c r="AZ13">
        <v>60</v>
      </c>
      <c r="BA13" t="s">
        <v>88</v>
      </c>
      <c r="BB13" t="s">
        <v>63</v>
      </c>
      <c r="BC13">
        <v>-4.8566896576699996</v>
      </c>
      <c r="BD13">
        <v>1</v>
      </c>
    </row>
    <row r="14" spans="1:58" x14ac:dyDescent="0.45">
      <c r="A14">
        <v>30</v>
      </c>
      <c r="B14" t="s">
        <v>75</v>
      </c>
      <c r="C14" t="s">
        <v>63</v>
      </c>
      <c r="D14">
        <v>-0.436326716236</v>
      </c>
      <c r="E14">
        <v>1</v>
      </c>
      <c r="M14">
        <v>76</v>
      </c>
      <c r="N14" t="s">
        <v>139</v>
      </c>
      <c r="O14" t="s">
        <v>63</v>
      </c>
      <c r="P14" s="22">
        <v>1.5103600785499999E-3</v>
      </c>
      <c r="Q14" t="s">
        <v>149</v>
      </c>
      <c r="W14">
        <v>39</v>
      </c>
      <c r="X14" t="s">
        <v>76</v>
      </c>
      <c r="Y14" t="s">
        <v>63</v>
      </c>
      <c r="Z14">
        <v>-1.24532834343</v>
      </c>
      <c r="AA14" t="s">
        <v>115</v>
      </c>
      <c r="AL14">
        <v>40</v>
      </c>
      <c r="AM14" t="s">
        <v>78</v>
      </c>
      <c r="AN14" t="s">
        <v>63</v>
      </c>
      <c r="AO14">
        <v>-0.72293440404700005</v>
      </c>
      <c r="AP14">
        <v>1</v>
      </c>
      <c r="AZ14">
        <v>61</v>
      </c>
      <c r="BA14" t="s">
        <v>89</v>
      </c>
      <c r="BB14" t="s">
        <v>63</v>
      </c>
      <c r="BC14" s="22">
        <v>-7.61146297547E-2</v>
      </c>
      <c r="BD14" t="s">
        <v>124</v>
      </c>
    </row>
    <row r="15" spans="1:58" x14ac:dyDescent="0.45">
      <c r="A15">
        <v>37</v>
      </c>
      <c r="B15" t="s">
        <v>76</v>
      </c>
      <c r="C15" t="s">
        <v>63</v>
      </c>
      <c r="D15">
        <v>-1.17061677191</v>
      </c>
      <c r="E15" t="s">
        <v>115</v>
      </c>
      <c r="H15" t="s">
        <v>116</v>
      </c>
      <c r="M15">
        <v>81</v>
      </c>
      <c r="N15" t="s">
        <v>140</v>
      </c>
      <c r="O15" t="s">
        <v>63</v>
      </c>
      <c r="P15">
        <v>0.91500335831599999</v>
      </c>
      <c r="Q15" t="s">
        <v>145</v>
      </c>
      <c r="W15">
        <v>40</v>
      </c>
      <c r="X15" t="s">
        <v>78</v>
      </c>
      <c r="Y15" t="s">
        <v>63</v>
      </c>
      <c r="Z15">
        <v>-0.43668173859600001</v>
      </c>
      <c r="AA15">
        <v>1</v>
      </c>
      <c r="AL15">
        <v>41</v>
      </c>
      <c r="AM15" t="s">
        <v>79</v>
      </c>
      <c r="AN15" t="s">
        <v>63</v>
      </c>
      <c r="AO15">
        <v>-0.92857142151799998</v>
      </c>
      <c r="AP15" t="s">
        <v>106</v>
      </c>
      <c r="AZ15">
        <v>69</v>
      </c>
      <c r="BA15" t="s">
        <v>198</v>
      </c>
      <c r="BB15" t="s">
        <v>63</v>
      </c>
      <c r="BC15">
        <v>4.2535185960500002</v>
      </c>
      <c r="BD15" t="s">
        <v>208</v>
      </c>
    </row>
    <row r="16" spans="1:58" x14ac:dyDescent="0.45">
      <c r="A16">
        <v>38</v>
      </c>
      <c r="B16" t="s">
        <v>77</v>
      </c>
      <c r="C16" t="s">
        <v>63</v>
      </c>
      <c r="D16">
        <v>-0.50005425535900005</v>
      </c>
      <c r="E16" t="s">
        <v>116</v>
      </c>
      <c r="M16">
        <v>82</v>
      </c>
      <c r="N16" t="s">
        <v>141</v>
      </c>
      <c r="O16" t="s">
        <v>63</v>
      </c>
      <c r="P16" s="22">
        <v>-2.7232831171200001E-2</v>
      </c>
      <c r="Q16" t="s">
        <v>146</v>
      </c>
      <c r="W16">
        <v>41</v>
      </c>
      <c r="X16" t="s">
        <v>79</v>
      </c>
      <c r="Y16" t="s">
        <v>63</v>
      </c>
      <c r="Z16">
        <v>-3.1062781391100001</v>
      </c>
      <c r="AA16" t="s">
        <v>106</v>
      </c>
      <c r="AL16">
        <v>43</v>
      </c>
      <c r="AM16" t="s">
        <v>172</v>
      </c>
      <c r="AN16" t="s">
        <v>63</v>
      </c>
      <c r="AO16">
        <v>-0.115623185214</v>
      </c>
      <c r="AP16" t="s">
        <v>164</v>
      </c>
      <c r="AZ16">
        <v>79</v>
      </c>
      <c r="BA16" t="s">
        <v>199</v>
      </c>
      <c r="BB16" t="s">
        <v>72</v>
      </c>
      <c r="BC16">
        <v>5</v>
      </c>
      <c r="BD16" t="s">
        <v>209</v>
      </c>
    </row>
    <row r="17" spans="1:56" x14ac:dyDescent="0.45">
      <c r="A17">
        <v>40</v>
      </c>
      <c r="B17" t="s">
        <v>78</v>
      </c>
      <c r="C17" t="s">
        <v>63</v>
      </c>
      <c r="D17">
        <v>-1.07632083804</v>
      </c>
      <c r="E17">
        <v>1</v>
      </c>
      <c r="M17">
        <v>83</v>
      </c>
      <c r="N17" t="s">
        <v>142</v>
      </c>
      <c r="O17" t="s">
        <v>63</v>
      </c>
      <c r="P17">
        <v>-1.41548419308</v>
      </c>
      <c r="Q17" t="s">
        <v>147</v>
      </c>
      <c r="W17">
        <v>42</v>
      </c>
      <c r="X17" t="s">
        <v>136</v>
      </c>
      <c r="Y17" t="s">
        <v>63</v>
      </c>
      <c r="Z17">
        <v>0.43342144713399999</v>
      </c>
      <c r="AA17" t="s">
        <v>107</v>
      </c>
      <c r="AL17">
        <v>48</v>
      </c>
      <c r="AM17" t="s">
        <v>77</v>
      </c>
      <c r="AN17" t="s">
        <v>63</v>
      </c>
      <c r="AO17">
        <v>-2.1236838848900002</v>
      </c>
      <c r="AP17" t="s">
        <v>116</v>
      </c>
      <c r="AZ17">
        <v>88</v>
      </c>
      <c r="BA17" t="s">
        <v>200</v>
      </c>
      <c r="BB17" t="s">
        <v>63</v>
      </c>
      <c r="BC17">
        <v>-0.23852894050599999</v>
      </c>
      <c r="BD17" t="s">
        <v>204</v>
      </c>
    </row>
    <row r="18" spans="1:56" x14ac:dyDescent="0.45">
      <c r="A18">
        <v>41</v>
      </c>
      <c r="B18" t="s">
        <v>79</v>
      </c>
      <c r="C18" t="s">
        <v>63</v>
      </c>
      <c r="D18">
        <v>-1.7451141218699999</v>
      </c>
      <c r="E18" t="s">
        <v>106</v>
      </c>
      <c r="W18">
        <v>48</v>
      </c>
      <c r="X18" t="s">
        <v>77</v>
      </c>
      <c r="Y18" t="s">
        <v>63</v>
      </c>
      <c r="Z18">
        <v>-0.39332327498699998</v>
      </c>
      <c r="AA18" t="s">
        <v>116</v>
      </c>
      <c r="AL18">
        <v>50</v>
      </c>
      <c r="AM18" t="s">
        <v>83</v>
      </c>
      <c r="AN18" t="s">
        <v>63</v>
      </c>
      <c r="AO18">
        <v>1.21463609016</v>
      </c>
      <c r="AP18">
        <v>1</v>
      </c>
      <c r="AZ18">
        <v>89</v>
      </c>
      <c r="BA18" t="s">
        <v>201</v>
      </c>
      <c r="BB18" t="s">
        <v>63</v>
      </c>
      <c r="BC18">
        <v>1.3187843664700001</v>
      </c>
      <c r="BD18" t="s">
        <v>205</v>
      </c>
    </row>
    <row r="19" spans="1:56" x14ac:dyDescent="0.45">
      <c r="A19">
        <v>44</v>
      </c>
      <c r="B19" t="s">
        <v>80</v>
      </c>
      <c r="C19" t="s">
        <v>63</v>
      </c>
      <c r="D19">
        <v>-0.26427109019</v>
      </c>
      <c r="E19" t="s">
        <v>117</v>
      </c>
      <c r="W19">
        <v>50</v>
      </c>
      <c r="X19" t="s">
        <v>83</v>
      </c>
      <c r="Y19" t="s">
        <v>63</v>
      </c>
      <c r="Z19">
        <v>2.20032936544</v>
      </c>
      <c r="AA19">
        <v>1</v>
      </c>
      <c r="AL19">
        <v>52</v>
      </c>
      <c r="AM19" t="s">
        <v>84</v>
      </c>
      <c r="AN19" t="s">
        <v>63</v>
      </c>
      <c r="AO19">
        <v>-0.87685347122000001</v>
      </c>
      <c r="AP19" t="s">
        <v>107</v>
      </c>
      <c r="AZ19">
        <v>99</v>
      </c>
      <c r="BA19" t="s">
        <v>105</v>
      </c>
      <c r="BB19" t="s">
        <v>63</v>
      </c>
      <c r="BC19">
        <v>0.96666822906600003</v>
      </c>
    </row>
    <row r="20" spans="1:56" x14ac:dyDescent="0.45">
      <c r="A20">
        <v>45</v>
      </c>
      <c r="B20" t="s">
        <v>81</v>
      </c>
      <c r="C20" t="s">
        <v>63</v>
      </c>
      <c r="D20">
        <v>-0.26346992705599998</v>
      </c>
      <c r="E20" t="s">
        <v>118</v>
      </c>
      <c r="W20">
        <v>53</v>
      </c>
      <c r="X20" t="s">
        <v>157</v>
      </c>
      <c r="Y20" t="s">
        <v>63</v>
      </c>
      <c r="Z20">
        <v>-1.27744217244</v>
      </c>
      <c r="AA20" t="s">
        <v>164</v>
      </c>
      <c r="AL20">
        <v>54</v>
      </c>
      <c r="AM20" t="s">
        <v>173</v>
      </c>
      <c r="AN20" t="s">
        <v>63</v>
      </c>
      <c r="AO20">
        <v>0.114530953724</v>
      </c>
      <c r="AP20" t="s">
        <v>117</v>
      </c>
    </row>
    <row r="21" spans="1:56" x14ac:dyDescent="0.45">
      <c r="A21">
        <v>47</v>
      </c>
      <c r="B21" t="s">
        <v>82</v>
      </c>
      <c r="C21" t="s">
        <v>63</v>
      </c>
      <c r="D21">
        <v>1.3756218553499999</v>
      </c>
      <c r="E21" t="s">
        <v>109</v>
      </c>
      <c r="W21">
        <v>54</v>
      </c>
      <c r="X21" t="s">
        <v>85</v>
      </c>
      <c r="Y21" t="s">
        <v>63</v>
      </c>
      <c r="Z21">
        <v>-0.17415467666600001</v>
      </c>
      <c r="AA21" t="s">
        <v>117</v>
      </c>
      <c r="AL21">
        <v>60</v>
      </c>
      <c r="AM21" t="s">
        <v>88</v>
      </c>
      <c r="AN21" t="s">
        <v>63</v>
      </c>
      <c r="AO21">
        <v>-6.5774811724299997</v>
      </c>
      <c r="AP21">
        <v>1</v>
      </c>
    </row>
    <row r="22" spans="1:56" x14ac:dyDescent="0.45">
      <c r="A22">
        <v>50</v>
      </c>
      <c r="B22" t="s">
        <v>83</v>
      </c>
      <c r="C22" t="s">
        <v>63</v>
      </c>
      <c r="D22">
        <v>1.2145079058199999</v>
      </c>
      <c r="E22">
        <v>1</v>
      </c>
      <c r="W22">
        <v>60</v>
      </c>
      <c r="X22" t="s">
        <v>88</v>
      </c>
      <c r="Y22" t="s">
        <v>63</v>
      </c>
      <c r="Z22">
        <v>-9.5721045222600001</v>
      </c>
      <c r="AA22">
        <v>1</v>
      </c>
      <c r="AL22">
        <v>61</v>
      </c>
      <c r="AM22" t="s">
        <v>89</v>
      </c>
      <c r="AN22" t="s">
        <v>63</v>
      </c>
      <c r="AO22">
        <v>1.0360071208699999</v>
      </c>
      <c r="AP22" t="s">
        <v>124</v>
      </c>
    </row>
    <row r="23" spans="1:56" x14ac:dyDescent="0.45">
      <c r="A23">
        <v>52</v>
      </c>
      <c r="B23" t="s">
        <v>84</v>
      </c>
      <c r="C23" t="s">
        <v>63</v>
      </c>
      <c r="D23">
        <v>-1.01885889266</v>
      </c>
      <c r="E23" t="s">
        <v>107</v>
      </c>
      <c r="W23">
        <v>61</v>
      </c>
      <c r="X23" t="s">
        <v>89</v>
      </c>
      <c r="Y23" t="s">
        <v>63</v>
      </c>
      <c r="Z23">
        <v>0.76617238553300004</v>
      </c>
      <c r="AA23" t="s">
        <v>124</v>
      </c>
      <c r="AL23">
        <v>63</v>
      </c>
      <c r="AM23" t="s">
        <v>158</v>
      </c>
      <c r="AN23" t="s">
        <v>63</v>
      </c>
      <c r="AO23">
        <v>-0.76682515659200001</v>
      </c>
      <c r="AP23" t="s">
        <v>148</v>
      </c>
    </row>
    <row r="24" spans="1:56" x14ac:dyDescent="0.45">
      <c r="A24">
        <v>54</v>
      </c>
      <c r="B24" t="s">
        <v>85</v>
      </c>
      <c r="C24" t="s">
        <v>63</v>
      </c>
      <c r="D24">
        <v>-0.78347783300499996</v>
      </c>
      <c r="E24" t="s">
        <v>117</v>
      </c>
      <c r="W24">
        <v>63</v>
      </c>
      <c r="X24" t="s">
        <v>158</v>
      </c>
      <c r="Y24" t="s">
        <v>63</v>
      </c>
      <c r="Z24">
        <v>-0.66187614505199999</v>
      </c>
      <c r="AA24" t="s">
        <v>148</v>
      </c>
      <c r="AL24">
        <v>73</v>
      </c>
      <c r="AM24" t="s">
        <v>138</v>
      </c>
      <c r="AN24" t="s">
        <v>63</v>
      </c>
      <c r="AO24">
        <v>-0.36705005247900002</v>
      </c>
      <c r="AP24" t="s">
        <v>148</v>
      </c>
    </row>
    <row r="25" spans="1:56" x14ac:dyDescent="0.45">
      <c r="A25">
        <v>56</v>
      </c>
      <c r="B25" t="s">
        <v>86</v>
      </c>
      <c r="C25" t="s">
        <v>63</v>
      </c>
      <c r="D25">
        <v>0.30803328101299998</v>
      </c>
      <c r="E25" t="s">
        <v>123</v>
      </c>
      <c r="W25">
        <v>71</v>
      </c>
      <c r="X25" t="s">
        <v>159</v>
      </c>
      <c r="Y25" t="s">
        <v>63</v>
      </c>
      <c r="Z25">
        <v>-0.659709011367</v>
      </c>
      <c r="AA25" t="s">
        <v>124</v>
      </c>
      <c r="AL25">
        <v>120</v>
      </c>
      <c r="AM25" t="s">
        <v>174</v>
      </c>
      <c r="AN25" t="s">
        <v>63</v>
      </c>
      <c r="AO25">
        <v>-1.37393186115</v>
      </c>
      <c r="AP25" t="s">
        <v>185</v>
      </c>
    </row>
    <row r="26" spans="1:56" x14ac:dyDescent="0.45">
      <c r="A26">
        <v>59</v>
      </c>
      <c r="B26" t="s">
        <v>87</v>
      </c>
      <c r="C26" t="s">
        <v>63</v>
      </c>
      <c r="D26">
        <v>-1.56467364191</v>
      </c>
      <c r="E26" t="s">
        <v>111</v>
      </c>
      <c r="W26">
        <v>124</v>
      </c>
      <c r="X26" t="s">
        <v>160</v>
      </c>
      <c r="Y26" t="s">
        <v>63</v>
      </c>
      <c r="Z26">
        <v>2.0023107306000001</v>
      </c>
      <c r="AA26" t="s">
        <v>166</v>
      </c>
      <c r="AL26">
        <v>124</v>
      </c>
      <c r="AM26" t="s">
        <v>160</v>
      </c>
      <c r="AN26" t="s">
        <v>63</v>
      </c>
      <c r="AO26">
        <v>1.98544962266</v>
      </c>
      <c r="AP26" t="s">
        <v>166</v>
      </c>
    </row>
    <row r="27" spans="1:56" x14ac:dyDescent="0.45">
      <c r="A27">
        <v>60</v>
      </c>
      <c r="B27" t="s">
        <v>88</v>
      </c>
      <c r="C27" t="s">
        <v>63</v>
      </c>
      <c r="D27">
        <v>-3.5143971590500001</v>
      </c>
      <c r="E27">
        <v>1</v>
      </c>
      <c r="G27" t="s">
        <v>6</v>
      </c>
      <c r="W27">
        <v>127</v>
      </c>
      <c r="X27" t="s">
        <v>161</v>
      </c>
      <c r="Y27" t="s">
        <v>63</v>
      </c>
      <c r="Z27" s="22">
        <v>1.0987901816399999E-2</v>
      </c>
      <c r="AA27" t="s">
        <v>149</v>
      </c>
      <c r="AL27">
        <v>128</v>
      </c>
      <c r="AM27" t="s">
        <v>162</v>
      </c>
      <c r="AN27" t="s">
        <v>63</v>
      </c>
      <c r="AO27" s="22">
        <v>1.56308175885E-4</v>
      </c>
      <c r="AP27" t="s">
        <v>126</v>
      </c>
    </row>
    <row r="28" spans="1:56" x14ac:dyDescent="0.45">
      <c r="A28">
        <v>61</v>
      </c>
      <c r="B28" t="s">
        <v>89</v>
      </c>
      <c r="C28" t="s">
        <v>63</v>
      </c>
      <c r="D28">
        <v>0.16084114056400001</v>
      </c>
      <c r="E28" t="s">
        <v>124</v>
      </c>
      <c r="W28">
        <v>128</v>
      </c>
      <c r="X28" t="s">
        <v>162</v>
      </c>
      <c r="Y28" t="s">
        <v>63</v>
      </c>
      <c r="Z28" s="22">
        <v>9.8072993996499997E-5</v>
      </c>
      <c r="AA28" t="s">
        <v>126</v>
      </c>
      <c r="AL28">
        <v>131</v>
      </c>
      <c r="AM28" t="s">
        <v>94</v>
      </c>
      <c r="AN28" t="s">
        <v>63</v>
      </c>
      <c r="AO28">
        <v>-0.48853505686199999</v>
      </c>
      <c r="AP28" t="s">
        <v>119</v>
      </c>
    </row>
    <row r="29" spans="1:56" x14ac:dyDescent="0.45">
      <c r="A29">
        <v>69</v>
      </c>
      <c r="B29" t="s">
        <v>90</v>
      </c>
      <c r="C29" t="s">
        <v>63</v>
      </c>
      <c r="D29">
        <v>0.51493638010999998</v>
      </c>
      <c r="E29" t="s">
        <v>110</v>
      </c>
      <c r="W29">
        <v>131</v>
      </c>
      <c r="X29" t="s">
        <v>94</v>
      </c>
      <c r="Y29" t="s">
        <v>63</v>
      </c>
      <c r="Z29">
        <v>-2.2170416796199999</v>
      </c>
      <c r="AA29" t="s">
        <v>119</v>
      </c>
      <c r="AL29">
        <v>132</v>
      </c>
      <c r="AM29" t="s">
        <v>95</v>
      </c>
      <c r="AN29" t="s">
        <v>63</v>
      </c>
      <c r="AO29">
        <v>0.231801803532</v>
      </c>
      <c r="AP29" t="s">
        <v>120</v>
      </c>
    </row>
    <row r="30" spans="1:56" x14ac:dyDescent="0.45">
      <c r="A30">
        <v>79</v>
      </c>
      <c r="B30" t="s">
        <v>91</v>
      </c>
      <c r="C30" t="s">
        <v>63</v>
      </c>
      <c r="D30" s="22">
        <v>-7.3787571266299996E-3</v>
      </c>
      <c r="E30" t="s">
        <v>110</v>
      </c>
      <c r="G30" t="s">
        <v>7</v>
      </c>
      <c r="W30">
        <v>132</v>
      </c>
      <c r="X30" t="s">
        <v>95</v>
      </c>
      <c r="Y30" t="s">
        <v>63</v>
      </c>
      <c r="Z30" s="22">
        <v>-3.1767087365000002E-2</v>
      </c>
      <c r="AA30" t="s">
        <v>120</v>
      </c>
      <c r="AL30">
        <v>133</v>
      </c>
      <c r="AM30" t="s">
        <v>96</v>
      </c>
      <c r="AN30" t="s">
        <v>63</v>
      </c>
      <c r="AO30">
        <v>-0.448982673572</v>
      </c>
      <c r="AP30" t="s">
        <v>119</v>
      </c>
    </row>
    <row r="31" spans="1:56" x14ac:dyDescent="0.45">
      <c r="A31">
        <v>122</v>
      </c>
      <c r="B31" t="s">
        <v>92</v>
      </c>
      <c r="C31" t="s">
        <v>63</v>
      </c>
      <c r="D31">
        <v>0.41910856576200001</v>
      </c>
      <c r="E31" t="s">
        <v>113</v>
      </c>
      <c r="W31">
        <v>133</v>
      </c>
      <c r="X31" t="s">
        <v>96</v>
      </c>
      <c r="Y31" t="s">
        <v>63</v>
      </c>
      <c r="Z31">
        <v>3.7030999967599998</v>
      </c>
      <c r="AA31" t="s">
        <v>119</v>
      </c>
      <c r="AL31">
        <v>134</v>
      </c>
      <c r="AM31" t="s">
        <v>97</v>
      </c>
      <c r="AN31" t="s">
        <v>63</v>
      </c>
      <c r="AO31">
        <v>0.337153571657</v>
      </c>
      <c r="AP31" t="s">
        <v>120</v>
      </c>
    </row>
    <row r="32" spans="1:56" x14ac:dyDescent="0.45">
      <c r="A32">
        <v>129</v>
      </c>
      <c r="B32" t="s">
        <v>93</v>
      </c>
      <c r="C32" t="s">
        <v>63</v>
      </c>
      <c r="D32">
        <v>2.5894917765500001</v>
      </c>
      <c r="E32" t="s">
        <v>112</v>
      </c>
      <c r="W32">
        <v>134</v>
      </c>
      <c r="X32" t="s">
        <v>97</v>
      </c>
      <c r="Y32" t="s">
        <v>63</v>
      </c>
      <c r="Z32">
        <v>0.24299252372800001</v>
      </c>
      <c r="AA32" t="s">
        <v>120</v>
      </c>
      <c r="AL32">
        <v>136</v>
      </c>
      <c r="AM32" t="s">
        <v>175</v>
      </c>
      <c r="AN32" t="s">
        <v>63</v>
      </c>
      <c r="AO32" s="22">
        <v>7.2810588779500002E-2</v>
      </c>
      <c r="AP32" t="s">
        <v>185</v>
      </c>
    </row>
    <row r="33" spans="1:42" x14ac:dyDescent="0.45">
      <c r="A33">
        <v>131</v>
      </c>
      <c r="B33" t="s">
        <v>94</v>
      </c>
      <c r="C33" t="s">
        <v>63</v>
      </c>
      <c r="D33">
        <v>-1.78374770832</v>
      </c>
      <c r="E33" t="s">
        <v>119</v>
      </c>
      <c r="W33">
        <v>162</v>
      </c>
      <c r="X33" t="s">
        <v>99</v>
      </c>
      <c r="Y33" t="s">
        <v>63</v>
      </c>
      <c r="Z33">
        <v>0.47993312787800002</v>
      </c>
      <c r="AA33" t="s">
        <v>128</v>
      </c>
      <c r="AD33" t="s">
        <v>129</v>
      </c>
      <c r="AL33">
        <v>137</v>
      </c>
      <c r="AM33" t="s">
        <v>176</v>
      </c>
      <c r="AN33" t="s">
        <v>63</v>
      </c>
      <c r="AO33">
        <v>2.1739211388099999</v>
      </c>
      <c r="AP33" t="s">
        <v>188</v>
      </c>
    </row>
    <row r="34" spans="1:42" x14ac:dyDescent="0.45">
      <c r="A34">
        <v>132</v>
      </c>
      <c r="B34" t="s">
        <v>95</v>
      </c>
      <c r="C34" t="s">
        <v>63</v>
      </c>
      <c r="D34">
        <v>0.219607287175</v>
      </c>
      <c r="E34" t="s">
        <v>120</v>
      </c>
      <c r="W34">
        <v>164</v>
      </c>
      <c r="X34" t="s">
        <v>101</v>
      </c>
      <c r="Y34" t="s">
        <v>63</v>
      </c>
      <c r="Z34">
        <v>2.4096342508199999</v>
      </c>
      <c r="AA34" t="s">
        <v>127</v>
      </c>
      <c r="AL34">
        <v>138</v>
      </c>
      <c r="AM34" t="s">
        <v>177</v>
      </c>
      <c r="AN34" t="s">
        <v>63</v>
      </c>
      <c r="AO34">
        <v>0.54895052211899997</v>
      </c>
      <c r="AP34" t="s">
        <v>189</v>
      </c>
    </row>
    <row r="35" spans="1:42" x14ac:dyDescent="0.45">
      <c r="A35">
        <v>133</v>
      </c>
      <c r="B35" t="s">
        <v>96</v>
      </c>
      <c r="C35" t="s">
        <v>63</v>
      </c>
      <c r="D35">
        <v>1.28842096954</v>
      </c>
      <c r="E35" t="s">
        <v>119</v>
      </c>
      <c r="W35">
        <v>168</v>
      </c>
      <c r="X35" t="s">
        <v>102</v>
      </c>
      <c r="Y35" t="s">
        <v>63</v>
      </c>
      <c r="Z35" s="22">
        <v>1.5323914424799999E-4</v>
      </c>
      <c r="AA35" t="s">
        <v>126</v>
      </c>
      <c r="AL35">
        <v>160</v>
      </c>
      <c r="AM35" t="s">
        <v>178</v>
      </c>
      <c r="AN35" t="s">
        <v>63</v>
      </c>
      <c r="AO35">
        <v>0.97577037596600003</v>
      </c>
      <c r="AP35" t="s">
        <v>189</v>
      </c>
    </row>
    <row r="36" spans="1:42" x14ac:dyDescent="0.45">
      <c r="A36">
        <v>134</v>
      </c>
      <c r="B36" t="s">
        <v>97</v>
      </c>
      <c r="C36" t="s">
        <v>63</v>
      </c>
      <c r="D36">
        <v>0.22135756046499999</v>
      </c>
      <c r="E36" t="s">
        <v>120</v>
      </c>
      <c r="W36">
        <v>169</v>
      </c>
      <c r="X36" t="s">
        <v>103</v>
      </c>
      <c r="Y36" t="s">
        <v>63</v>
      </c>
      <c r="Z36">
        <v>7.1710322282799996</v>
      </c>
      <c r="AA36" t="s">
        <v>125</v>
      </c>
      <c r="AL36">
        <v>161</v>
      </c>
      <c r="AM36" t="s">
        <v>98</v>
      </c>
      <c r="AN36" t="s">
        <v>63</v>
      </c>
      <c r="AO36">
        <v>0.73068915349300001</v>
      </c>
      <c r="AP36" t="s">
        <v>128</v>
      </c>
    </row>
    <row r="37" spans="1:42" x14ac:dyDescent="0.45">
      <c r="A37">
        <v>161</v>
      </c>
      <c r="B37" t="s">
        <v>98</v>
      </c>
      <c r="C37" t="s">
        <v>63</v>
      </c>
      <c r="D37">
        <v>1.07764073896</v>
      </c>
      <c r="E37" t="s">
        <v>128</v>
      </c>
      <c r="W37">
        <v>179</v>
      </c>
      <c r="X37" t="s">
        <v>104</v>
      </c>
      <c r="Y37" t="s">
        <v>63</v>
      </c>
      <c r="Z37">
        <v>0.925274561946</v>
      </c>
      <c r="AA37" t="s">
        <v>125</v>
      </c>
      <c r="AE37" t="s">
        <v>127</v>
      </c>
      <c r="AL37">
        <v>162</v>
      </c>
      <c r="AM37" t="s">
        <v>99</v>
      </c>
      <c r="AN37" t="s">
        <v>63</v>
      </c>
      <c r="AO37">
        <v>0.91913294534199996</v>
      </c>
      <c r="AP37" t="s">
        <v>129</v>
      </c>
    </row>
    <row r="38" spans="1:42" x14ac:dyDescent="0.45">
      <c r="A38">
        <v>162</v>
      </c>
      <c r="B38" t="s">
        <v>99</v>
      </c>
      <c r="C38" t="s">
        <v>63</v>
      </c>
      <c r="D38">
        <v>0.88180479210700002</v>
      </c>
      <c r="E38" t="s">
        <v>129</v>
      </c>
      <c r="W38">
        <v>99</v>
      </c>
      <c r="X38" t="s">
        <v>105</v>
      </c>
      <c r="Y38" t="s">
        <v>63</v>
      </c>
      <c r="Z38">
        <v>0.95968590185500002</v>
      </c>
      <c r="AL38">
        <v>163</v>
      </c>
      <c r="AM38" t="s">
        <v>100</v>
      </c>
      <c r="AN38" t="s">
        <v>63</v>
      </c>
      <c r="AO38">
        <v>-0.88337105065300003</v>
      </c>
      <c r="AP38" t="s">
        <v>130</v>
      </c>
    </row>
    <row r="39" spans="1:42" x14ac:dyDescent="0.45">
      <c r="A39">
        <v>163</v>
      </c>
      <c r="B39" t="s">
        <v>100</v>
      </c>
      <c r="C39" t="s">
        <v>63</v>
      </c>
      <c r="D39">
        <v>-1.1532748156899999</v>
      </c>
      <c r="E39" t="s">
        <v>130</v>
      </c>
      <c r="AL39">
        <v>164</v>
      </c>
      <c r="AM39" t="s">
        <v>101</v>
      </c>
      <c r="AN39" t="s">
        <v>63</v>
      </c>
      <c r="AO39">
        <v>2.8689614342600001</v>
      </c>
      <c r="AP39" t="s">
        <v>127</v>
      </c>
    </row>
    <row r="40" spans="1:42" x14ac:dyDescent="0.45">
      <c r="A40">
        <v>164</v>
      </c>
      <c r="B40" t="s">
        <v>101</v>
      </c>
      <c r="C40" t="s">
        <v>63</v>
      </c>
      <c r="D40">
        <v>0.93583173807599995</v>
      </c>
      <c r="E40" t="s">
        <v>127</v>
      </c>
      <c r="AL40">
        <v>165</v>
      </c>
      <c r="AM40" t="s">
        <v>179</v>
      </c>
      <c r="AN40" t="s">
        <v>63</v>
      </c>
      <c r="AO40" s="22">
        <v>8.0969107286800002E-4</v>
      </c>
      <c r="AP40" t="s">
        <v>190</v>
      </c>
    </row>
    <row r="41" spans="1:42" x14ac:dyDescent="0.45">
      <c r="A41">
        <v>168</v>
      </c>
      <c r="B41" t="s">
        <v>102</v>
      </c>
      <c r="C41" t="s">
        <v>63</v>
      </c>
      <c r="D41" s="22">
        <v>1.7653108240300001E-4</v>
      </c>
      <c r="E41" t="s">
        <v>126</v>
      </c>
      <c r="AL41">
        <v>168</v>
      </c>
      <c r="AM41" t="s">
        <v>102</v>
      </c>
      <c r="AN41" t="s">
        <v>63</v>
      </c>
      <c r="AO41" s="22">
        <v>5.6436182079000003E-5</v>
      </c>
      <c r="AP41" t="s">
        <v>126</v>
      </c>
    </row>
    <row r="42" spans="1:42" x14ac:dyDescent="0.45">
      <c r="A42">
        <v>169</v>
      </c>
      <c r="B42" t="s">
        <v>103</v>
      </c>
      <c r="C42" t="s">
        <v>63</v>
      </c>
      <c r="D42">
        <v>0.21170918018000001</v>
      </c>
      <c r="E42" t="s">
        <v>125</v>
      </c>
      <c r="AL42">
        <v>169</v>
      </c>
      <c r="AM42" t="s">
        <v>103</v>
      </c>
      <c r="AN42" t="s">
        <v>63</v>
      </c>
      <c r="AO42">
        <v>1.04301037572</v>
      </c>
      <c r="AP42" t="s">
        <v>125</v>
      </c>
    </row>
    <row r="43" spans="1:42" x14ac:dyDescent="0.45">
      <c r="A43">
        <v>179</v>
      </c>
      <c r="B43" t="s">
        <v>104</v>
      </c>
      <c r="C43" t="s">
        <v>63</v>
      </c>
      <c r="D43">
        <v>0.18728146335900001</v>
      </c>
      <c r="E43" t="s">
        <v>125</v>
      </c>
      <c r="AL43">
        <v>171</v>
      </c>
      <c r="AM43" t="s">
        <v>180</v>
      </c>
      <c r="AN43" t="s">
        <v>63</v>
      </c>
      <c r="AO43">
        <v>1.2382774015</v>
      </c>
      <c r="AP43" t="s">
        <v>188</v>
      </c>
    </row>
    <row r="44" spans="1:42" x14ac:dyDescent="0.45">
      <c r="A44">
        <v>99</v>
      </c>
      <c r="B44" t="s">
        <v>105</v>
      </c>
      <c r="C44" t="s">
        <v>63</v>
      </c>
      <c r="D44">
        <v>1</v>
      </c>
      <c r="AL44">
        <v>172</v>
      </c>
      <c r="AM44" t="s">
        <v>181</v>
      </c>
      <c r="AN44" t="s">
        <v>63</v>
      </c>
      <c r="AO44">
        <v>1.3528226166499999</v>
      </c>
      <c r="AP44" t="s">
        <v>189</v>
      </c>
    </row>
    <row r="45" spans="1:42" x14ac:dyDescent="0.45">
      <c r="AL45">
        <v>175</v>
      </c>
      <c r="AM45" t="s">
        <v>182</v>
      </c>
      <c r="AN45" t="s">
        <v>63</v>
      </c>
      <c r="AO45" s="22">
        <v>8.3440753078999996E-4</v>
      </c>
      <c r="AP45" t="s">
        <v>190</v>
      </c>
    </row>
    <row r="46" spans="1:42" x14ac:dyDescent="0.45">
      <c r="AL46">
        <v>178</v>
      </c>
      <c r="AM46" t="s">
        <v>183</v>
      </c>
      <c r="AN46" t="s">
        <v>63</v>
      </c>
      <c r="AO46" s="22">
        <v>1.08742831019E-5</v>
      </c>
      <c r="AP46" t="s">
        <v>191</v>
      </c>
    </row>
    <row r="47" spans="1:42" x14ac:dyDescent="0.45">
      <c r="AL47">
        <v>99</v>
      </c>
      <c r="AM47" t="s">
        <v>105</v>
      </c>
      <c r="AN47" t="s">
        <v>63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L232"/>
  <sheetViews>
    <sheetView topLeftCell="A43" workbookViewId="0">
      <selection activeCell="A8" sqref="A8:K123"/>
    </sheetView>
  </sheetViews>
  <sheetFormatPr defaultRowHeight="14.25" x14ac:dyDescent="0.45"/>
  <cols>
    <col min="6" max="6" bestFit="true" customWidth="true" width="12.0" collapsed="true"/>
  </cols>
  <sheetData>
    <row r="1" spans="1:11" x14ac:dyDescent="0.4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45">
      <c r="A2" s="29">
        <v>1</v>
      </c>
      <c r="B2" s="29" t="s">
        <v>290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4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4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4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4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45">
      <c r="A8" t="s">
        <v>219</v>
      </c>
      <c r="B8" t="s">
        <v>220</v>
      </c>
      <c r="C8" t="s">
        <v>221</v>
      </c>
      <c r="D8" t="s">
        <v>222</v>
      </c>
    </row>
    <row r="9" spans="1:11" x14ac:dyDescent="0.4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0.58482638888888883</v>
      </c>
      <c r="G9" t="s">
        <v>227</v>
      </c>
      <c r="H9">
        <v>2</v>
      </c>
      <c r="I9" t="s">
        <v>305</v>
      </c>
      <c r="J9">
        <v>12</v>
      </c>
    </row>
    <row r="10" spans="1:11" x14ac:dyDescent="0.45">
      <c r="A10" t="s">
        <v>228</v>
      </c>
    </row>
    <row r="11" spans="1:11" x14ac:dyDescent="0.45">
      <c r="B11">
        <v>1</v>
      </c>
      <c r="C11" t="s">
        <v>62</v>
      </c>
      <c r="D11" t="s">
        <v>63</v>
      </c>
      <c r="E11">
        <v>0.52879225600000002</v>
      </c>
    </row>
    <row r="12" spans="1:11" x14ac:dyDescent="0.45">
      <c r="B12">
        <v>2</v>
      </c>
      <c r="C12" t="s">
        <v>64</v>
      </c>
      <c r="D12" t="s">
        <v>63</v>
      </c>
      <c r="E12">
        <v>0.558792764</v>
      </c>
      <c r="F12" s="22"/>
    </row>
    <row r="13" spans="1:11" x14ac:dyDescent="0.45">
      <c r="B13">
        <v>10</v>
      </c>
      <c r="C13" t="s">
        <v>150</v>
      </c>
      <c r="D13" t="s">
        <v>63</v>
      </c>
      <c r="E13">
        <v>-3.0007202716300001</v>
      </c>
    </row>
    <row r="14" spans="1:11" x14ac:dyDescent="0.45">
      <c r="B14">
        <v>11</v>
      </c>
      <c r="C14" t="s">
        <v>151</v>
      </c>
      <c r="D14" t="s">
        <v>72</v>
      </c>
      <c r="E14">
        <v>-1.442858441531</v>
      </c>
    </row>
    <row r="15" spans="1:11" x14ac:dyDescent="0.45">
      <c r="B15">
        <v>13</v>
      </c>
      <c r="C15" t="s">
        <v>152</v>
      </c>
      <c r="D15" t="s">
        <v>63</v>
      </c>
      <c r="E15">
        <v>0.33912898903100003</v>
      </c>
    </row>
    <row r="16" spans="1:11" x14ac:dyDescent="0.45">
      <c r="B16">
        <v>20</v>
      </c>
      <c r="C16" t="s">
        <v>68</v>
      </c>
      <c r="D16" t="s">
        <v>63</v>
      </c>
      <c r="E16">
        <v>-2.2144583715150001</v>
      </c>
    </row>
    <row r="17" spans="2:6" x14ac:dyDescent="0.45">
      <c r="B17">
        <v>21</v>
      </c>
      <c r="C17" t="s">
        <v>69</v>
      </c>
      <c r="D17" t="s">
        <v>63</v>
      </c>
      <c r="E17">
        <v>1.5421299915340001</v>
      </c>
    </row>
    <row r="18" spans="2:6" x14ac:dyDescent="0.45">
      <c r="B18">
        <v>22</v>
      </c>
      <c r="C18" t="s">
        <v>70</v>
      </c>
      <c r="D18" t="s">
        <v>63</v>
      </c>
      <c r="E18">
        <v>1.016680004923</v>
      </c>
    </row>
    <row r="19" spans="2:6" x14ac:dyDescent="0.45">
      <c r="B19">
        <v>30</v>
      </c>
      <c r="C19" t="s">
        <v>75</v>
      </c>
      <c r="D19" t="s">
        <v>63</v>
      </c>
      <c r="E19">
        <v>-1.318469147062</v>
      </c>
      <c r="F19" s="22"/>
    </row>
    <row r="20" spans="2:6" x14ac:dyDescent="0.45">
      <c r="B20">
        <v>31</v>
      </c>
      <c r="C20" t="s">
        <v>153</v>
      </c>
      <c r="D20" t="s">
        <v>63</v>
      </c>
      <c r="E20">
        <v>0.32331883700000003</v>
      </c>
      <c r="F20" s="22"/>
    </row>
    <row r="21" spans="2:6" x14ac:dyDescent="0.45">
      <c r="B21">
        <v>32</v>
      </c>
      <c r="C21" t="s">
        <v>154</v>
      </c>
      <c r="D21" t="s">
        <v>63</v>
      </c>
      <c r="E21">
        <v>0.27882626900000002</v>
      </c>
      <c r="F21" s="22"/>
    </row>
    <row r="22" spans="2:6" x14ac:dyDescent="0.45">
      <c r="B22">
        <v>35</v>
      </c>
      <c r="C22" t="s">
        <v>155</v>
      </c>
      <c r="D22" t="s">
        <v>63</v>
      </c>
      <c r="E22">
        <v>-0.13581644000000001</v>
      </c>
      <c r="F22" s="22"/>
    </row>
    <row r="23" spans="2:6" x14ac:dyDescent="0.45">
      <c r="B23">
        <v>36</v>
      </c>
      <c r="C23" t="s">
        <v>260</v>
      </c>
      <c r="D23" t="s">
        <v>63</v>
      </c>
      <c r="E23">
        <v>0.221506127287</v>
      </c>
    </row>
    <row r="24" spans="2:6" x14ac:dyDescent="0.45">
      <c r="B24">
        <v>37</v>
      </c>
      <c r="C24" t="s">
        <v>261</v>
      </c>
      <c r="D24" t="s">
        <v>63</v>
      </c>
      <c r="E24">
        <v>-0.38934722737299998</v>
      </c>
    </row>
    <row r="25" spans="2:6" x14ac:dyDescent="0.45">
      <c r="B25">
        <v>38</v>
      </c>
      <c r="C25" t="s">
        <v>156</v>
      </c>
      <c r="D25" t="s">
        <v>63</v>
      </c>
      <c r="E25">
        <v>-0.61753363800000005</v>
      </c>
    </row>
    <row r="26" spans="2:6" x14ac:dyDescent="0.45">
      <c r="B26">
        <v>39</v>
      </c>
      <c r="C26" t="s">
        <v>76</v>
      </c>
      <c r="D26" t="s">
        <v>63</v>
      </c>
      <c r="E26">
        <v>-1.2453283429999999</v>
      </c>
    </row>
    <row r="27" spans="2:6" x14ac:dyDescent="0.45">
      <c r="B27">
        <v>40</v>
      </c>
      <c r="C27" t="s">
        <v>78</v>
      </c>
      <c r="D27" t="s">
        <v>63</v>
      </c>
      <c r="E27">
        <v>-0.65875918050299997</v>
      </c>
    </row>
    <row r="28" spans="2:6" x14ac:dyDescent="0.45">
      <c r="B28">
        <v>41</v>
      </c>
      <c r="C28" t="s">
        <v>79</v>
      </c>
      <c r="D28" t="s">
        <v>63</v>
      </c>
      <c r="E28">
        <v>-4.4897947060499996</v>
      </c>
    </row>
    <row r="29" spans="2:6" x14ac:dyDescent="0.45">
      <c r="B29">
        <v>42</v>
      </c>
      <c r="C29" t="s">
        <v>136</v>
      </c>
      <c r="D29" t="s">
        <v>63</v>
      </c>
      <c r="E29">
        <v>0.46242029547000002</v>
      </c>
    </row>
    <row r="30" spans="2:6" x14ac:dyDescent="0.45">
      <c r="B30">
        <v>48</v>
      </c>
      <c r="C30" t="s">
        <v>77</v>
      </c>
      <c r="D30" t="s">
        <v>63</v>
      </c>
      <c r="E30">
        <v>-0.39332327500000003</v>
      </c>
    </row>
    <row r="31" spans="2:6" x14ac:dyDescent="0.45">
      <c r="B31">
        <v>50</v>
      </c>
      <c r="C31" t="s">
        <v>83</v>
      </c>
      <c r="D31" t="s">
        <v>63</v>
      </c>
      <c r="E31">
        <v>2.25898164027</v>
      </c>
    </row>
    <row r="32" spans="2:6" x14ac:dyDescent="0.45">
      <c r="B32">
        <v>53</v>
      </c>
      <c r="C32" t="s">
        <v>157</v>
      </c>
      <c r="D32" t="s">
        <v>63</v>
      </c>
      <c r="E32">
        <v>-2.0408811449069999</v>
      </c>
    </row>
    <row r="33" spans="2:6" x14ac:dyDescent="0.45">
      <c r="B33">
        <v>54</v>
      </c>
      <c r="C33" t="s">
        <v>85</v>
      </c>
      <c r="D33" t="s">
        <v>63</v>
      </c>
      <c r="E33">
        <v>-0.17415467700000001</v>
      </c>
    </row>
    <row r="34" spans="2:6" x14ac:dyDescent="0.45">
      <c r="B34">
        <v>60</v>
      </c>
      <c r="C34" t="s">
        <v>88</v>
      </c>
      <c r="D34" t="s">
        <v>63</v>
      </c>
      <c r="E34">
        <v>-8.4156031205220003</v>
      </c>
    </row>
    <row r="35" spans="2:6" x14ac:dyDescent="0.45">
      <c r="B35">
        <v>61</v>
      </c>
      <c r="C35" t="s">
        <v>89</v>
      </c>
      <c r="D35" t="s">
        <v>63</v>
      </c>
      <c r="E35" s="22">
        <v>0.76617238600000004</v>
      </c>
      <c r="F35" s="22"/>
    </row>
    <row r="36" spans="2:6" x14ac:dyDescent="0.45">
      <c r="B36">
        <v>63</v>
      </c>
      <c r="C36" t="s">
        <v>158</v>
      </c>
      <c r="D36" t="s">
        <v>63</v>
      </c>
      <c r="E36" s="22">
        <v>-0.66187614500000003</v>
      </c>
      <c r="F36" s="22"/>
    </row>
    <row r="37" spans="2:6" x14ac:dyDescent="0.45">
      <c r="B37">
        <v>67</v>
      </c>
      <c r="C37" t="s">
        <v>262</v>
      </c>
      <c r="D37" t="s">
        <v>63</v>
      </c>
      <c r="E37">
        <v>-2.1268647009919999</v>
      </c>
    </row>
    <row r="38" spans="2:6" x14ac:dyDescent="0.45">
      <c r="B38">
        <v>68</v>
      </c>
      <c r="C38" t="s">
        <v>263</v>
      </c>
      <c r="D38" t="s">
        <v>63</v>
      </c>
      <c r="E38" s="22">
        <v>0.75586563750299995</v>
      </c>
      <c r="F38" s="22"/>
    </row>
    <row r="39" spans="2:6" x14ac:dyDescent="0.45">
      <c r="B39">
        <v>70</v>
      </c>
      <c r="C39" t="s">
        <v>264</v>
      </c>
      <c r="D39" t="s">
        <v>63</v>
      </c>
      <c r="E39">
        <v>1.043171365831</v>
      </c>
    </row>
    <row r="40" spans="2:6" x14ac:dyDescent="0.45">
      <c r="B40">
        <v>71</v>
      </c>
      <c r="C40" t="s">
        <v>159</v>
      </c>
      <c r="D40" t="s">
        <v>63</v>
      </c>
      <c r="E40" s="22">
        <v>-0.65970901100000001</v>
      </c>
      <c r="F40" s="22"/>
    </row>
    <row r="41" spans="2:6" x14ac:dyDescent="0.45">
      <c r="B41">
        <v>77</v>
      </c>
      <c r="C41" t="s">
        <v>265</v>
      </c>
      <c r="D41" t="s">
        <v>63</v>
      </c>
      <c r="E41" s="22">
        <v>0.61141965442500001</v>
      </c>
      <c r="F41" s="22"/>
    </row>
    <row r="42" spans="2:6" x14ac:dyDescent="0.45">
      <c r="B42">
        <v>78</v>
      </c>
      <c r="C42" t="s">
        <v>266</v>
      </c>
      <c r="D42" t="s">
        <v>63</v>
      </c>
      <c r="E42">
        <v>5.3948600250779997</v>
      </c>
    </row>
    <row r="43" spans="2:6" x14ac:dyDescent="0.45">
      <c r="B43">
        <v>100</v>
      </c>
      <c r="C43" t="s">
        <v>306</v>
      </c>
      <c r="D43" t="s">
        <v>63</v>
      </c>
      <c r="E43" s="22">
        <v>-5.0023107309999997</v>
      </c>
      <c r="F43" s="22"/>
    </row>
    <row r="44" spans="2:6" x14ac:dyDescent="0.45">
      <c r="B44">
        <v>124</v>
      </c>
      <c r="C44" t="s">
        <v>160</v>
      </c>
      <c r="D44" t="s">
        <v>63</v>
      </c>
      <c r="E44" s="22">
        <v>2.0023107310000001</v>
      </c>
      <c r="F44" s="22"/>
    </row>
    <row r="45" spans="2:6" x14ac:dyDescent="0.45">
      <c r="B45">
        <v>127</v>
      </c>
      <c r="C45" t="s">
        <v>161</v>
      </c>
      <c r="D45" t="s">
        <v>63</v>
      </c>
      <c r="E45" s="22">
        <v>1.0987902000000001E-2</v>
      </c>
      <c r="F45" s="22"/>
    </row>
    <row r="46" spans="2:6" x14ac:dyDescent="0.45">
      <c r="B46">
        <v>128</v>
      </c>
      <c r="C46" t="s">
        <v>162</v>
      </c>
      <c r="D46" t="s">
        <v>63</v>
      </c>
      <c r="E46">
        <v>9.8072999999999994E-5</v>
      </c>
    </row>
    <row r="47" spans="2:6" x14ac:dyDescent="0.45">
      <c r="B47">
        <v>131</v>
      </c>
      <c r="C47" t="s">
        <v>94</v>
      </c>
      <c r="D47" t="s">
        <v>63</v>
      </c>
      <c r="E47" s="22">
        <v>-2.2170416799999999</v>
      </c>
      <c r="F47" s="22"/>
    </row>
    <row r="48" spans="2:6" x14ac:dyDescent="0.45">
      <c r="B48">
        <v>132</v>
      </c>
      <c r="C48" s="22" t="s">
        <v>95</v>
      </c>
      <c r="D48" s="22" t="s">
        <v>63</v>
      </c>
      <c r="E48" s="22">
        <v>-3.1767086999999999E-2</v>
      </c>
    </row>
    <row r="49" spans="2:11" x14ac:dyDescent="0.45">
      <c r="B49">
        <v>133</v>
      </c>
      <c r="C49" t="s">
        <v>96</v>
      </c>
      <c r="D49" t="s">
        <v>63</v>
      </c>
      <c r="E49" s="22">
        <v>3.7030999969999998</v>
      </c>
      <c r="F49" s="22"/>
    </row>
    <row r="50" spans="2:11" x14ac:dyDescent="0.45">
      <c r="B50">
        <v>134</v>
      </c>
      <c r="C50" t="s">
        <v>97</v>
      </c>
      <c r="D50" t="s">
        <v>63</v>
      </c>
      <c r="E50" s="22">
        <v>0.24299252399999999</v>
      </c>
      <c r="F50" s="22"/>
    </row>
    <row r="51" spans="2:11" x14ac:dyDescent="0.45">
      <c r="B51">
        <v>162</v>
      </c>
      <c r="C51" t="s">
        <v>99</v>
      </c>
      <c r="D51" t="s">
        <v>63</v>
      </c>
      <c r="E51">
        <v>0.47993312799999999</v>
      </c>
      <c r="F51" s="22"/>
    </row>
    <row r="52" spans="2:11" x14ac:dyDescent="0.45">
      <c r="B52">
        <v>164</v>
      </c>
      <c r="C52" t="s">
        <v>101</v>
      </c>
      <c r="D52" t="s">
        <v>63</v>
      </c>
      <c r="E52" s="22">
        <v>2.4096342509999999</v>
      </c>
      <c r="F52" s="22"/>
    </row>
    <row r="53" spans="2:11" x14ac:dyDescent="0.45">
      <c r="B53">
        <v>168</v>
      </c>
      <c r="C53" t="s">
        <v>102</v>
      </c>
      <c r="D53" t="s">
        <v>63</v>
      </c>
      <c r="E53">
        <v>1.53239E-4</v>
      </c>
    </row>
    <row r="54" spans="2:11" x14ac:dyDescent="0.45">
      <c r="B54">
        <v>169</v>
      </c>
      <c r="C54" t="s">
        <v>103</v>
      </c>
      <c r="D54" t="s">
        <v>63</v>
      </c>
      <c r="E54">
        <v>7.1710322279999996</v>
      </c>
    </row>
    <row r="55" spans="2:11" x14ac:dyDescent="0.45">
      <c r="B55">
        <v>179</v>
      </c>
      <c r="C55" t="s">
        <v>104</v>
      </c>
      <c r="D55" t="s">
        <v>63</v>
      </c>
      <c r="E55">
        <v>0.92527456200000002</v>
      </c>
    </row>
    <row r="56" spans="2:11" x14ac:dyDescent="0.45">
      <c r="B56">
        <v>180</v>
      </c>
      <c r="C56" t="s">
        <v>73</v>
      </c>
      <c r="D56" t="s">
        <v>63</v>
      </c>
      <c r="E56" s="22">
        <v>-2.5456058129999999</v>
      </c>
      <c r="F56" s="22"/>
    </row>
    <row r="57" spans="2:11" x14ac:dyDescent="0.45">
      <c r="B57">
        <v>99</v>
      </c>
      <c r="C57" s="22" t="s">
        <v>105</v>
      </c>
      <c r="D57" s="22" t="s">
        <v>63</v>
      </c>
      <c r="E57" s="22">
        <v>0.95968590200000004</v>
      </c>
      <c r="F57" s="22"/>
    </row>
    <row r="58" spans="2:11" x14ac:dyDescent="0.45">
      <c r="B58">
        <v>-1</v>
      </c>
      <c r="E58" s="22"/>
      <c r="F58" s="22"/>
    </row>
    <row r="59" spans="2:11" x14ac:dyDescent="0.45">
      <c r="B59">
        <v>3313</v>
      </c>
      <c r="C59" s="22">
        <v>-3185.9381964899999</v>
      </c>
      <c r="D59" s="22">
        <v>-5747.9343173200004</v>
      </c>
      <c r="E59" s="22">
        <v>-2220.27669861</v>
      </c>
      <c r="F59" s="22"/>
    </row>
    <row r="60" spans="2:11" x14ac:dyDescent="0.45">
      <c r="B60">
        <v>19</v>
      </c>
      <c r="C60" t="s">
        <v>307</v>
      </c>
      <c r="D60" t="s">
        <v>227</v>
      </c>
      <c r="E60">
        <v>2</v>
      </c>
      <c r="F60" s="22" t="s">
        <v>305</v>
      </c>
      <c r="G60">
        <v>12</v>
      </c>
    </row>
    <row r="61" spans="2:11" x14ac:dyDescent="0.45">
      <c r="B61">
        <v>36263</v>
      </c>
      <c r="C61">
        <v>1893</v>
      </c>
      <c r="D61">
        <v>1002</v>
      </c>
      <c r="E61" s="22">
        <v>0</v>
      </c>
      <c r="F61" s="22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4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4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45">
      <c r="B64">
        <v>915</v>
      </c>
      <c r="C64">
        <v>0</v>
      </c>
      <c r="D64">
        <v>-11038</v>
      </c>
      <c r="E64" s="22">
        <v>4037</v>
      </c>
      <c r="F64" s="22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45">
      <c r="B65">
        <v>4918</v>
      </c>
      <c r="C65">
        <v>-99</v>
      </c>
      <c r="D65">
        <v>-14008</v>
      </c>
      <c r="E65" s="22">
        <v>-14767</v>
      </c>
      <c r="F65" s="22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45">
      <c r="B66">
        <v>-533</v>
      </c>
      <c r="C66">
        <v>-8317</v>
      </c>
      <c r="D66">
        <v>-1184</v>
      </c>
      <c r="E66">
        <v>-411</v>
      </c>
      <c r="F66" s="22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4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45">
      <c r="B68">
        <v>-3984</v>
      </c>
      <c r="C68" s="22">
        <v>51775</v>
      </c>
      <c r="D68" s="22">
        <v>99279</v>
      </c>
      <c r="E68" s="22">
        <v>6766</v>
      </c>
      <c r="F68" s="22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4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45">
      <c r="B70">
        <v>-13691</v>
      </c>
      <c r="C70">
        <v>19012</v>
      </c>
      <c r="D70">
        <v>37916</v>
      </c>
      <c r="E70" s="22">
        <v>-2067</v>
      </c>
      <c r="F70" s="22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4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4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45">
      <c r="B73">
        <v>26198</v>
      </c>
      <c r="C73">
        <v>32793</v>
      </c>
      <c r="D73">
        <v>69816</v>
      </c>
      <c r="E73" s="22">
        <v>0</v>
      </c>
      <c r="F73" s="22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4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45">
      <c r="B75">
        <v>18263</v>
      </c>
      <c r="C75">
        <v>-6977</v>
      </c>
      <c r="D75">
        <v>-19289</v>
      </c>
      <c r="E75">
        <v>-27861</v>
      </c>
      <c r="F75" s="22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4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45">
      <c r="B77">
        <v>-4390</v>
      </c>
      <c r="C77" s="22">
        <v>-11924</v>
      </c>
      <c r="D77" s="22">
        <v>-346</v>
      </c>
      <c r="E77" s="22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4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4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4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4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4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4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4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4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4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4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4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4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4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4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4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4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4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4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4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4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4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4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4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4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4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4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4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4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4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4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4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4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4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4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4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4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4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4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4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4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4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4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4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4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4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4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  <row r="124" spans="2:11" x14ac:dyDescent="0.45">
      <c r="B124">
        <v>-26763</v>
      </c>
      <c r="C124">
        <v>14428</v>
      </c>
      <c r="D124">
        <v>-30405</v>
      </c>
      <c r="E124">
        <v>0</v>
      </c>
      <c r="F124">
        <v>-25149</v>
      </c>
      <c r="G124">
        <v>-19189</v>
      </c>
      <c r="H124">
        <v>-9762</v>
      </c>
      <c r="I124">
        <v>0</v>
      </c>
      <c r="J124">
        <v>-22815</v>
      </c>
      <c r="K124">
        <v>-51049</v>
      </c>
    </row>
    <row r="125" spans="2:11" x14ac:dyDescent="0.45">
      <c r="B125">
        <v>12725</v>
      </c>
      <c r="C125">
        <v>0</v>
      </c>
      <c r="D125">
        <v>-16637</v>
      </c>
      <c r="E125">
        <v>0</v>
      </c>
      <c r="F125">
        <v>26753</v>
      </c>
      <c r="G125">
        <v>6579</v>
      </c>
      <c r="H125">
        <v>47324</v>
      </c>
      <c r="I125">
        <v>-42931</v>
      </c>
      <c r="J125">
        <v>0</v>
      </c>
      <c r="K125">
        <v>0</v>
      </c>
    </row>
    <row r="126" spans="2:11" x14ac:dyDescent="0.45">
      <c r="B126">
        <v>-27069</v>
      </c>
      <c r="C126">
        <v>-4050</v>
      </c>
      <c r="D126">
        <v>34891</v>
      </c>
      <c r="E126">
        <v>35464</v>
      </c>
      <c r="F126">
        <v>-43251</v>
      </c>
      <c r="G126">
        <v>-37069</v>
      </c>
      <c r="H126">
        <v>-6189</v>
      </c>
      <c r="I126">
        <v>-4966</v>
      </c>
      <c r="J126">
        <v>-34771</v>
      </c>
      <c r="K126">
        <v>-26506</v>
      </c>
    </row>
    <row r="127" spans="2:11" x14ac:dyDescent="0.45">
      <c r="B127">
        <v>-40815</v>
      </c>
      <c r="C127">
        <v>28761</v>
      </c>
      <c r="D127">
        <v>-45387</v>
      </c>
      <c r="E127">
        <v>0</v>
      </c>
      <c r="F127">
        <v>-32261</v>
      </c>
      <c r="G127">
        <v>-28831</v>
      </c>
      <c r="H127">
        <v>-17173</v>
      </c>
      <c r="I127">
        <v>0</v>
      </c>
      <c r="J127">
        <v>-32800</v>
      </c>
      <c r="K127">
        <v>-51790</v>
      </c>
    </row>
    <row r="128" spans="2:11" x14ac:dyDescent="0.45">
      <c r="B128">
        <v>-17457</v>
      </c>
      <c r="C128">
        <v>0</v>
      </c>
      <c r="D128">
        <v>13778</v>
      </c>
      <c r="E128">
        <v>0</v>
      </c>
      <c r="F128">
        <v>3502</v>
      </c>
      <c r="G128">
        <v>8315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3198</v>
      </c>
      <c r="D135">
        <v>5647</v>
      </c>
      <c r="E135">
        <v>-14532</v>
      </c>
      <c r="F135">
        <v>0</v>
      </c>
      <c r="G135">
        <v>0</v>
      </c>
      <c r="H135">
        <v>-68653</v>
      </c>
      <c r="I135">
        <v>995</v>
      </c>
      <c r="J135">
        <v>3693</v>
      </c>
      <c r="K135">
        <v>4834</v>
      </c>
    </row>
    <row r="136" spans="2:11" x14ac:dyDescent="0.45">
      <c r="B136">
        <v>-6449</v>
      </c>
      <c r="C136">
        <v>-6674</v>
      </c>
      <c r="D136">
        <v>-1329</v>
      </c>
      <c r="E136">
        <v>673</v>
      </c>
      <c r="F136">
        <v>-4145</v>
      </c>
      <c r="G136">
        <v>-1601</v>
      </c>
      <c r="H136">
        <v>-7218</v>
      </c>
      <c r="I136">
        <v>6360</v>
      </c>
      <c r="J136">
        <v>-4726</v>
      </c>
      <c r="K136">
        <v>0</v>
      </c>
    </row>
    <row r="137" spans="2:11" x14ac:dyDescent="0.45">
      <c r="B137">
        <v>-3530</v>
      </c>
      <c r="C137">
        <v>-5822</v>
      </c>
      <c r="D137">
        <v>-1911</v>
      </c>
      <c r="E137">
        <v>0</v>
      </c>
      <c r="F137">
        <v>-7504</v>
      </c>
      <c r="G137">
        <v>-6146</v>
      </c>
      <c r="H137">
        <v>3058</v>
      </c>
      <c r="I137">
        <v>0</v>
      </c>
      <c r="J137">
        <v>2732</v>
      </c>
      <c r="K137">
        <v>0</v>
      </c>
    </row>
    <row r="138" spans="2:11" x14ac:dyDescent="0.45">
      <c r="B138">
        <v>-155</v>
      </c>
      <c r="C138">
        <v>-609</v>
      </c>
      <c r="D138">
        <v>3626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-1075</v>
      </c>
      <c r="C142">
        <v>82557</v>
      </c>
      <c r="D142">
        <v>-82848</v>
      </c>
      <c r="E142">
        <v>0</v>
      </c>
      <c r="F142">
        <v>0</v>
      </c>
      <c r="G142">
        <v>-60674</v>
      </c>
      <c r="H142">
        <v>-3728</v>
      </c>
      <c r="I142">
        <v>63787</v>
      </c>
      <c r="J142">
        <v>62493</v>
      </c>
      <c r="K142">
        <v>-77148</v>
      </c>
    </row>
    <row r="143" spans="2:11" x14ac:dyDescent="0.45">
      <c r="B143">
        <v>-66525</v>
      </c>
      <c r="C143">
        <v>-10638</v>
      </c>
      <c r="D143">
        <v>-5780</v>
      </c>
      <c r="E143">
        <v>-56542</v>
      </c>
      <c r="F143">
        <v>-48946</v>
      </c>
      <c r="G143">
        <v>-72530</v>
      </c>
      <c r="H143">
        <v>55340</v>
      </c>
      <c r="I143">
        <v>-82770</v>
      </c>
      <c r="J143">
        <v>0</v>
      </c>
      <c r="K143">
        <v>-59653</v>
      </c>
    </row>
    <row r="144" spans="2:11" x14ac:dyDescent="0.45">
      <c r="B144">
        <v>-53297</v>
      </c>
      <c r="C144">
        <v>-28704</v>
      </c>
      <c r="D144">
        <v>0</v>
      </c>
      <c r="E144">
        <v>-60706</v>
      </c>
      <c r="F144">
        <v>-82955</v>
      </c>
      <c r="G144">
        <v>26636</v>
      </c>
      <c r="H144">
        <v>0</v>
      </c>
      <c r="I144">
        <v>19380</v>
      </c>
      <c r="J144">
        <v>0</v>
      </c>
      <c r="K144">
        <v>31200</v>
      </c>
    </row>
    <row r="145" spans="2:11" x14ac:dyDescent="0.45">
      <c r="B145">
        <v>33563</v>
      </c>
      <c r="C145">
        <v>47780</v>
      </c>
      <c r="D145">
        <v>0</v>
      </c>
      <c r="E145">
        <v>0</v>
      </c>
      <c r="F145">
        <v>12839</v>
      </c>
      <c r="G145">
        <v>0</v>
      </c>
      <c r="H145">
        <v>-6028</v>
      </c>
      <c r="I145">
        <v>-51850</v>
      </c>
      <c r="J145">
        <v>47745</v>
      </c>
      <c r="K145">
        <v>0</v>
      </c>
    </row>
    <row r="146" spans="2:11" x14ac:dyDescent="0.45">
      <c r="B146">
        <v>0</v>
      </c>
      <c r="C146">
        <v>31075</v>
      </c>
      <c r="D146">
        <v>-190</v>
      </c>
      <c r="E146">
        <v>-35701</v>
      </c>
      <c r="F146">
        <v>-39797</v>
      </c>
      <c r="G146">
        <v>49694</v>
      </c>
      <c r="H146">
        <v>38942</v>
      </c>
      <c r="I146">
        <v>5009</v>
      </c>
      <c r="J146">
        <v>848</v>
      </c>
      <c r="K146">
        <v>34188</v>
      </c>
    </row>
    <row r="147" spans="2:11" x14ac:dyDescent="0.45">
      <c r="B147">
        <v>32813</v>
      </c>
      <c r="C147">
        <v>40996</v>
      </c>
      <c r="D147">
        <v>-35625</v>
      </c>
      <c r="E147">
        <v>52658</v>
      </c>
      <c r="F147">
        <v>0</v>
      </c>
      <c r="G147">
        <v>35927</v>
      </c>
      <c r="H147">
        <v>29590</v>
      </c>
      <c r="I147">
        <v>14929</v>
      </c>
      <c r="J147">
        <v>0</v>
      </c>
      <c r="K147">
        <v>36462</v>
      </c>
    </row>
    <row r="148" spans="2:11" x14ac:dyDescent="0.45">
      <c r="B148">
        <v>49250</v>
      </c>
      <c r="C148">
        <v>-15967</v>
      </c>
      <c r="D148">
        <v>0</v>
      </c>
      <c r="E148">
        <v>-8212</v>
      </c>
      <c r="F148">
        <v>0</v>
      </c>
      <c r="G148">
        <v>-19735</v>
      </c>
      <c r="H148">
        <v>-18760</v>
      </c>
      <c r="I148">
        <v>-28407</v>
      </c>
      <c r="J148">
        <v>0</v>
      </c>
      <c r="K148">
        <v>0</v>
      </c>
    </row>
    <row r="149" spans="2:11" x14ac:dyDescent="0.45">
      <c r="B149">
        <v>-7263</v>
      </c>
      <c r="C149">
        <v>0</v>
      </c>
      <c r="D149">
        <v>-51135</v>
      </c>
      <c r="E149">
        <v>4312</v>
      </c>
      <c r="F149">
        <v>-11428</v>
      </c>
      <c r="G149">
        <v>6239</v>
      </c>
      <c r="H149">
        <v>0</v>
      </c>
      <c r="I149">
        <v>0</v>
      </c>
      <c r="J149">
        <v>249</v>
      </c>
      <c r="K149">
        <v>-14873</v>
      </c>
    </row>
    <row r="150" spans="2:11" x14ac:dyDescent="0.45">
      <c r="B150">
        <v>-5555</v>
      </c>
      <c r="C150">
        <v>-6083</v>
      </c>
      <c r="D150">
        <v>9050</v>
      </c>
      <c r="E150">
        <v>7290</v>
      </c>
      <c r="F150">
        <v>1716</v>
      </c>
      <c r="G150">
        <v>-14796</v>
      </c>
      <c r="H150">
        <v>3689</v>
      </c>
      <c r="I150">
        <v>8919</v>
      </c>
      <c r="J150">
        <v>8662</v>
      </c>
      <c r="K150">
        <v>-23792</v>
      </c>
    </row>
    <row r="151" spans="2:11" x14ac:dyDescent="0.45">
      <c r="B151">
        <v>11872</v>
      </c>
      <c r="C151">
        <v>0</v>
      </c>
      <c r="D151">
        <v>8355</v>
      </c>
      <c r="E151">
        <v>4033</v>
      </c>
      <c r="F151">
        <v>10571</v>
      </c>
      <c r="G151">
        <v>0</v>
      </c>
      <c r="H151">
        <v>6761</v>
      </c>
      <c r="I151">
        <v>8637</v>
      </c>
      <c r="J151">
        <v>-3532</v>
      </c>
      <c r="K151">
        <v>0</v>
      </c>
    </row>
    <row r="152" spans="2:11" x14ac:dyDescent="0.45">
      <c r="B152">
        <v>-3622</v>
      </c>
      <c r="C152">
        <v>0</v>
      </c>
      <c r="D152">
        <v>-4404</v>
      </c>
      <c r="E152">
        <v>-4756</v>
      </c>
      <c r="F152">
        <v>474</v>
      </c>
      <c r="G152">
        <v>0</v>
      </c>
      <c r="H152">
        <v>0</v>
      </c>
      <c r="I152">
        <v>1456</v>
      </c>
      <c r="J152">
        <v>0</v>
      </c>
      <c r="K152">
        <v>-10176</v>
      </c>
    </row>
    <row r="153" spans="2:11" x14ac:dyDescent="0.45">
      <c r="B153">
        <v>2479</v>
      </c>
      <c r="C153">
        <v>10638</v>
      </c>
      <c r="D153">
        <v>76366</v>
      </c>
      <c r="E153">
        <v>-70913</v>
      </c>
      <c r="F153">
        <v>0</v>
      </c>
      <c r="G153">
        <v>0</v>
      </c>
      <c r="H153">
        <v>-45206</v>
      </c>
      <c r="I153">
        <v>-9457</v>
      </c>
      <c r="J153">
        <v>57115</v>
      </c>
      <c r="K153">
        <v>52148</v>
      </c>
    </row>
    <row r="154" spans="2:11" x14ac:dyDescent="0.45">
      <c r="B154">
        <v>-70523</v>
      </c>
      <c r="C154">
        <v>-62595</v>
      </c>
      <c r="D154">
        <v>-11395</v>
      </c>
      <c r="E154">
        <v>-11291</v>
      </c>
      <c r="F154">
        <v>-48222</v>
      </c>
      <c r="G154">
        <v>-38882</v>
      </c>
      <c r="H154">
        <v>-68689</v>
      </c>
      <c r="I154">
        <v>45449</v>
      </c>
      <c r="J154">
        <v>-72963</v>
      </c>
      <c r="K154">
        <v>0</v>
      </c>
    </row>
    <row r="155" spans="2:11" x14ac:dyDescent="0.45">
      <c r="B155">
        <v>-55214</v>
      </c>
      <c r="C155">
        <v>-48980</v>
      </c>
      <c r="D155">
        <v>-28550</v>
      </c>
      <c r="E155">
        <v>0</v>
      </c>
      <c r="F155">
        <v>-54133</v>
      </c>
      <c r="G155">
        <v>-76467</v>
      </c>
      <c r="H155">
        <v>24807</v>
      </c>
      <c r="I155">
        <v>0</v>
      </c>
      <c r="J155">
        <v>18911</v>
      </c>
      <c r="K155">
        <v>0</v>
      </c>
    </row>
    <row r="156" spans="2:11" x14ac:dyDescent="0.45">
      <c r="B156">
        <v>27821</v>
      </c>
      <c r="C156">
        <v>28404</v>
      </c>
      <c r="D156">
        <v>43138</v>
      </c>
      <c r="E156">
        <v>0</v>
      </c>
      <c r="F156">
        <v>0</v>
      </c>
      <c r="G156">
        <v>5473</v>
      </c>
      <c r="H156">
        <v>0</v>
      </c>
      <c r="I156">
        <v>78451</v>
      </c>
      <c r="J156">
        <v>-10892</v>
      </c>
      <c r="K156">
        <v>-13179</v>
      </c>
    </row>
    <row r="157" spans="2:11" x14ac:dyDescent="0.45">
      <c r="B157">
        <v>7926</v>
      </c>
      <c r="C157">
        <v>29552</v>
      </c>
      <c r="D157">
        <v>-31144</v>
      </c>
      <c r="E157">
        <v>0</v>
      </c>
      <c r="F157">
        <v>0</v>
      </c>
      <c r="G157">
        <v>-23197</v>
      </c>
      <c r="H157">
        <v>-19568</v>
      </c>
      <c r="I157">
        <v>25601</v>
      </c>
      <c r="J157">
        <v>24609</v>
      </c>
      <c r="K157">
        <v>-33491</v>
      </c>
    </row>
    <row r="158" spans="2:11" x14ac:dyDescent="0.45">
      <c r="B158">
        <v>-24829</v>
      </c>
      <c r="C158">
        <v>-190</v>
      </c>
      <c r="D158">
        <v>-20475</v>
      </c>
      <c r="E158">
        <v>-23834</v>
      </c>
      <c r="F158">
        <v>-14568</v>
      </c>
      <c r="G158">
        <v>-29176</v>
      </c>
      <c r="H158">
        <v>7487</v>
      </c>
      <c r="I158">
        <v>-28813</v>
      </c>
      <c r="J158">
        <v>0</v>
      </c>
      <c r="K158">
        <v>-21002</v>
      </c>
    </row>
    <row r="159" spans="2:11" x14ac:dyDescent="0.45">
      <c r="B159">
        <v>-20971</v>
      </c>
      <c r="C159">
        <v>-4418</v>
      </c>
      <c r="D159">
        <v>0</v>
      </c>
      <c r="E159">
        <v>-22329</v>
      </c>
      <c r="F159">
        <v>-31267</v>
      </c>
      <c r="G159">
        <v>9705</v>
      </c>
      <c r="H159">
        <v>0</v>
      </c>
      <c r="I159">
        <v>5679</v>
      </c>
      <c r="J159">
        <v>0</v>
      </c>
      <c r="K159">
        <v>10918</v>
      </c>
    </row>
    <row r="160" spans="2:11" x14ac:dyDescent="0.45">
      <c r="B160">
        <v>10165</v>
      </c>
      <c r="C160">
        <v>22731</v>
      </c>
      <c r="D160">
        <v>0</v>
      </c>
      <c r="E160">
        <v>0</v>
      </c>
      <c r="F160">
        <v>4868</v>
      </c>
      <c r="G160">
        <v>0</v>
      </c>
      <c r="H160">
        <v>31274</v>
      </c>
      <c r="I160">
        <v>-27539</v>
      </c>
      <c r="J160">
        <v>58018</v>
      </c>
      <c r="K160">
        <v>22055</v>
      </c>
    </row>
    <row r="161" spans="2:11" x14ac:dyDescent="0.45">
      <c r="B161">
        <v>-5168</v>
      </c>
      <c r="C161">
        <v>-7230</v>
      </c>
      <c r="D161">
        <v>6807</v>
      </c>
      <c r="E161">
        <v>0</v>
      </c>
      <c r="F161">
        <v>0</v>
      </c>
      <c r="G161">
        <v>8240</v>
      </c>
      <c r="H161">
        <v>-10649</v>
      </c>
      <c r="I161">
        <v>-12275</v>
      </c>
      <c r="J161">
        <v>-8904</v>
      </c>
      <c r="K161">
        <v>13191</v>
      </c>
    </row>
    <row r="162" spans="2:11" x14ac:dyDescent="0.45">
      <c r="B162">
        <v>11086</v>
      </c>
      <c r="C162">
        <v>1482</v>
      </c>
      <c r="D162">
        <v>-10590</v>
      </c>
      <c r="E162">
        <v>12012</v>
      </c>
      <c r="F162">
        <v>12789</v>
      </c>
      <c r="G162">
        <v>12276</v>
      </c>
      <c r="H162">
        <v>-18508</v>
      </c>
      <c r="I162">
        <v>16606</v>
      </c>
      <c r="J162">
        <v>0</v>
      </c>
      <c r="K162">
        <v>-1180</v>
      </c>
    </row>
    <row r="163" spans="2:11" x14ac:dyDescent="0.45">
      <c r="B163">
        <v>2788</v>
      </c>
      <c r="C163">
        <v>2999</v>
      </c>
      <c r="D163">
        <v>0</v>
      </c>
      <c r="E163">
        <v>5278</v>
      </c>
      <c r="F163">
        <v>11221</v>
      </c>
      <c r="G163">
        <v>-4105</v>
      </c>
      <c r="H163">
        <v>0</v>
      </c>
      <c r="I163">
        <v>-3793</v>
      </c>
      <c r="J163">
        <v>0</v>
      </c>
      <c r="K163">
        <v>-5782</v>
      </c>
    </row>
    <row r="164" spans="2:11" x14ac:dyDescent="0.45">
      <c r="B164">
        <v>-2297</v>
      </c>
      <c r="C164">
        <v>-6966</v>
      </c>
      <c r="D164">
        <v>0</v>
      </c>
      <c r="E164">
        <v>0</v>
      </c>
      <c r="F164">
        <v>-4929</v>
      </c>
      <c r="G164">
        <v>0</v>
      </c>
      <c r="H164">
        <v>-15073</v>
      </c>
      <c r="I164">
        <v>6115</v>
      </c>
      <c r="J164">
        <v>3238</v>
      </c>
      <c r="K164">
        <v>-14631</v>
      </c>
    </row>
    <row r="165" spans="2:11" x14ac:dyDescent="0.45">
      <c r="B165">
        <v>-3180</v>
      </c>
      <c r="C165">
        <v>-1154</v>
      </c>
      <c r="D165">
        <v>9602</v>
      </c>
      <c r="E165">
        <v>-6526</v>
      </c>
      <c r="F165">
        <v>0</v>
      </c>
      <c r="G165">
        <v>0</v>
      </c>
      <c r="H165">
        <v>-2929</v>
      </c>
      <c r="I165">
        <v>378</v>
      </c>
      <c r="J165">
        <v>5929</v>
      </c>
      <c r="K165">
        <v>6316</v>
      </c>
    </row>
    <row r="166" spans="2:11" x14ac:dyDescent="0.45">
      <c r="B166">
        <v>-6744</v>
      </c>
      <c r="C166">
        <v>-5648</v>
      </c>
      <c r="D166">
        <v>-1061</v>
      </c>
      <c r="E166">
        <v>217</v>
      </c>
      <c r="F166">
        <v>-5829</v>
      </c>
      <c r="G166">
        <v>-2801</v>
      </c>
      <c r="H166">
        <v>-6487</v>
      </c>
      <c r="I166">
        <v>6298</v>
      </c>
      <c r="J166">
        <v>-6433</v>
      </c>
      <c r="K166">
        <v>0</v>
      </c>
    </row>
    <row r="167" spans="2:11" x14ac:dyDescent="0.45">
      <c r="B167">
        <v>-46019</v>
      </c>
      <c r="C167">
        <v>-4496</v>
      </c>
      <c r="D167">
        <v>3352</v>
      </c>
      <c r="E167">
        <v>0</v>
      </c>
      <c r="F167">
        <v>-482</v>
      </c>
      <c r="G167">
        <v>-7424</v>
      </c>
      <c r="H167">
        <v>848</v>
      </c>
      <c r="I167">
        <v>0</v>
      </c>
      <c r="J167">
        <v>904</v>
      </c>
      <c r="K167">
        <v>0</v>
      </c>
    </row>
    <row r="168" spans="2:11" x14ac:dyDescent="0.45">
      <c r="B168">
        <v>5069</v>
      </c>
      <c r="C168">
        <v>3082</v>
      </c>
      <c r="D168">
        <v>4198</v>
      </c>
      <c r="E168">
        <v>0</v>
      </c>
      <c r="F168">
        <v>0</v>
      </c>
      <c r="G168">
        <v>1064</v>
      </c>
      <c r="H168">
        <v>0</v>
      </c>
      <c r="I168">
        <v>8307</v>
      </c>
      <c r="J168">
        <v>-2451</v>
      </c>
      <c r="K168">
        <v>-2641</v>
      </c>
    </row>
    <row r="169" spans="2:11" x14ac:dyDescent="0.45">
      <c r="B169">
        <v>8950</v>
      </c>
      <c r="C169">
        <v>852</v>
      </c>
      <c r="D169">
        <v>-15404</v>
      </c>
      <c r="E169">
        <v>-2455</v>
      </c>
      <c r="F169">
        <v>8913</v>
      </c>
      <c r="G169">
        <v>-1159</v>
      </c>
      <c r="H169">
        <v>0</v>
      </c>
      <c r="I169">
        <v>0</v>
      </c>
      <c r="J169">
        <v>31</v>
      </c>
      <c r="K169">
        <v>-8103</v>
      </c>
    </row>
    <row r="170" spans="2:11" x14ac:dyDescent="0.45">
      <c r="B170">
        <v>2498</v>
      </c>
      <c r="C170">
        <v>1915</v>
      </c>
      <c r="D170">
        <v>-4192</v>
      </c>
      <c r="E170">
        <v>-553</v>
      </c>
      <c r="F170">
        <v>263</v>
      </c>
      <c r="G170">
        <v>-7990</v>
      </c>
      <c r="H170">
        <v>-3324</v>
      </c>
      <c r="I170">
        <v>531</v>
      </c>
      <c r="J170">
        <v>-710</v>
      </c>
      <c r="K170">
        <v>-7135</v>
      </c>
    </row>
    <row r="171" spans="2:11" x14ac:dyDescent="0.45">
      <c r="B171">
        <v>-478</v>
      </c>
      <c r="C171">
        <v>0</v>
      </c>
      <c r="D171">
        <v>-2509</v>
      </c>
      <c r="E171">
        <v>4526</v>
      </c>
      <c r="F171">
        <v>-4497</v>
      </c>
      <c r="G171">
        <v>0</v>
      </c>
      <c r="H171">
        <v>-1007</v>
      </c>
      <c r="I171">
        <v>-3051</v>
      </c>
      <c r="J171">
        <v>54</v>
      </c>
      <c r="K171">
        <v>0</v>
      </c>
    </row>
    <row r="172" spans="2:11" x14ac:dyDescent="0.45">
      <c r="B172">
        <v>-1357</v>
      </c>
      <c r="C172">
        <v>0</v>
      </c>
      <c r="D172">
        <v>2120</v>
      </c>
      <c r="E172">
        <v>1828</v>
      </c>
      <c r="F172">
        <v>-758</v>
      </c>
      <c r="G172">
        <v>0</v>
      </c>
      <c r="H172">
        <v>0</v>
      </c>
      <c r="I172">
        <v>-1783</v>
      </c>
      <c r="J172">
        <v>0</v>
      </c>
      <c r="K172">
        <v>507</v>
      </c>
    </row>
    <row r="173" spans="2:11" x14ac:dyDescent="0.45">
      <c r="B173">
        <v>351</v>
      </c>
      <c r="C173">
        <v>2193</v>
      </c>
      <c r="D173">
        <v>2702</v>
      </c>
      <c r="E173">
        <v>2715</v>
      </c>
      <c r="F173">
        <v>-31100</v>
      </c>
      <c r="G173">
        <v>-13321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12822</v>
      </c>
      <c r="C178">
        <v>70043</v>
      </c>
      <c r="D178">
        <v>-62683</v>
      </c>
      <c r="E178">
        <v>0</v>
      </c>
      <c r="F178">
        <v>0</v>
      </c>
      <c r="G178">
        <v>-35972</v>
      </c>
      <c r="H178">
        <v>9952</v>
      </c>
      <c r="I178">
        <v>54658</v>
      </c>
      <c r="J178">
        <v>54428</v>
      </c>
      <c r="K178">
        <v>-67467</v>
      </c>
    </row>
    <row r="179" spans="2:11" x14ac:dyDescent="0.45">
      <c r="B179">
        <v>-57090</v>
      </c>
      <c r="C179">
        <v>-9237</v>
      </c>
      <c r="D179">
        <v>8602</v>
      </c>
      <c r="E179">
        <v>-47505</v>
      </c>
      <c r="F179">
        <v>-43623</v>
      </c>
      <c r="G179">
        <v>-62884</v>
      </c>
      <c r="H179">
        <v>60447</v>
      </c>
      <c r="I179">
        <v>-72610</v>
      </c>
      <c r="J179">
        <v>0</v>
      </c>
      <c r="K179">
        <v>-58510</v>
      </c>
    </row>
    <row r="180" spans="2:11" x14ac:dyDescent="0.45">
      <c r="B180">
        <v>-46958</v>
      </c>
      <c r="C180">
        <v>-20606</v>
      </c>
      <c r="D180">
        <v>0</v>
      </c>
      <c r="E180">
        <v>-54986</v>
      </c>
      <c r="F180">
        <v>-69200</v>
      </c>
      <c r="G180">
        <v>26160</v>
      </c>
      <c r="H180">
        <v>0</v>
      </c>
      <c r="I180">
        <v>18733</v>
      </c>
      <c r="J180">
        <v>0</v>
      </c>
      <c r="K180">
        <v>30200</v>
      </c>
    </row>
    <row r="181" spans="2:11" x14ac:dyDescent="0.45">
      <c r="B181">
        <v>24353</v>
      </c>
      <c r="C181">
        <v>42235</v>
      </c>
      <c r="D181">
        <v>0</v>
      </c>
      <c r="E181">
        <v>0</v>
      </c>
      <c r="F181">
        <v>6869</v>
      </c>
      <c r="G181">
        <v>0</v>
      </c>
      <c r="H181">
        <v>74698</v>
      </c>
      <c r="I181">
        <v>-46644</v>
      </c>
      <c r="J181">
        <v>-11880</v>
      </c>
      <c r="K181">
        <v>67018</v>
      </c>
    </row>
    <row r="182" spans="2:11" x14ac:dyDescent="0.45">
      <c r="B182">
        <v>25360</v>
      </c>
      <c r="C182">
        <v>-12580</v>
      </c>
      <c r="D182">
        <v>5460</v>
      </c>
      <c r="E182">
        <v>-1643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-5906</v>
      </c>
      <c r="K191">
        <v>78822</v>
      </c>
    </row>
    <row r="192" spans="2:11" x14ac:dyDescent="0.45">
      <c r="B192">
        <v>-72890</v>
      </c>
      <c r="C192">
        <v>0</v>
      </c>
      <c r="D192">
        <v>0</v>
      </c>
      <c r="E192">
        <v>-46134</v>
      </c>
      <c r="F192">
        <v>-717</v>
      </c>
      <c r="G192">
        <v>60555</v>
      </c>
      <c r="H192">
        <v>59033</v>
      </c>
      <c r="I192">
        <v>-73025</v>
      </c>
      <c r="J192">
        <v>-62638</v>
      </c>
      <c r="K192">
        <v>-9633</v>
      </c>
    </row>
    <row r="193" spans="2:11" x14ac:dyDescent="0.45">
      <c r="B193">
        <v>-2647</v>
      </c>
      <c r="C193">
        <v>-57251</v>
      </c>
      <c r="D193">
        <v>-49813</v>
      </c>
      <c r="E193">
        <v>-68154</v>
      </c>
      <c r="F193">
        <v>54490</v>
      </c>
      <c r="G193">
        <v>-80310</v>
      </c>
      <c r="H193">
        <v>0</v>
      </c>
      <c r="I193">
        <v>-55633</v>
      </c>
      <c r="J193">
        <v>-49956</v>
      </c>
      <c r="K193">
        <v>-25627</v>
      </c>
    </row>
    <row r="194" spans="2:11" x14ac:dyDescent="0.45">
      <c r="B194">
        <v>0</v>
      </c>
      <c r="C194">
        <v>-58238</v>
      </c>
      <c r="D194">
        <v>-78204</v>
      </c>
      <c r="E194">
        <v>22250</v>
      </c>
      <c r="F194">
        <v>0</v>
      </c>
      <c r="G194">
        <v>16664</v>
      </c>
      <c r="H194">
        <v>0</v>
      </c>
      <c r="I194">
        <v>30569</v>
      </c>
      <c r="J194">
        <v>34787</v>
      </c>
      <c r="K194">
        <v>44488</v>
      </c>
    </row>
    <row r="195" spans="2:11" x14ac:dyDescent="0.45">
      <c r="B195">
        <v>0</v>
      </c>
      <c r="C195">
        <v>0</v>
      </c>
      <c r="D195">
        <v>6570</v>
      </c>
      <c r="E195">
        <v>0</v>
      </c>
      <c r="F195">
        <v>88614</v>
      </c>
      <c r="G195">
        <v>-48286</v>
      </c>
      <c r="H195">
        <v>-11090</v>
      </c>
      <c r="I195">
        <v>74274</v>
      </c>
      <c r="J195">
        <v>27895</v>
      </c>
      <c r="K195">
        <v>-19914</v>
      </c>
    </row>
    <row r="196" spans="2:11" x14ac:dyDescent="0.45">
      <c r="B196">
        <v>1198</v>
      </c>
      <c r="C196">
        <v>3803</v>
      </c>
      <c r="D196">
        <v>0</v>
      </c>
      <c r="E196">
        <v>67139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3736</v>
      </c>
      <c r="H201">
        <v>25392</v>
      </c>
      <c r="I201">
        <v>-16604</v>
      </c>
      <c r="J201">
        <v>0</v>
      </c>
      <c r="K201">
        <v>0</v>
      </c>
    </row>
    <row r="202" spans="2:11" x14ac:dyDescent="0.45">
      <c r="B202">
        <v>4077</v>
      </c>
      <c r="C202">
        <v>49135</v>
      </c>
      <c r="D202">
        <v>27941</v>
      </c>
      <c r="E202">
        <v>27823</v>
      </c>
      <c r="F202">
        <v>-32231</v>
      </c>
      <c r="G202">
        <v>-28038</v>
      </c>
      <c r="H202">
        <v>-4798</v>
      </c>
      <c r="I202">
        <v>48633</v>
      </c>
      <c r="J202">
        <v>-22884</v>
      </c>
      <c r="K202">
        <v>-24510</v>
      </c>
    </row>
    <row r="203" spans="2:11" x14ac:dyDescent="0.45">
      <c r="B203">
        <v>-31004</v>
      </c>
      <c r="C203">
        <v>70455</v>
      </c>
      <c r="D203">
        <v>-37477</v>
      </c>
      <c r="E203">
        <v>0</v>
      </c>
      <c r="F203">
        <v>-288</v>
      </c>
      <c r="G203">
        <v>-28217</v>
      </c>
      <c r="H203">
        <v>-10208</v>
      </c>
      <c r="I203">
        <v>0</v>
      </c>
      <c r="J203">
        <v>-32794</v>
      </c>
      <c r="K203">
        <v>-23388</v>
      </c>
    </row>
    <row r="204" spans="2:11" x14ac:dyDescent="0.45">
      <c r="B204">
        <v>16825</v>
      </c>
      <c r="C204">
        <v>0</v>
      </c>
      <c r="D204">
        <v>12075</v>
      </c>
      <c r="E204">
        <v>0</v>
      </c>
      <c r="F204">
        <v>14601</v>
      </c>
      <c r="G204">
        <v>9886</v>
      </c>
      <c r="H204">
        <v>22633</v>
      </c>
      <c r="I204">
        <v>0</v>
      </c>
      <c r="J204">
        <v>0</v>
      </c>
      <c r="K204">
        <v>4535</v>
      </c>
    </row>
    <row r="205" spans="2:11" x14ac:dyDescent="0.45">
      <c r="B205">
        <v>0</v>
      </c>
      <c r="C205">
        <v>37833</v>
      </c>
      <c r="D205">
        <v>-24524</v>
      </c>
      <c r="E205">
        <v>-5251</v>
      </c>
      <c r="F205">
        <v>33121</v>
      </c>
      <c r="G205">
        <v>13696</v>
      </c>
      <c r="H205">
        <v>-8041</v>
      </c>
      <c r="I205">
        <v>-350</v>
      </c>
      <c r="J205">
        <v>-826</v>
      </c>
      <c r="K205">
        <v>0</v>
      </c>
    </row>
    <row r="206" spans="2:11" x14ac:dyDescent="0.45">
      <c r="B206">
        <v>58733</v>
      </c>
      <c r="C206">
        <v>0</v>
      </c>
      <c r="D206">
        <v>0</v>
      </c>
      <c r="E206">
        <v>33765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-673</v>
      </c>
      <c r="K216">
        <v>83077</v>
      </c>
    </row>
    <row r="217" spans="2:11" x14ac:dyDescent="0.45">
      <c r="B217">
        <v>-72509</v>
      </c>
      <c r="C217">
        <v>0</v>
      </c>
      <c r="D217">
        <v>0</v>
      </c>
      <c r="E217">
        <v>-42725</v>
      </c>
      <c r="F217">
        <v>-661</v>
      </c>
      <c r="G217">
        <v>60015</v>
      </c>
      <c r="H217">
        <v>58970</v>
      </c>
      <c r="I217">
        <v>-73712</v>
      </c>
      <c r="J217">
        <v>-62682</v>
      </c>
      <c r="K217">
        <v>-9559</v>
      </c>
    </row>
    <row r="218" spans="2:11" x14ac:dyDescent="0.45">
      <c r="B218">
        <v>-2460</v>
      </c>
      <c r="C218">
        <v>-54444</v>
      </c>
      <c r="D218">
        <v>-47846</v>
      </c>
      <c r="E218">
        <v>-68131</v>
      </c>
      <c r="F218">
        <v>54076</v>
      </c>
      <c r="G218">
        <v>-78843</v>
      </c>
      <c r="H218">
        <v>0</v>
      </c>
      <c r="I218">
        <v>-54865</v>
      </c>
      <c r="J218">
        <v>-49305</v>
      </c>
      <c r="K218">
        <v>-30113</v>
      </c>
    </row>
    <row r="219" spans="2:11" x14ac:dyDescent="0.45">
      <c r="B219">
        <v>0</v>
      </c>
      <c r="C219">
        <v>-56349</v>
      </c>
      <c r="D219">
        <v>-77413</v>
      </c>
      <c r="E219">
        <v>22616</v>
      </c>
      <c r="F219">
        <v>0</v>
      </c>
      <c r="G219">
        <v>15498</v>
      </c>
      <c r="H219">
        <v>0</v>
      </c>
      <c r="I219">
        <v>31109</v>
      </c>
      <c r="J219">
        <v>33633</v>
      </c>
      <c r="K219">
        <v>44784</v>
      </c>
    </row>
    <row r="220" spans="2:11" x14ac:dyDescent="0.45">
      <c r="B220">
        <v>0</v>
      </c>
      <c r="C220">
        <v>0</v>
      </c>
      <c r="D220">
        <v>6261</v>
      </c>
      <c r="E220">
        <v>0</v>
      </c>
      <c r="F220">
        <v>86419</v>
      </c>
      <c r="G220">
        <v>-48447</v>
      </c>
      <c r="H220">
        <v>-12653</v>
      </c>
      <c r="I220">
        <v>73830</v>
      </c>
      <c r="J220">
        <v>26458</v>
      </c>
      <c r="K220">
        <v>-15033</v>
      </c>
    </row>
    <row r="221" spans="2:11" x14ac:dyDescent="0.45">
      <c r="B221">
        <v>10669</v>
      </c>
      <c r="C221">
        <v>2382</v>
      </c>
      <c r="D221">
        <v>0</v>
      </c>
      <c r="E221">
        <v>67678</v>
      </c>
      <c r="F221">
        <v>0</v>
      </c>
      <c r="G221">
        <v>0</v>
      </c>
      <c r="H221">
        <v>88615</v>
      </c>
      <c r="I221">
        <v>0</v>
      </c>
      <c r="J221">
        <v>18962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-12937</v>
      </c>
      <c r="H227">
        <v>-91276</v>
      </c>
      <c r="I227">
        <v>84569</v>
      </c>
      <c r="J227">
        <v>0</v>
      </c>
      <c r="K227">
        <v>0</v>
      </c>
    </row>
    <row r="228" spans="2:11" x14ac:dyDescent="0.45">
      <c r="B228">
        <v>54255</v>
      </c>
      <c r="C228">
        <v>7578</v>
      </c>
      <c r="D228">
        <v>-68905</v>
      </c>
      <c r="E228">
        <v>-67347</v>
      </c>
      <c r="F228">
        <v>84173</v>
      </c>
      <c r="G228">
        <v>71952</v>
      </c>
      <c r="H228">
        <v>12098</v>
      </c>
      <c r="I228">
        <v>9485</v>
      </c>
      <c r="J228">
        <v>59004</v>
      </c>
      <c r="K228">
        <v>51432</v>
      </c>
    </row>
    <row r="229" spans="2:11" x14ac:dyDescent="0.45">
      <c r="B229">
        <v>78726</v>
      </c>
      <c r="C229">
        <v>-56473</v>
      </c>
      <c r="D229">
        <v>88693</v>
      </c>
      <c r="E229">
        <v>0</v>
      </c>
      <c r="F229">
        <v>65241</v>
      </c>
      <c r="G229">
        <v>56570</v>
      </c>
      <c r="H229">
        <v>31556</v>
      </c>
      <c r="I229">
        <v>0</v>
      </c>
      <c r="J229">
        <v>64767</v>
      </c>
      <c r="K229">
        <v>89914</v>
      </c>
    </row>
    <row r="230" spans="2:11" x14ac:dyDescent="0.45">
      <c r="B230">
        <v>-29244</v>
      </c>
      <c r="C230">
        <v>0</v>
      </c>
      <c r="D230">
        <v>-19939</v>
      </c>
      <c r="E230">
        <v>0</v>
      </c>
      <c r="F230">
        <v>-33678</v>
      </c>
      <c r="G230">
        <v>-33409</v>
      </c>
      <c r="H230">
        <v>-51147</v>
      </c>
      <c r="I230">
        <v>0</v>
      </c>
      <c r="J230">
        <v>0</v>
      </c>
      <c r="K230">
        <v>-8480</v>
      </c>
    </row>
    <row r="231" spans="2:11" x14ac:dyDescent="0.45">
      <c r="B231">
        <v>0</v>
      </c>
      <c r="C231">
        <v>-92412</v>
      </c>
      <c r="D231">
        <v>55530</v>
      </c>
      <c r="E231">
        <v>10754</v>
      </c>
      <c r="F231">
        <v>-84403</v>
      </c>
      <c r="G231">
        <v>-33755</v>
      </c>
      <c r="H231">
        <v>15210</v>
      </c>
      <c r="I231">
        <v>-8880</v>
      </c>
      <c r="J231">
        <v>-1957</v>
      </c>
      <c r="K231">
        <v>0</v>
      </c>
    </row>
    <row r="232" spans="2:11" x14ac:dyDescent="0.45">
      <c r="B232">
        <v>-80802</v>
      </c>
      <c r="C232">
        <v>0</v>
      </c>
      <c r="D232">
        <v>0</v>
      </c>
      <c r="E232">
        <v>-87200</v>
      </c>
      <c r="F232">
        <v>0</v>
      </c>
      <c r="G232">
        <v>-40754</v>
      </c>
      <c r="H232">
        <v>0</v>
      </c>
      <c r="I232">
        <v>0</v>
      </c>
      <c r="J232">
        <v>-87081</v>
      </c>
      <c r="K232">
        <v>0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L247"/>
  <sheetViews>
    <sheetView topLeftCell="A49" workbookViewId="0">
      <selection activeCell="A8" sqref="A8:K152"/>
    </sheetView>
  </sheetViews>
  <sheetFormatPr defaultRowHeight="14.25" x14ac:dyDescent="0.45"/>
  <sheetData>
    <row r="1" spans="1:11" x14ac:dyDescent="0.4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45">
      <c r="A2" s="29">
        <v>1</v>
      </c>
      <c r="B2" s="29" t="s">
        <v>287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4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4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4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4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45">
      <c r="A8" t="s">
        <v>229</v>
      </c>
      <c r="B8" t="s">
        <v>220</v>
      </c>
      <c r="C8" t="s">
        <v>221</v>
      </c>
      <c r="D8" t="s">
        <v>222</v>
      </c>
    </row>
    <row r="9" spans="1:11" x14ac:dyDescent="0.4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0.59541666666666659</v>
      </c>
      <c r="G9" t="s">
        <v>227</v>
      </c>
      <c r="H9">
        <v>2</v>
      </c>
      <c r="I9" t="s">
        <v>305</v>
      </c>
      <c r="J9">
        <v>12</v>
      </c>
    </row>
    <row r="10" spans="1:11" x14ac:dyDescent="0.45">
      <c r="A10" t="s">
        <v>228</v>
      </c>
    </row>
    <row r="11" spans="1:11" x14ac:dyDescent="0.45">
      <c r="B11">
        <v>1</v>
      </c>
      <c r="C11" t="s">
        <v>62</v>
      </c>
      <c r="D11" t="s">
        <v>63</v>
      </c>
      <c r="E11" s="22">
        <v>8.2713999999999996E-2</v>
      </c>
    </row>
    <row r="12" spans="1:11" x14ac:dyDescent="0.45">
      <c r="B12">
        <v>2</v>
      </c>
      <c r="C12" t="s">
        <v>64</v>
      </c>
      <c r="D12" t="s">
        <v>63</v>
      </c>
      <c r="E12">
        <v>1.022035</v>
      </c>
      <c r="F12" s="22"/>
    </row>
    <row r="13" spans="1:11" x14ac:dyDescent="0.45">
      <c r="B13">
        <v>10</v>
      </c>
      <c r="C13" t="s">
        <v>65</v>
      </c>
      <c r="D13" t="s">
        <v>63</v>
      </c>
      <c r="E13">
        <v>0.25988565033400002</v>
      </c>
    </row>
    <row r="14" spans="1:11" x14ac:dyDescent="0.45">
      <c r="B14">
        <v>11</v>
      </c>
      <c r="C14" t="s">
        <v>274</v>
      </c>
      <c r="D14" t="s">
        <v>63</v>
      </c>
      <c r="E14">
        <v>4.1584704850000001E-2</v>
      </c>
    </row>
    <row r="15" spans="1:11" x14ac:dyDescent="0.45">
      <c r="B15">
        <v>13</v>
      </c>
      <c r="C15" t="s">
        <v>275</v>
      </c>
      <c r="D15" t="s">
        <v>63</v>
      </c>
      <c r="E15">
        <v>0.136483612798</v>
      </c>
    </row>
    <row r="16" spans="1:11" x14ac:dyDescent="0.45">
      <c r="B16">
        <v>17</v>
      </c>
      <c r="C16" t="s">
        <v>66</v>
      </c>
      <c r="D16" t="s">
        <v>63</v>
      </c>
      <c r="E16">
        <v>-0.37388399999999999</v>
      </c>
    </row>
    <row r="17" spans="2:5" x14ac:dyDescent="0.45">
      <c r="B17">
        <v>18</v>
      </c>
      <c r="C17" t="s">
        <v>67</v>
      </c>
      <c r="D17" t="s">
        <v>63</v>
      </c>
      <c r="E17" s="22">
        <v>-2.1552190000000002</v>
      </c>
    </row>
    <row r="18" spans="2:5" x14ac:dyDescent="0.45">
      <c r="B18">
        <v>20</v>
      </c>
      <c r="C18" t="s">
        <v>68</v>
      </c>
      <c r="D18" t="s">
        <v>63</v>
      </c>
      <c r="E18" s="22">
        <v>-2.966608128651</v>
      </c>
    </row>
    <row r="19" spans="2:5" x14ac:dyDescent="0.45">
      <c r="B19">
        <v>21</v>
      </c>
      <c r="C19" t="s">
        <v>69</v>
      </c>
      <c r="D19" t="s">
        <v>63</v>
      </c>
      <c r="E19">
        <v>1.248911465712</v>
      </c>
    </row>
    <row r="20" spans="2:5" x14ac:dyDescent="0.45">
      <c r="B20">
        <v>22</v>
      </c>
      <c r="C20" t="s">
        <v>70</v>
      </c>
      <c r="D20" t="s">
        <v>63</v>
      </c>
      <c r="E20">
        <v>-0.53922482139799999</v>
      </c>
    </row>
    <row r="21" spans="2:5" x14ac:dyDescent="0.45">
      <c r="B21">
        <v>27</v>
      </c>
      <c r="C21" t="s">
        <v>71</v>
      </c>
      <c r="D21" t="s">
        <v>72</v>
      </c>
      <c r="E21">
        <v>-5</v>
      </c>
    </row>
    <row r="22" spans="2:5" x14ac:dyDescent="0.45">
      <c r="B22">
        <v>28</v>
      </c>
      <c r="C22" t="s">
        <v>73</v>
      </c>
      <c r="D22" t="s">
        <v>63</v>
      </c>
      <c r="E22">
        <v>-0.81893000000000005</v>
      </c>
    </row>
    <row r="23" spans="2:5" x14ac:dyDescent="0.45">
      <c r="B23">
        <v>29</v>
      </c>
      <c r="C23" t="s">
        <v>74</v>
      </c>
      <c r="D23" t="s">
        <v>63</v>
      </c>
      <c r="E23">
        <v>1.4418610000000001</v>
      </c>
    </row>
    <row r="24" spans="2:5" x14ac:dyDescent="0.45">
      <c r="B24">
        <v>30</v>
      </c>
      <c r="C24" t="s">
        <v>75</v>
      </c>
      <c r="D24" t="s">
        <v>63</v>
      </c>
      <c r="E24">
        <v>0.196767204429</v>
      </c>
    </row>
    <row r="25" spans="2:5" x14ac:dyDescent="0.45">
      <c r="B25">
        <v>35</v>
      </c>
      <c r="C25" t="s">
        <v>261</v>
      </c>
      <c r="D25" t="s">
        <v>63</v>
      </c>
      <c r="E25">
        <v>-0.29743268940200002</v>
      </c>
    </row>
    <row r="26" spans="2:5" x14ac:dyDescent="0.45">
      <c r="B26">
        <v>36</v>
      </c>
      <c r="C26" t="s">
        <v>260</v>
      </c>
      <c r="D26" t="s">
        <v>63</v>
      </c>
      <c r="E26">
        <v>-0.11098246734599999</v>
      </c>
    </row>
    <row r="27" spans="2:5" x14ac:dyDescent="0.45">
      <c r="B27">
        <v>37</v>
      </c>
      <c r="C27" t="s">
        <v>76</v>
      </c>
      <c r="D27" t="s">
        <v>63</v>
      </c>
      <c r="E27">
        <v>-1.170617</v>
      </c>
    </row>
    <row r="28" spans="2:5" x14ac:dyDescent="0.45">
      <c r="B28">
        <v>38</v>
      </c>
      <c r="C28" t="s">
        <v>77</v>
      </c>
      <c r="D28" t="s">
        <v>63</v>
      </c>
      <c r="E28">
        <v>-0.500054</v>
      </c>
    </row>
    <row r="29" spans="2:5" x14ac:dyDescent="0.45">
      <c r="B29">
        <v>40</v>
      </c>
      <c r="C29" t="s">
        <v>78</v>
      </c>
      <c r="D29" t="s">
        <v>63</v>
      </c>
      <c r="E29">
        <v>-0.70546612167800005</v>
      </c>
    </row>
    <row r="30" spans="2:5" x14ac:dyDescent="0.45">
      <c r="B30">
        <v>41</v>
      </c>
      <c r="C30" t="s">
        <v>79</v>
      </c>
      <c r="D30" t="s">
        <v>63</v>
      </c>
      <c r="E30">
        <v>-2.0074555463160002</v>
      </c>
    </row>
    <row r="31" spans="2:5" x14ac:dyDescent="0.45">
      <c r="B31">
        <v>42</v>
      </c>
      <c r="C31" t="s">
        <v>308</v>
      </c>
      <c r="D31" t="s">
        <v>63</v>
      </c>
      <c r="E31">
        <v>-0.12690086735600001</v>
      </c>
    </row>
    <row r="32" spans="2:5" x14ac:dyDescent="0.45">
      <c r="B32">
        <v>44</v>
      </c>
      <c r="C32" t="s">
        <v>80</v>
      </c>
      <c r="D32" t="s">
        <v>63</v>
      </c>
      <c r="E32">
        <v>-0.26427099999999998</v>
      </c>
    </row>
    <row r="33" spans="2:6" x14ac:dyDescent="0.45">
      <c r="B33">
        <v>45</v>
      </c>
      <c r="C33" t="s">
        <v>81</v>
      </c>
      <c r="D33" t="s">
        <v>63</v>
      </c>
      <c r="E33">
        <v>-0.26346999999999998</v>
      </c>
    </row>
    <row r="34" spans="2:6" x14ac:dyDescent="0.45">
      <c r="B34">
        <v>47</v>
      </c>
      <c r="C34" t="s">
        <v>82</v>
      </c>
      <c r="D34" t="s">
        <v>63</v>
      </c>
      <c r="E34">
        <v>1.3756219999999999</v>
      </c>
    </row>
    <row r="35" spans="2:6" x14ac:dyDescent="0.45">
      <c r="B35">
        <v>50</v>
      </c>
      <c r="C35" t="s">
        <v>83</v>
      </c>
      <c r="D35" t="s">
        <v>63</v>
      </c>
      <c r="E35">
        <v>2.0285543951160001</v>
      </c>
    </row>
    <row r="36" spans="2:6" x14ac:dyDescent="0.45">
      <c r="B36">
        <v>52</v>
      </c>
      <c r="C36" t="s">
        <v>84</v>
      </c>
      <c r="D36" t="s">
        <v>63</v>
      </c>
      <c r="E36">
        <v>-1.3029204471110001</v>
      </c>
    </row>
    <row r="37" spans="2:6" x14ac:dyDescent="0.45">
      <c r="B37">
        <v>54</v>
      </c>
      <c r="C37" t="s">
        <v>85</v>
      </c>
      <c r="D37" t="s">
        <v>63</v>
      </c>
      <c r="E37">
        <v>-0.78347800000000001</v>
      </c>
    </row>
    <row r="38" spans="2:6" x14ac:dyDescent="0.45">
      <c r="B38">
        <v>56</v>
      </c>
      <c r="C38" t="s">
        <v>86</v>
      </c>
      <c r="D38" t="s">
        <v>63</v>
      </c>
      <c r="E38" s="22">
        <v>0.308033</v>
      </c>
    </row>
    <row r="39" spans="2:6" x14ac:dyDescent="0.45">
      <c r="B39">
        <v>59</v>
      </c>
      <c r="C39" t="s">
        <v>87</v>
      </c>
      <c r="D39" t="s">
        <v>63</v>
      </c>
      <c r="E39">
        <v>-1.5646739999999999</v>
      </c>
    </row>
    <row r="40" spans="2:6" x14ac:dyDescent="0.45">
      <c r="B40">
        <v>60</v>
      </c>
      <c r="C40" t="s">
        <v>88</v>
      </c>
      <c r="D40" t="s">
        <v>63</v>
      </c>
      <c r="E40">
        <v>-4.8401055297960003</v>
      </c>
    </row>
    <row r="41" spans="2:6" x14ac:dyDescent="0.45">
      <c r="B41">
        <v>61</v>
      </c>
      <c r="C41" t="s">
        <v>89</v>
      </c>
      <c r="D41" t="s">
        <v>63</v>
      </c>
      <c r="E41">
        <v>0.16084100000000001</v>
      </c>
    </row>
    <row r="42" spans="2:6" x14ac:dyDescent="0.45">
      <c r="B42">
        <v>67</v>
      </c>
      <c r="C42" t="s">
        <v>262</v>
      </c>
      <c r="D42" t="s">
        <v>63</v>
      </c>
      <c r="E42" s="22">
        <v>0.34279116217299999</v>
      </c>
      <c r="F42" s="22"/>
    </row>
    <row r="43" spans="2:6" x14ac:dyDescent="0.45">
      <c r="B43">
        <v>68</v>
      </c>
      <c r="C43" t="s">
        <v>263</v>
      </c>
      <c r="D43" t="s">
        <v>63</v>
      </c>
      <c r="E43">
        <v>1.1077283945259999</v>
      </c>
    </row>
    <row r="44" spans="2:6" x14ac:dyDescent="0.45">
      <c r="B44">
        <v>69</v>
      </c>
      <c r="C44" t="s">
        <v>90</v>
      </c>
      <c r="D44" t="s">
        <v>63</v>
      </c>
      <c r="E44">
        <v>0.51493599999999995</v>
      </c>
      <c r="F44" s="22"/>
    </row>
    <row r="45" spans="2:6" x14ac:dyDescent="0.45">
      <c r="B45">
        <v>70</v>
      </c>
      <c r="C45" t="s">
        <v>264</v>
      </c>
      <c r="D45" t="s">
        <v>63</v>
      </c>
      <c r="E45">
        <v>0.64006882872199999</v>
      </c>
    </row>
    <row r="46" spans="2:6" x14ac:dyDescent="0.45">
      <c r="B46">
        <v>77</v>
      </c>
      <c r="C46" t="s">
        <v>265</v>
      </c>
      <c r="D46" t="s">
        <v>63</v>
      </c>
      <c r="E46">
        <v>0.35644784254099998</v>
      </c>
    </row>
    <row r="47" spans="2:6" x14ac:dyDescent="0.45">
      <c r="B47">
        <v>78</v>
      </c>
      <c r="C47" t="s">
        <v>266</v>
      </c>
      <c r="D47" t="s">
        <v>63</v>
      </c>
      <c r="E47">
        <v>3.0129279167159999</v>
      </c>
    </row>
    <row r="48" spans="2:6" x14ac:dyDescent="0.45">
      <c r="B48">
        <v>79</v>
      </c>
      <c r="C48" t="s">
        <v>91</v>
      </c>
      <c r="D48" t="s">
        <v>63</v>
      </c>
      <c r="E48" s="22">
        <v>-7.3790000000000001E-3</v>
      </c>
    </row>
    <row r="49" spans="2:6" x14ac:dyDescent="0.45">
      <c r="B49">
        <v>122</v>
      </c>
      <c r="C49" t="s">
        <v>92</v>
      </c>
      <c r="D49" t="s">
        <v>63</v>
      </c>
      <c r="E49" s="22">
        <v>0.41910900000000001</v>
      </c>
      <c r="F49" s="22"/>
    </row>
    <row r="50" spans="2:6" x14ac:dyDescent="0.45">
      <c r="B50">
        <v>129</v>
      </c>
      <c r="C50" t="s">
        <v>93</v>
      </c>
      <c r="D50" t="s">
        <v>63</v>
      </c>
      <c r="E50">
        <v>2.5894919999999999</v>
      </c>
    </row>
    <row r="51" spans="2:6" x14ac:dyDescent="0.45">
      <c r="B51">
        <v>131</v>
      </c>
      <c r="C51" t="s">
        <v>94</v>
      </c>
      <c r="D51" t="s">
        <v>63</v>
      </c>
      <c r="E51">
        <v>-1.7837479999999999</v>
      </c>
    </row>
    <row r="52" spans="2:6" x14ac:dyDescent="0.45">
      <c r="B52">
        <v>132</v>
      </c>
      <c r="C52" t="s">
        <v>95</v>
      </c>
      <c r="D52" t="s">
        <v>63</v>
      </c>
      <c r="E52">
        <v>0.219607</v>
      </c>
      <c r="F52" s="22"/>
    </row>
    <row r="53" spans="2:6" x14ac:dyDescent="0.45">
      <c r="B53">
        <v>133</v>
      </c>
      <c r="C53" t="s">
        <v>96</v>
      </c>
      <c r="D53" t="s">
        <v>63</v>
      </c>
      <c r="E53">
        <v>1.288421</v>
      </c>
    </row>
    <row r="54" spans="2:6" x14ac:dyDescent="0.45">
      <c r="B54">
        <v>134</v>
      </c>
      <c r="C54" s="22" t="s">
        <v>97</v>
      </c>
      <c r="D54" s="22" t="s">
        <v>63</v>
      </c>
      <c r="E54" s="22">
        <v>0.221358</v>
      </c>
      <c r="F54" s="22"/>
    </row>
    <row r="55" spans="2:6" x14ac:dyDescent="0.45">
      <c r="B55">
        <v>161</v>
      </c>
      <c r="C55" t="s">
        <v>98</v>
      </c>
      <c r="D55" t="s">
        <v>63</v>
      </c>
      <c r="E55">
        <v>1.0776410000000001</v>
      </c>
    </row>
    <row r="56" spans="2:6" x14ac:dyDescent="0.45">
      <c r="B56">
        <v>162</v>
      </c>
      <c r="C56" t="s">
        <v>99</v>
      </c>
      <c r="D56" t="s">
        <v>63</v>
      </c>
      <c r="E56">
        <v>0.88180499999999995</v>
      </c>
    </row>
    <row r="57" spans="2:6" x14ac:dyDescent="0.45">
      <c r="B57">
        <v>163</v>
      </c>
      <c r="C57" t="s">
        <v>100</v>
      </c>
      <c r="D57" t="s">
        <v>63</v>
      </c>
      <c r="E57">
        <v>-1.1532750000000001</v>
      </c>
    </row>
    <row r="58" spans="2:6" x14ac:dyDescent="0.45">
      <c r="B58">
        <v>164</v>
      </c>
      <c r="C58" t="s">
        <v>101</v>
      </c>
      <c r="D58" t="s">
        <v>63</v>
      </c>
      <c r="E58" s="22">
        <v>0.935832</v>
      </c>
      <c r="F58" s="22"/>
    </row>
    <row r="59" spans="2:6" x14ac:dyDescent="0.45">
      <c r="B59">
        <v>168</v>
      </c>
      <c r="C59" t="s">
        <v>102</v>
      </c>
      <c r="D59" t="s">
        <v>63</v>
      </c>
      <c r="E59" s="22">
        <v>1.7699999999999999E-4</v>
      </c>
      <c r="F59" s="22"/>
    </row>
    <row r="60" spans="2:6" x14ac:dyDescent="0.45">
      <c r="B60">
        <v>169</v>
      </c>
      <c r="C60" t="s">
        <v>103</v>
      </c>
      <c r="D60" t="s">
        <v>63</v>
      </c>
      <c r="E60">
        <v>0.21170900000000001</v>
      </c>
    </row>
    <row r="61" spans="2:6" x14ac:dyDescent="0.45">
      <c r="B61">
        <v>179</v>
      </c>
      <c r="C61" t="s">
        <v>104</v>
      </c>
      <c r="D61" t="s">
        <v>63</v>
      </c>
      <c r="E61">
        <v>0.187281</v>
      </c>
    </row>
    <row r="62" spans="2:6" x14ac:dyDescent="0.45">
      <c r="B62">
        <v>99</v>
      </c>
      <c r="C62" t="s">
        <v>105</v>
      </c>
      <c r="D62" t="s">
        <v>63</v>
      </c>
      <c r="E62">
        <v>1</v>
      </c>
    </row>
    <row r="63" spans="2:6" x14ac:dyDescent="0.45">
      <c r="B63">
        <v>-1</v>
      </c>
    </row>
    <row r="64" spans="2:6" x14ac:dyDescent="0.45">
      <c r="B64">
        <v>1568</v>
      </c>
      <c r="C64" s="22">
        <v>-2400.4189012699999</v>
      </c>
      <c r="D64" s="22">
        <v>-2733.2167146199999</v>
      </c>
      <c r="E64" s="22">
        <v>-1931.66104036</v>
      </c>
    </row>
    <row r="65" spans="2:11" x14ac:dyDescent="0.45">
      <c r="B65">
        <v>14</v>
      </c>
      <c r="C65" t="s">
        <v>309</v>
      </c>
      <c r="D65" t="s">
        <v>227</v>
      </c>
      <c r="E65">
        <v>2</v>
      </c>
      <c r="F65" t="s">
        <v>305</v>
      </c>
      <c r="G65">
        <v>12</v>
      </c>
    </row>
    <row r="66" spans="2:11" x14ac:dyDescent="0.4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4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45">
      <c r="B68">
        <v>-21428</v>
      </c>
      <c r="C68">
        <v>3593</v>
      </c>
      <c r="D68">
        <v>14939</v>
      </c>
      <c r="E68" s="22">
        <v>-11794</v>
      </c>
      <c r="F68" s="22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4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45">
      <c r="B70">
        <v>-31448</v>
      </c>
      <c r="C70" s="22">
        <v>-58833</v>
      </c>
      <c r="D70" s="22">
        <v>24091</v>
      </c>
      <c r="E70" s="22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4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4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4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4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4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4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4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45">
      <c r="B78">
        <v>2294</v>
      </c>
      <c r="C78">
        <v>-33252</v>
      </c>
      <c r="D78">
        <v>27333</v>
      </c>
      <c r="E78">
        <v>4972</v>
      </c>
      <c r="F78" s="22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4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45">
      <c r="B80">
        <v>24103</v>
      </c>
      <c r="C80" s="22">
        <v>20263</v>
      </c>
      <c r="D80" s="22">
        <v>-14845</v>
      </c>
      <c r="E80" s="22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4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4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4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4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4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4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4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4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4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4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4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4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4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4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4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4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4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4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4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4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4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4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4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4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4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4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4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4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4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4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4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4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4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4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4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4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4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4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4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4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4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4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4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4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4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4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4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4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4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4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4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4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4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4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4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4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4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4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4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4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4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4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4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4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4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4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4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4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4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4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4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45">
      <c r="B152">
        <v>-31742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-12062</v>
      </c>
      <c r="D156">
        <v>-25144</v>
      </c>
      <c r="E156">
        <v>23614</v>
      </c>
      <c r="F156">
        <v>0</v>
      </c>
      <c r="G156">
        <v>7764</v>
      </c>
      <c r="H156">
        <v>13386</v>
      </c>
      <c r="I156">
        <v>-15139</v>
      </c>
      <c r="J156">
        <v>-7765</v>
      </c>
      <c r="K156">
        <v>0</v>
      </c>
    </row>
    <row r="157" spans="2:11" x14ac:dyDescent="0.45">
      <c r="B157">
        <v>-18636</v>
      </c>
      <c r="C157">
        <v>0</v>
      </c>
      <c r="D157">
        <v>-10814</v>
      </c>
      <c r="E157">
        <v>8691</v>
      </c>
      <c r="F157">
        <v>6275</v>
      </c>
      <c r="G157">
        <v>-9710</v>
      </c>
      <c r="H157">
        <v>9146</v>
      </c>
      <c r="I157">
        <v>1972</v>
      </c>
      <c r="J157">
        <v>6983</v>
      </c>
      <c r="K157">
        <v>0</v>
      </c>
    </row>
    <row r="158" spans="2:11" x14ac:dyDescent="0.45">
      <c r="B158">
        <v>-24154</v>
      </c>
      <c r="C158">
        <v>18273</v>
      </c>
      <c r="D158">
        <v>0</v>
      </c>
      <c r="E158">
        <v>0</v>
      </c>
      <c r="F158">
        <v>24978</v>
      </c>
      <c r="G158">
        <v>16737</v>
      </c>
      <c r="H158">
        <v>0</v>
      </c>
      <c r="I158">
        <v>-19181</v>
      </c>
      <c r="J158">
        <v>-19568</v>
      </c>
      <c r="K158">
        <v>24163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-7318</v>
      </c>
      <c r="K159">
        <v>0</v>
      </c>
    </row>
    <row r="160" spans="2:11" x14ac:dyDescent="0.45">
      <c r="B160">
        <v>15019</v>
      </c>
      <c r="C160">
        <v>21177</v>
      </c>
      <c r="D160">
        <v>-24434</v>
      </c>
      <c r="E160">
        <v>0</v>
      </c>
      <c r="F160">
        <v>10910</v>
      </c>
      <c r="G160">
        <v>-26503</v>
      </c>
      <c r="H160">
        <v>21512</v>
      </c>
      <c r="I160">
        <v>18474</v>
      </c>
      <c r="J160">
        <v>0</v>
      </c>
      <c r="K160">
        <v>17891</v>
      </c>
    </row>
    <row r="161" spans="2:11" x14ac:dyDescent="0.45">
      <c r="B161">
        <v>0</v>
      </c>
      <c r="C161">
        <v>-20828</v>
      </c>
      <c r="D161">
        <v>-7046</v>
      </c>
      <c r="E161">
        <v>-14578</v>
      </c>
      <c r="F161">
        <v>-21982</v>
      </c>
      <c r="G161">
        <v>-10343</v>
      </c>
      <c r="H161">
        <v>-4604</v>
      </c>
      <c r="I161">
        <v>9147</v>
      </c>
      <c r="J161">
        <v>0</v>
      </c>
      <c r="K161">
        <v>-8266</v>
      </c>
    </row>
    <row r="162" spans="2:11" x14ac:dyDescent="0.45">
      <c r="B162">
        <v>-14443</v>
      </c>
      <c r="C162">
        <v>0</v>
      </c>
      <c r="D162">
        <v>0</v>
      </c>
      <c r="E162">
        <v>-17271</v>
      </c>
      <c r="F162">
        <v>-11839</v>
      </c>
      <c r="G162">
        <v>0</v>
      </c>
      <c r="H162">
        <v>26956</v>
      </c>
      <c r="I162">
        <v>24532</v>
      </c>
      <c r="J162">
        <v>-23714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19441</v>
      </c>
      <c r="J163">
        <v>0</v>
      </c>
      <c r="K163">
        <v>-8628</v>
      </c>
    </row>
    <row r="164" spans="2:11" x14ac:dyDescent="0.45">
      <c r="B164">
        <v>915</v>
      </c>
      <c r="C164">
        <v>25511</v>
      </c>
      <c r="D164">
        <v>-30732</v>
      </c>
      <c r="E164">
        <v>0</v>
      </c>
      <c r="F164">
        <v>11203</v>
      </c>
      <c r="G164">
        <v>-16466</v>
      </c>
      <c r="H164">
        <v>17874</v>
      </c>
      <c r="I164">
        <v>11659</v>
      </c>
      <c r="J164">
        <v>0</v>
      </c>
      <c r="K164">
        <v>30583</v>
      </c>
    </row>
    <row r="165" spans="2:11" x14ac:dyDescent="0.45">
      <c r="B165">
        <v>0</v>
      </c>
      <c r="C165">
        <v>-4737</v>
      </c>
      <c r="D165">
        <v>-5600</v>
      </c>
      <c r="E165">
        <v>-15203</v>
      </c>
      <c r="F165">
        <v>-5990</v>
      </c>
      <c r="G165">
        <v>-14832</v>
      </c>
      <c r="H165">
        <v>-1754</v>
      </c>
      <c r="I165">
        <v>7629</v>
      </c>
      <c r="J165">
        <v>0</v>
      </c>
      <c r="K165">
        <v>18636</v>
      </c>
    </row>
    <row r="166" spans="2:11" x14ac:dyDescent="0.45">
      <c r="B166">
        <v>-21265</v>
      </c>
      <c r="C166">
        <v>0</v>
      </c>
      <c r="D166">
        <v>0</v>
      </c>
      <c r="E166">
        <v>-26501</v>
      </c>
      <c r="F166">
        <v>-14725</v>
      </c>
      <c r="G166">
        <v>0</v>
      </c>
      <c r="H166">
        <v>34758</v>
      </c>
      <c r="I166">
        <v>32717</v>
      </c>
      <c r="J166">
        <v>-22863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5470</v>
      </c>
      <c r="J167">
        <v>0</v>
      </c>
      <c r="K167">
        <v>32730</v>
      </c>
    </row>
    <row r="168" spans="2:11" x14ac:dyDescent="0.45">
      <c r="B168">
        <v>23335</v>
      </c>
      <c r="C168">
        <v>9904</v>
      </c>
      <c r="D168">
        <v>23042</v>
      </c>
      <c r="E168">
        <v>-26922</v>
      </c>
      <c r="F168">
        <v>0</v>
      </c>
      <c r="G168">
        <v>13969</v>
      </c>
      <c r="H168">
        <v>-29156</v>
      </c>
      <c r="I168">
        <v>22563</v>
      </c>
      <c r="J168">
        <v>17961</v>
      </c>
      <c r="K168">
        <v>0</v>
      </c>
    </row>
    <row r="169" spans="2:11" x14ac:dyDescent="0.45">
      <c r="B169">
        <v>22222</v>
      </c>
      <c r="C169">
        <v>0</v>
      </c>
      <c r="D169">
        <v>-27224</v>
      </c>
      <c r="E169">
        <v>-4284</v>
      </c>
      <c r="F169">
        <v>-15451</v>
      </c>
      <c r="G169">
        <v>-28379</v>
      </c>
      <c r="H169">
        <v>-11238</v>
      </c>
      <c r="I169">
        <v>-2747</v>
      </c>
      <c r="J169">
        <v>10879</v>
      </c>
      <c r="K169">
        <v>0</v>
      </c>
    </row>
    <row r="170" spans="2:11" x14ac:dyDescent="0.45">
      <c r="B170">
        <v>3631</v>
      </c>
      <c r="C170">
        <v>-17728</v>
      </c>
      <c r="D170">
        <v>0</v>
      </c>
      <c r="E170">
        <v>0</v>
      </c>
      <c r="F170">
        <v>-24929</v>
      </c>
      <c r="G170">
        <v>-13819</v>
      </c>
      <c r="H170">
        <v>0</v>
      </c>
      <c r="I170">
        <v>34338</v>
      </c>
      <c r="J170">
        <v>30493</v>
      </c>
      <c r="K170">
        <v>-26608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22695</v>
      </c>
      <c r="K171">
        <v>0</v>
      </c>
    </row>
    <row r="172" spans="2:11" x14ac:dyDescent="0.45">
      <c r="B172">
        <v>3401</v>
      </c>
      <c r="C172">
        <v>84950</v>
      </c>
      <c r="D172">
        <v>28484</v>
      </c>
      <c r="E172">
        <v>-13085</v>
      </c>
      <c r="F172">
        <v>11170</v>
      </c>
      <c r="G172">
        <v>-8571</v>
      </c>
      <c r="H172">
        <v>0</v>
      </c>
      <c r="I172">
        <v>101</v>
      </c>
      <c r="J172">
        <v>-3187</v>
      </c>
      <c r="K172">
        <v>8673</v>
      </c>
    </row>
    <row r="173" spans="2:11" x14ac:dyDescent="0.45">
      <c r="B173">
        <v>1647</v>
      </c>
      <c r="C173">
        <v>0</v>
      </c>
      <c r="D173">
        <v>11301</v>
      </c>
      <c r="E173">
        <v>0</v>
      </c>
      <c r="F173">
        <v>2563</v>
      </c>
      <c r="G173">
        <v>-2695</v>
      </c>
      <c r="H173">
        <v>-1566</v>
      </c>
      <c r="I173">
        <v>1790</v>
      </c>
      <c r="J173">
        <v>-4591</v>
      </c>
      <c r="K173">
        <v>-1256</v>
      </c>
    </row>
    <row r="174" spans="2:11" x14ac:dyDescent="0.45">
      <c r="B174">
        <v>-1516</v>
      </c>
      <c r="C174">
        <v>0</v>
      </c>
      <c r="D174">
        <v>5529</v>
      </c>
      <c r="E174">
        <v>-8000</v>
      </c>
      <c r="F174">
        <v>0</v>
      </c>
      <c r="G174">
        <v>0</v>
      </c>
      <c r="H174">
        <v>-6117</v>
      </c>
      <c r="I174">
        <v>-36710</v>
      </c>
      <c r="J174">
        <v>0</v>
      </c>
      <c r="K174">
        <v>5963</v>
      </c>
    </row>
    <row r="175" spans="2:11" x14ac:dyDescent="0.45">
      <c r="B175">
        <v>12594</v>
      </c>
      <c r="C175">
        <v>-6085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-165</v>
      </c>
      <c r="C176">
        <v>0</v>
      </c>
      <c r="D176">
        <v>-5068</v>
      </c>
      <c r="E176">
        <v>-4084</v>
      </c>
      <c r="F176">
        <v>745</v>
      </c>
      <c r="G176">
        <v>-2997</v>
      </c>
      <c r="H176">
        <v>2717</v>
      </c>
      <c r="I176">
        <v>4311</v>
      </c>
      <c r="J176">
        <v>1414</v>
      </c>
      <c r="K176">
        <v>0</v>
      </c>
    </row>
    <row r="177" spans="2:11" x14ac:dyDescent="0.45">
      <c r="B177">
        <v>-3749</v>
      </c>
      <c r="C177">
        <v>6208</v>
      </c>
      <c r="D177">
        <v>-5800</v>
      </c>
      <c r="E177">
        <v>-5512</v>
      </c>
      <c r="F177">
        <v>0</v>
      </c>
      <c r="G177">
        <v>-5070</v>
      </c>
      <c r="H177">
        <v>0</v>
      </c>
      <c r="I177">
        <v>-5226</v>
      </c>
      <c r="J177">
        <v>700</v>
      </c>
      <c r="K177">
        <v>2414</v>
      </c>
    </row>
    <row r="178" spans="2:11" x14ac:dyDescent="0.45">
      <c r="B178">
        <v>-5058</v>
      </c>
      <c r="C178">
        <v>1976</v>
      </c>
      <c r="D178">
        <v>-10591</v>
      </c>
      <c r="E178">
        <v>1674</v>
      </c>
      <c r="F178">
        <v>0</v>
      </c>
      <c r="G178">
        <v>-7298</v>
      </c>
      <c r="H178">
        <v>5306</v>
      </c>
      <c r="I178">
        <v>0</v>
      </c>
      <c r="J178">
        <v>0</v>
      </c>
      <c r="K178">
        <v>2695</v>
      </c>
    </row>
    <row r="179" spans="2:11" x14ac:dyDescent="0.45">
      <c r="B179">
        <v>-38249</v>
      </c>
      <c r="C179">
        <v>0</v>
      </c>
      <c r="D179">
        <v>-8062</v>
      </c>
      <c r="E179">
        <v>-4210</v>
      </c>
      <c r="F179">
        <v>3019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76</v>
      </c>
      <c r="F180">
        <v>0</v>
      </c>
      <c r="G180">
        <v>2715</v>
      </c>
      <c r="H180">
        <v>-5771</v>
      </c>
      <c r="I180">
        <v>-507</v>
      </c>
      <c r="J180">
        <v>-6269</v>
      </c>
      <c r="K180">
        <v>-9502</v>
      </c>
    </row>
    <row r="181" spans="2:11" x14ac:dyDescent="0.45">
      <c r="B181">
        <v>6588</v>
      </c>
      <c r="C181">
        <v>657</v>
      </c>
      <c r="D181">
        <v>-3181</v>
      </c>
      <c r="E181">
        <v>0</v>
      </c>
      <c r="F181">
        <v>834</v>
      </c>
      <c r="G181">
        <v>-1650</v>
      </c>
      <c r="H181">
        <v>-2753</v>
      </c>
      <c r="I181">
        <v>5397</v>
      </c>
      <c r="J181">
        <v>0</v>
      </c>
      <c r="K181">
        <v>-31</v>
      </c>
    </row>
    <row r="182" spans="2:11" x14ac:dyDescent="0.45">
      <c r="B182">
        <v>0</v>
      </c>
      <c r="C182">
        <v>-3052</v>
      </c>
      <c r="D182">
        <v>-2520</v>
      </c>
      <c r="E182">
        <v>-1094</v>
      </c>
      <c r="F182">
        <v>-2919</v>
      </c>
      <c r="G182">
        <v>-3302</v>
      </c>
      <c r="H182">
        <v>1798</v>
      </c>
      <c r="I182">
        <v>-6499</v>
      </c>
      <c r="J182">
        <v>0</v>
      </c>
      <c r="K182">
        <v>-2146</v>
      </c>
    </row>
    <row r="183" spans="2:11" x14ac:dyDescent="0.45">
      <c r="B183">
        <v>481</v>
      </c>
      <c r="C183">
        <v>0</v>
      </c>
      <c r="D183">
        <v>0</v>
      </c>
      <c r="E183">
        <v>-274</v>
      </c>
      <c r="F183">
        <v>4865</v>
      </c>
      <c r="G183">
        <v>0</v>
      </c>
      <c r="H183">
        <v>3327</v>
      </c>
      <c r="I183">
        <v>1692</v>
      </c>
      <c r="J183">
        <v>-2224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-2054</v>
      </c>
      <c r="J184">
        <v>0</v>
      </c>
      <c r="K184">
        <v>-1268</v>
      </c>
    </row>
    <row r="185" spans="2:11" x14ac:dyDescent="0.45">
      <c r="B185">
        <v>8409</v>
      </c>
      <c r="C185">
        <v>-369</v>
      </c>
      <c r="D185">
        <v>7767</v>
      </c>
      <c r="E185">
        <v>-33950</v>
      </c>
      <c r="F185">
        <v>-31069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-28798</v>
      </c>
      <c r="D190">
        <v>16462</v>
      </c>
      <c r="E190">
        <v>-19725</v>
      </c>
      <c r="F190">
        <v>0</v>
      </c>
      <c r="G190">
        <v>5257</v>
      </c>
      <c r="H190">
        <v>-19343</v>
      </c>
      <c r="I190">
        <v>27355</v>
      </c>
      <c r="J190">
        <v>6089</v>
      </c>
      <c r="K190">
        <v>0</v>
      </c>
    </row>
    <row r="191" spans="2:11" x14ac:dyDescent="0.45">
      <c r="B191">
        <v>20301</v>
      </c>
      <c r="C191">
        <v>0</v>
      </c>
      <c r="D191">
        <v>1115</v>
      </c>
      <c r="E191">
        <v>-3542</v>
      </c>
      <c r="F191">
        <v>-1780</v>
      </c>
      <c r="G191">
        <v>-704</v>
      </c>
      <c r="H191">
        <v>-4613</v>
      </c>
      <c r="I191">
        <v>3050</v>
      </c>
      <c r="J191">
        <v>1863</v>
      </c>
      <c r="K191">
        <v>0</v>
      </c>
    </row>
    <row r="192" spans="2:11" x14ac:dyDescent="0.45">
      <c r="B192">
        <v>11043</v>
      </c>
      <c r="C192">
        <v>-22836</v>
      </c>
      <c r="D192">
        <v>0</v>
      </c>
      <c r="E192">
        <v>0</v>
      </c>
      <c r="F192">
        <v>-13511</v>
      </c>
      <c r="G192">
        <v>-38738</v>
      </c>
      <c r="H192">
        <v>0</v>
      </c>
      <c r="I192">
        <v>10470</v>
      </c>
      <c r="J192">
        <v>19964</v>
      </c>
      <c r="K192">
        <v>-19218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15427</v>
      </c>
      <c r="K193">
        <v>0</v>
      </c>
    </row>
    <row r="194" spans="2:11" x14ac:dyDescent="0.45">
      <c r="B194">
        <v>-8604</v>
      </c>
      <c r="C194">
        <v>6385</v>
      </c>
      <c r="D194">
        <v>4727</v>
      </c>
      <c r="E194">
        <v>8336</v>
      </c>
      <c r="F194">
        <v>17643</v>
      </c>
      <c r="G194">
        <v>-27868</v>
      </c>
      <c r="H194">
        <v>4798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-13731</v>
      </c>
      <c r="I241">
        <v>-85252</v>
      </c>
      <c r="J241">
        <v>87996</v>
      </c>
      <c r="K241">
        <v>0</v>
      </c>
    </row>
    <row r="242" spans="2:11" x14ac:dyDescent="0.45">
      <c r="B242">
        <v>5550</v>
      </c>
      <c r="C242">
        <v>48257</v>
      </c>
      <c r="D242">
        <v>-55674</v>
      </c>
      <c r="E242">
        <v>-36077</v>
      </c>
      <c r="F242">
        <v>0</v>
      </c>
      <c r="G242">
        <v>-74834</v>
      </c>
      <c r="H242">
        <v>0</v>
      </c>
      <c r="I242">
        <v>-15350</v>
      </c>
      <c r="J242">
        <v>30406</v>
      </c>
      <c r="K242">
        <v>37167</v>
      </c>
    </row>
    <row r="243" spans="2:11" x14ac:dyDescent="0.45">
      <c r="B243">
        <v>-10557</v>
      </c>
      <c r="C243">
        <v>37146</v>
      </c>
      <c r="D243">
        <v>8925</v>
      </c>
      <c r="E243">
        <v>-2427</v>
      </c>
      <c r="F243">
        <v>0</v>
      </c>
      <c r="G243">
        <v>-52707</v>
      </c>
      <c r="H243">
        <v>56493</v>
      </c>
      <c r="I243">
        <v>0</v>
      </c>
      <c r="J243">
        <v>0</v>
      </c>
      <c r="K243">
        <v>67315</v>
      </c>
    </row>
    <row r="244" spans="2:11" x14ac:dyDescent="0.45">
      <c r="B244">
        <v>54025</v>
      </c>
      <c r="C244">
        <v>0</v>
      </c>
      <c r="D244">
        <v>-77957</v>
      </c>
      <c r="E244">
        <v>-77743</v>
      </c>
      <c r="F244">
        <v>75978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-19316</v>
      </c>
      <c r="F245">
        <v>0</v>
      </c>
      <c r="G245">
        <v>28392</v>
      </c>
      <c r="H245">
        <v>-27566</v>
      </c>
      <c r="I245">
        <v>-32547</v>
      </c>
      <c r="J245">
        <v>-29729</v>
      </c>
      <c r="K245">
        <v>-9876</v>
      </c>
    </row>
    <row r="246" spans="2:11" x14ac:dyDescent="0.45">
      <c r="B246">
        <v>4729</v>
      </c>
      <c r="C246">
        <v>-2455</v>
      </c>
      <c r="D246">
        <v>0</v>
      </c>
      <c r="E246">
        <v>-23461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L47"/>
  <sheetViews>
    <sheetView workbookViewId="0">
      <selection activeCell="C26" sqref="C26"/>
    </sheetView>
  </sheetViews>
  <sheetFormatPr defaultRowHeight="14.25" x14ac:dyDescent="0.45"/>
  <sheetData>
    <row r="1" spans="1:11" x14ac:dyDescent="0.4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45">
      <c r="A2" s="29">
        <v>1</v>
      </c>
      <c r="B2" s="29" t="s">
        <v>286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4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4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4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4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45">
      <c r="A8" t="s">
        <v>193</v>
      </c>
      <c r="B8" t="s">
        <v>220</v>
      </c>
      <c r="C8" t="s">
        <v>221</v>
      </c>
      <c r="D8" t="s">
        <v>222</v>
      </c>
    </row>
    <row r="9" spans="1:11" x14ac:dyDescent="0.4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0.64333333333333331</v>
      </c>
      <c r="G9" t="s">
        <v>227</v>
      </c>
      <c r="H9">
        <v>2</v>
      </c>
      <c r="I9" t="s">
        <v>305</v>
      </c>
      <c r="J9">
        <v>12</v>
      </c>
    </row>
    <row r="10" spans="1:11" x14ac:dyDescent="0.45">
      <c r="A10" t="s">
        <v>228</v>
      </c>
    </row>
    <row r="11" spans="1:11" x14ac:dyDescent="0.45">
      <c r="B11">
        <v>2</v>
      </c>
      <c r="C11" t="s">
        <v>64</v>
      </c>
      <c r="D11" t="s">
        <v>63</v>
      </c>
      <c r="E11">
        <v>3.3415951050000001</v>
      </c>
    </row>
    <row r="12" spans="1:11" x14ac:dyDescent="0.45">
      <c r="B12">
        <v>30</v>
      </c>
      <c r="C12" t="s">
        <v>75</v>
      </c>
      <c r="D12" t="s">
        <v>63</v>
      </c>
      <c r="E12">
        <v>-2.5112174031630001</v>
      </c>
    </row>
    <row r="13" spans="1:11" x14ac:dyDescent="0.45">
      <c r="B13">
        <v>31</v>
      </c>
      <c r="C13" t="s">
        <v>133</v>
      </c>
      <c r="D13" t="s">
        <v>63</v>
      </c>
      <c r="E13">
        <v>1.166803974</v>
      </c>
      <c r="F13" s="22"/>
    </row>
    <row r="14" spans="1:11" x14ac:dyDescent="0.45">
      <c r="B14">
        <v>32</v>
      </c>
      <c r="C14" t="s">
        <v>134</v>
      </c>
      <c r="D14" t="s">
        <v>63</v>
      </c>
      <c r="E14">
        <v>0.48228420700000002</v>
      </c>
      <c r="F14" s="22"/>
    </row>
    <row r="15" spans="1:11" x14ac:dyDescent="0.45">
      <c r="B15">
        <v>33</v>
      </c>
      <c r="C15" t="s">
        <v>135</v>
      </c>
      <c r="D15" t="s">
        <v>63</v>
      </c>
      <c r="E15" s="22">
        <v>7.7733427999999993E-2</v>
      </c>
    </row>
    <row r="16" spans="1:11" x14ac:dyDescent="0.45">
      <c r="B16">
        <v>36</v>
      </c>
      <c r="C16" t="s">
        <v>260</v>
      </c>
      <c r="D16" t="s">
        <v>63</v>
      </c>
      <c r="E16">
        <v>1.4574897382180001</v>
      </c>
    </row>
    <row r="17" spans="2:6" x14ac:dyDescent="0.45">
      <c r="B17">
        <v>37</v>
      </c>
      <c r="C17" t="s">
        <v>261</v>
      </c>
      <c r="D17" t="s">
        <v>63</v>
      </c>
      <c r="E17">
        <v>-0.271572152663</v>
      </c>
    </row>
    <row r="18" spans="2:6" x14ac:dyDescent="0.45">
      <c r="B18">
        <v>40</v>
      </c>
      <c r="C18" t="s">
        <v>78</v>
      </c>
      <c r="D18" t="s">
        <v>63</v>
      </c>
      <c r="E18" s="22">
        <v>-1.6429440483269999</v>
      </c>
    </row>
    <row r="19" spans="2:6" x14ac:dyDescent="0.45">
      <c r="B19">
        <v>41</v>
      </c>
      <c r="C19" t="s">
        <v>79</v>
      </c>
      <c r="D19" t="s">
        <v>72</v>
      </c>
      <c r="E19">
        <v>-6.1146910156400001</v>
      </c>
    </row>
    <row r="20" spans="2:6" x14ac:dyDescent="0.45">
      <c r="B20">
        <v>42</v>
      </c>
      <c r="C20" t="s">
        <v>136</v>
      </c>
      <c r="D20" t="s">
        <v>63</v>
      </c>
      <c r="E20" s="22">
        <v>0.121738261781</v>
      </c>
    </row>
    <row r="21" spans="2:6" x14ac:dyDescent="0.45">
      <c r="B21">
        <v>50</v>
      </c>
      <c r="C21" t="s">
        <v>83</v>
      </c>
      <c r="D21" t="s">
        <v>72</v>
      </c>
      <c r="E21">
        <v>-9.42291722515</v>
      </c>
    </row>
    <row r="22" spans="2:6" x14ac:dyDescent="0.45">
      <c r="B22">
        <v>52</v>
      </c>
      <c r="C22" t="s">
        <v>84</v>
      </c>
      <c r="D22" t="s">
        <v>63</v>
      </c>
      <c r="E22" s="22">
        <v>-1.2907770727600001</v>
      </c>
      <c r="F22" s="22"/>
    </row>
    <row r="23" spans="2:6" x14ac:dyDescent="0.45">
      <c r="B23">
        <v>60</v>
      </c>
      <c r="C23" t="s">
        <v>88</v>
      </c>
      <c r="D23" t="s">
        <v>72</v>
      </c>
      <c r="E23">
        <v>-15</v>
      </c>
    </row>
    <row r="24" spans="2:6" x14ac:dyDescent="0.45">
      <c r="B24">
        <v>67</v>
      </c>
      <c r="C24" t="s">
        <v>262</v>
      </c>
      <c r="D24" t="s">
        <v>63</v>
      </c>
      <c r="E24" s="22">
        <v>0</v>
      </c>
    </row>
    <row r="25" spans="2:6" x14ac:dyDescent="0.45">
      <c r="B25">
        <v>68</v>
      </c>
      <c r="C25" t="s">
        <v>263</v>
      </c>
      <c r="D25" t="s">
        <v>63</v>
      </c>
      <c r="E25">
        <v>0</v>
      </c>
    </row>
    <row r="26" spans="2:6" x14ac:dyDescent="0.45">
      <c r="B26">
        <v>70</v>
      </c>
      <c r="C26" t="s">
        <v>264</v>
      </c>
      <c r="D26" t="s">
        <v>63</v>
      </c>
      <c r="E26">
        <v>-7.2110841533E-2</v>
      </c>
      <c r="F26" s="22"/>
    </row>
    <row r="27" spans="2:6" x14ac:dyDescent="0.45">
      <c r="B27">
        <v>73</v>
      </c>
      <c r="C27" s="22" t="s">
        <v>138</v>
      </c>
      <c r="D27" s="22" t="s">
        <v>63</v>
      </c>
      <c r="E27" s="22">
        <v>-2.3805019629999999</v>
      </c>
    </row>
    <row r="28" spans="2:6" x14ac:dyDescent="0.45">
      <c r="B28">
        <v>76</v>
      </c>
      <c r="C28" s="22" t="s">
        <v>139</v>
      </c>
      <c r="D28" s="22" t="s">
        <v>63</v>
      </c>
      <c r="E28" s="22">
        <v>1.5103600000000001E-3</v>
      </c>
      <c r="F28" s="22"/>
    </row>
    <row r="29" spans="2:6" x14ac:dyDescent="0.45">
      <c r="B29">
        <v>77</v>
      </c>
      <c r="C29" t="s">
        <v>265</v>
      </c>
      <c r="D29" t="s">
        <v>63</v>
      </c>
      <c r="E29" s="22">
        <v>1.2149093918210001</v>
      </c>
      <c r="F29" s="22"/>
    </row>
    <row r="30" spans="2:6" x14ac:dyDescent="0.45">
      <c r="B30">
        <v>78</v>
      </c>
      <c r="C30" t="s">
        <v>266</v>
      </c>
      <c r="D30" t="s">
        <v>63</v>
      </c>
      <c r="E30">
        <v>1.650016479871</v>
      </c>
    </row>
    <row r="31" spans="2:6" x14ac:dyDescent="0.45">
      <c r="B31">
        <v>81</v>
      </c>
      <c r="C31" t="s">
        <v>140</v>
      </c>
      <c r="D31" t="s">
        <v>63</v>
      </c>
      <c r="E31">
        <v>0.91500335799999999</v>
      </c>
    </row>
    <row r="32" spans="2:6" x14ac:dyDescent="0.45">
      <c r="B32">
        <v>82</v>
      </c>
      <c r="C32" t="s">
        <v>141</v>
      </c>
      <c r="D32" t="s">
        <v>63</v>
      </c>
      <c r="E32" s="22">
        <v>-2.7232830999999999E-2</v>
      </c>
    </row>
    <row r="33" spans="2:11" x14ac:dyDescent="0.45">
      <c r="B33">
        <v>83</v>
      </c>
      <c r="C33" t="s">
        <v>142</v>
      </c>
      <c r="D33" t="s">
        <v>63</v>
      </c>
      <c r="E33">
        <v>-1.4154841929999999</v>
      </c>
    </row>
    <row r="34" spans="2:11" x14ac:dyDescent="0.45">
      <c r="B34">
        <v>-1</v>
      </c>
    </row>
    <row r="35" spans="2:11" x14ac:dyDescent="0.45">
      <c r="B35">
        <v>1432</v>
      </c>
      <c r="C35" s="22">
        <v>-1248.0425607699999</v>
      </c>
      <c r="D35" s="22">
        <v>-2225.6358047399999</v>
      </c>
      <c r="E35" s="22">
        <v>-1113.99388909</v>
      </c>
    </row>
    <row r="36" spans="2:11" x14ac:dyDescent="0.45">
      <c r="B36">
        <v>8</v>
      </c>
      <c r="C36" s="22" t="s">
        <v>310</v>
      </c>
      <c r="D36" s="22" t="s">
        <v>227</v>
      </c>
      <c r="E36" s="22">
        <v>2</v>
      </c>
      <c r="F36" t="s">
        <v>305</v>
      </c>
      <c r="G36">
        <v>12</v>
      </c>
    </row>
    <row r="37" spans="2:11" x14ac:dyDescent="0.4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4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4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4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4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4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4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4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4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4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4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L273"/>
  <sheetViews>
    <sheetView workbookViewId="0">
      <selection activeCell="A8" sqref="A8:K166"/>
    </sheetView>
  </sheetViews>
  <sheetFormatPr defaultRowHeight="14.25" x14ac:dyDescent="0.45"/>
  <sheetData>
    <row r="1" spans="1:11" x14ac:dyDescent="0.4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45">
      <c r="A2" s="29">
        <v>1</v>
      </c>
      <c r="B2" s="29" t="s">
        <v>283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4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4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4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4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45">
      <c r="A8" t="s">
        <v>194</v>
      </c>
      <c r="B8" t="s">
        <v>230</v>
      </c>
      <c r="C8" t="s">
        <v>220</v>
      </c>
      <c r="D8" t="s">
        <v>221</v>
      </c>
      <c r="E8" t="s">
        <v>222</v>
      </c>
    </row>
    <row r="9" spans="1:11" x14ac:dyDescent="0.4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0.64185185185185178</v>
      </c>
      <c r="G9" t="s">
        <v>227</v>
      </c>
      <c r="H9">
        <v>2</v>
      </c>
      <c r="I9" t="s">
        <v>305</v>
      </c>
      <c r="J9">
        <v>12</v>
      </c>
    </row>
    <row r="10" spans="1:11" x14ac:dyDescent="0.45">
      <c r="A10" t="s">
        <v>228</v>
      </c>
    </row>
    <row r="11" spans="1:11" x14ac:dyDescent="0.45">
      <c r="B11">
        <v>1</v>
      </c>
      <c r="C11" t="s">
        <v>62</v>
      </c>
      <c r="D11" t="s">
        <v>63</v>
      </c>
      <c r="E11">
        <v>0.37910550300000001</v>
      </c>
      <c r="F11" s="22"/>
    </row>
    <row r="12" spans="1:11" x14ac:dyDescent="0.45">
      <c r="B12">
        <v>2</v>
      </c>
      <c r="C12" t="s">
        <v>64</v>
      </c>
      <c r="D12" t="s">
        <v>63</v>
      </c>
      <c r="E12">
        <v>2.0186908849999998</v>
      </c>
      <c r="F12" s="22"/>
    </row>
    <row r="13" spans="1:11" x14ac:dyDescent="0.45">
      <c r="B13">
        <v>20</v>
      </c>
      <c r="C13" t="s">
        <v>68</v>
      </c>
      <c r="D13" t="s">
        <v>63</v>
      </c>
      <c r="E13">
        <v>-7.0570794522</v>
      </c>
    </row>
    <row r="14" spans="1:11" x14ac:dyDescent="0.45">
      <c r="B14">
        <v>21</v>
      </c>
      <c r="C14" t="s">
        <v>69</v>
      </c>
      <c r="D14" t="s">
        <v>63</v>
      </c>
      <c r="E14">
        <v>4.0065310419979996</v>
      </c>
    </row>
    <row r="15" spans="1:11" x14ac:dyDescent="0.45">
      <c r="B15">
        <v>22</v>
      </c>
      <c r="C15" t="s">
        <v>70</v>
      </c>
      <c r="D15" t="s">
        <v>63</v>
      </c>
      <c r="E15" s="22">
        <v>8.4805857060999995E-2</v>
      </c>
    </row>
    <row r="16" spans="1:11" x14ac:dyDescent="0.45">
      <c r="B16">
        <v>30</v>
      </c>
      <c r="C16" t="s">
        <v>75</v>
      </c>
      <c r="D16" t="s">
        <v>63</v>
      </c>
      <c r="E16" s="22">
        <v>-3.4827609567670001</v>
      </c>
      <c r="F16" s="22"/>
    </row>
    <row r="17" spans="2:6" x14ac:dyDescent="0.45">
      <c r="B17">
        <v>31</v>
      </c>
      <c r="C17" t="s">
        <v>153</v>
      </c>
      <c r="D17" t="s">
        <v>63</v>
      </c>
      <c r="E17" s="22">
        <v>0.59818794900000005</v>
      </c>
      <c r="F17" s="22"/>
    </row>
    <row r="18" spans="2:6" x14ac:dyDescent="0.45">
      <c r="B18">
        <v>32</v>
      </c>
      <c r="C18" t="s">
        <v>154</v>
      </c>
      <c r="D18" t="s">
        <v>63</v>
      </c>
      <c r="E18" s="22">
        <v>0.12634611800000001</v>
      </c>
      <c r="F18" s="22"/>
    </row>
    <row r="19" spans="2:6" x14ac:dyDescent="0.45">
      <c r="B19">
        <v>34</v>
      </c>
      <c r="C19" t="s">
        <v>171</v>
      </c>
      <c r="D19" t="s">
        <v>63</v>
      </c>
      <c r="E19" s="22">
        <v>0.18245742700000001</v>
      </c>
      <c r="F19" s="22"/>
    </row>
    <row r="20" spans="2:6" x14ac:dyDescent="0.45">
      <c r="B20">
        <v>35</v>
      </c>
      <c r="C20" t="s">
        <v>155</v>
      </c>
      <c r="D20" t="s">
        <v>63</v>
      </c>
      <c r="E20">
        <v>0.225107115</v>
      </c>
      <c r="F20" s="22"/>
    </row>
    <row r="21" spans="2:6" x14ac:dyDescent="0.45">
      <c r="B21">
        <v>36</v>
      </c>
      <c r="C21" t="s">
        <v>260</v>
      </c>
      <c r="D21" t="s">
        <v>63</v>
      </c>
      <c r="E21">
        <v>-0.31010245280999998</v>
      </c>
      <c r="F21" s="22"/>
    </row>
    <row r="22" spans="2:6" x14ac:dyDescent="0.45">
      <c r="B22">
        <v>37</v>
      </c>
      <c r="C22" t="s">
        <v>277</v>
      </c>
      <c r="D22" t="s">
        <v>63</v>
      </c>
      <c r="E22">
        <v>-2.5497656950660001</v>
      </c>
    </row>
    <row r="23" spans="2:6" x14ac:dyDescent="0.45">
      <c r="B23">
        <v>38</v>
      </c>
      <c r="C23" t="s">
        <v>156</v>
      </c>
      <c r="D23" t="s">
        <v>63</v>
      </c>
      <c r="E23">
        <v>-3.644945651</v>
      </c>
    </row>
    <row r="24" spans="2:6" x14ac:dyDescent="0.45">
      <c r="B24">
        <v>39</v>
      </c>
      <c r="C24" t="s">
        <v>76</v>
      </c>
      <c r="D24" t="s">
        <v>63</v>
      </c>
      <c r="E24" s="22">
        <v>-2.0456438239999999</v>
      </c>
      <c r="F24" s="22"/>
    </row>
    <row r="25" spans="2:6" x14ac:dyDescent="0.45">
      <c r="B25">
        <v>40</v>
      </c>
      <c r="C25" t="s">
        <v>78</v>
      </c>
      <c r="D25" t="s">
        <v>63</v>
      </c>
      <c r="E25">
        <v>-3.5509530513579999</v>
      </c>
      <c r="F25" s="22"/>
    </row>
    <row r="26" spans="2:6" x14ac:dyDescent="0.45">
      <c r="B26">
        <v>41</v>
      </c>
      <c r="C26" t="s">
        <v>79</v>
      </c>
      <c r="D26" t="s">
        <v>63</v>
      </c>
      <c r="E26">
        <v>-1.239876410653</v>
      </c>
    </row>
    <row r="27" spans="2:6" x14ac:dyDescent="0.45">
      <c r="B27">
        <v>43</v>
      </c>
      <c r="C27" t="s">
        <v>172</v>
      </c>
      <c r="D27" t="s">
        <v>63</v>
      </c>
      <c r="E27">
        <v>-0.18345831477899999</v>
      </c>
      <c r="F27" s="22"/>
    </row>
    <row r="28" spans="2:6" x14ac:dyDescent="0.45">
      <c r="B28">
        <v>48</v>
      </c>
      <c r="C28" t="s">
        <v>77</v>
      </c>
      <c r="D28" t="s">
        <v>63</v>
      </c>
      <c r="E28" s="22">
        <v>-2.1236838850000002</v>
      </c>
      <c r="F28" s="22"/>
    </row>
    <row r="29" spans="2:6" x14ac:dyDescent="0.45">
      <c r="B29">
        <v>50</v>
      </c>
      <c r="C29" t="s">
        <v>83</v>
      </c>
      <c r="D29" t="s">
        <v>63</v>
      </c>
      <c r="E29">
        <v>-1.7840383030589999</v>
      </c>
    </row>
    <row r="30" spans="2:6" x14ac:dyDescent="0.45">
      <c r="B30">
        <v>52</v>
      </c>
      <c r="C30" t="s">
        <v>84</v>
      </c>
      <c r="D30" t="s">
        <v>63</v>
      </c>
      <c r="E30">
        <v>-0.64206868482799995</v>
      </c>
      <c r="F30" s="22"/>
    </row>
    <row r="31" spans="2:6" x14ac:dyDescent="0.45">
      <c r="B31">
        <v>54</v>
      </c>
      <c r="C31" t="s">
        <v>173</v>
      </c>
      <c r="D31" t="s">
        <v>63</v>
      </c>
      <c r="E31">
        <v>0.114530954</v>
      </c>
      <c r="F31" s="22"/>
    </row>
    <row r="32" spans="2:6" x14ac:dyDescent="0.45">
      <c r="B32">
        <v>60</v>
      </c>
      <c r="C32" t="s">
        <v>88</v>
      </c>
      <c r="D32" t="s">
        <v>63</v>
      </c>
      <c r="E32" s="22">
        <v>-7.5273907482690001</v>
      </c>
      <c r="F32" s="22"/>
    </row>
    <row r="33" spans="2:6" x14ac:dyDescent="0.45">
      <c r="B33">
        <v>61</v>
      </c>
      <c r="C33" t="s">
        <v>89</v>
      </c>
      <c r="D33" t="s">
        <v>63</v>
      </c>
      <c r="E33">
        <v>1.0360071209999999</v>
      </c>
    </row>
    <row r="34" spans="2:6" x14ac:dyDescent="0.45">
      <c r="B34">
        <v>63</v>
      </c>
      <c r="C34" t="s">
        <v>158</v>
      </c>
      <c r="D34" t="s">
        <v>63</v>
      </c>
      <c r="E34">
        <v>-0.76682515699999998</v>
      </c>
    </row>
    <row r="35" spans="2:6" x14ac:dyDescent="0.45">
      <c r="B35">
        <v>67</v>
      </c>
      <c r="C35" t="s">
        <v>262</v>
      </c>
      <c r="D35" t="s">
        <v>63</v>
      </c>
      <c r="E35" s="22">
        <v>-1.5649802915</v>
      </c>
      <c r="F35" s="22"/>
    </row>
    <row r="36" spans="2:6" x14ac:dyDescent="0.45">
      <c r="B36">
        <v>68</v>
      </c>
      <c r="C36" t="s">
        <v>263</v>
      </c>
      <c r="D36" t="s">
        <v>63</v>
      </c>
      <c r="E36">
        <v>0.44391216245499998</v>
      </c>
    </row>
    <row r="37" spans="2:6" x14ac:dyDescent="0.45">
      <c r="B37">
        <v>70</v>
      </c>
      <c r="C37" t="s">
        <v>264</v>
      </c>
      <c r="D37" t="s">
        <v>63</v>
      </c>
      <c r="E37" s="22">
        <v>0</v>
      </c>
      <c r="F37" s="22"/>
    </row>
    <row r="38" spans="2:6" x14ac:dyDescent="0.45">
      <c r="B38">
        <v>73</v>
      </c>
      <c r="C38" t="s">
        <v>138</v>
      </c>
      <c r="D38" t="s">
        <v>63</v>
      </c>
      <c r="E38">
        <v>-0.36705005200000002</v>
      </c>
    </row>
    <row r="39" spans="2:6" x14ac:dyDescent="0.45">
      <c r="B39">
        <v>77</v>
      </c>
      <c r="C39" t="s">
        <v>265</v>
      </c>
      <c r="D39" t="s">
        <v>63</v>
      </c>
      <c r="E39">
        <v>1.739506086952</v>
      </c>
      <c r="F39" s="22"/>
    </row>
    <row r="40" spans="2:6" x14ac:dyDescent="0.45">
      <c r="B40">
        <v>78</v>
      </c>
      <c r="C40" t="s">
        <v>266</v>
      </c>
      <c r="D40" t="s">
        <v>63</v>
      </c>
      <c r="E40" s="22">
        <v>0.72433533718200005</v>
      </c>
      <c r="F40" s="22"/>
    </row>
    <row r="41" spans="2:6" x14ac:dyDescent="0.45">
      <c r="B41">
        <v>120</v>
      </c>
      <c r="C41" t="s">
        <v>174</v>
      </c>
      <c r="D41" t="s">
        <v>63</v>
      </c>
      <c r="E41">
        <v>-1.373931861</v>
      </c>
    </row>
    <row r="42" spans="2:6" x14ac:dyDescent="0.45">
      <c r="B42">
        <v>124</v>
      </c>
      <c r="C42" t="s">
        <v>160</v>
      </c>
      <c r="D42" t="s">
        <v>63</v>
      </c>
      <c r="E42">
        <v>1.9854496230000001</v>
      </c>
      <c r="F42" s="22"/>
    </row>
    <row r="43" spans="2:6" x14ac:dyDescent="0.45">
      <c r="B43">
        <v>128</v>
      </c>
      <c r="C43" t="s">
        <v>162</v>
      </c>
      <c r="D43" t="s">
        <v>63</v>
      </c>
      <c r="E43" s="22">
        <v>1.5630799999999999E-4</v>
      </c>
      <c r="F43" s="22"/>
    </row>
    <row r="44" spans="2:6" x14ac:dyDescent="0.45">
      <c r="B44">
        <v>131</v>
      </c>
      <c r="C44" t="s">
        <v>94</v>
      </c>
      <c r="D44" t="s">
        <v>63</v>
      </c>
      <c r="E44">
        <v>-0.48853505699999999</v>
      </c>
    </row>
    <row r="45" spans="2:6" x14ac:dyDescent="0.45">
      <c r="B45">
        <v>132</v>
      </c>
      <c r="C45" t="s">
        <v>95</v>
      </c>
      <c r="D45" t="s">
        <v>63</v>
      </c>
      <c r="E45" s="22">
        <v>0.231801804</v>
      </c>
      <c r="F45" s="22"/>
    </row>
    <row r="46" spans="2:6" x14ac:dyDescent="0.45">
      <c r="B46">
        <v>133</v>
      </c>
      <c r="C46" t="s">
        <v>96</v>
      </c>
      <c r="D46" t="s">
        <v>63</v>
      </c>
      <c r="E46" s="22">
        <v>-0.44898267400000003</v>
      </c>
      <c r="F46" s="22"/>
    </row>
    <row r="47" spans="2:6" x14ac:dyDescent="0.45">
      <c r="B47">
        <v>134</v>
      </c>
      <c r="C47" t="s">
        <v>97</v>
      </c>
      <c r="D47" t="s">
        <v>63</v>
      </c>
      <c r="E47">
        <v>0.33715357200000001</v>
      </c>
    </row>
    <row r="48" spans="2:6" x14ac:dyDescent="0.45">
      <c r="B48">
        <v>136</v>
      </c>
      <c r="C48" t="s">
        <v>175</v>
      </c>
      <c r="D48" t="s">
        <v>63</v>
      </c>
      <c r="E48" s="22">
        <v>7.2810588999999995E-2</v>
      </c>
      <c r="F48" s="22"/>
    </row>
    <row r="49" spans="2:6" x14ac:dyDescent="0.45">
      <c r="B49">
        <v>137</v>
      </c>
      <c r="C49" t="s">
        <v>176</v>
      </c>
      <c r="D49" t="s">
        <v>63</v>
      </c>
      <c r="E49" s="22">
        <v>2.1739211389999999</v>
      </c>
      <c r="F49" s="22"/>
    </row>
    <row r="50" spans="2:6" x14ac:dyDescent="0.45">
      <c r="B50">
        <v>138</v>
      </c>
      <c r="C50" t="s">
        <v>177</v>
      </c>
      <c r="D50" t="s">
        <v>63</v>
      </c>
      <c r="E50">
        <v>0.54895052200000005</v>
      </c>
      <c r="F50" s="22"/>
    </row>
    <row r="51" spans="2:6" x14ac:dyDescent="0.45">
      <c r="B51">
        <v>160</v>
      </c>
      <c r="C51" t="s">
        <v>178</v>
      </c>
      <c r="D51" t="s">
        <v>63</v>
      </c>
      <c r="E51">
        <v>0.97577037600000005</v>
      </c>
      <c r="F51" s="22"/>
    </row>
    <row r="52" spans="2:6" x14ac:dyDescent="0.45">
      <c r="B52">
        <v>161</v>
      </c>
      <c r="C52" t="s">
        <v>98</v>
      </c>
      <c r="D52" t="s">
        <v>63</v>
      </c>
      <c r="E52">
        <v>0.73068915300000004</v>
      </c>
      <c r="F52" s="22"/>
    </row>
    <row r="53" spans="2:6" x14ac:dyDescent="0.45">
      <c r="B53">
        <v>162</v>
      </c>
      <c r="C53" t="s">
        <v>99</v>
      </c>
      <c r="D53" t="s">
        <v>63</v>
      </c>
      <c r="E53" s="22">
        <v>0.91913294499999998</v>
      </c>
      <c r="F53" s="22"/>
    </row>
    <row r="54" spans="2:6" x14ac:dyDescent="0.45">
      <c r="B54">
        <v>163</v>
      </c>
      <c r="C54" t="s">
        <v>100</v>
      </c>
      <c r="D54" t="s">
        <v>63</v>
      </c>
      <c r="E54" s="22">
        <v>-0.88337105100000002</v>
      </c>
      <c r="F54" s="22"/>
    </row>
    <row r="55" spans="2:6" x14ac:dyDescent="0.45">
      <c r="B55">
        <v>164</v>
      </c>
      <c r="C55" t="s">
        <v>101</v>
      </c>
      <c r="D55" t="s">
        <v>63</v>
      </c>
      <c r="E55">
        <v>2.868961434</v>
      </c>
      <c r="F55" s="22"/>
    </row>
    <row r="56" spans="2:6" x14ac:dyDescent="0.45">
      <c r="B56">
        <v>165</v>
      </c>
      <c r="C56" t="s">
        <v>179</v>
      </c>
      <c r="D56" t="s">
        <v>63</v>
      </c>
      <c r="E56" s="22">
        <v>8.0969099999999997E-4</v>
      </c>
      <c r="F56" s="22"/>
    </row>
    <row r="57" spans="2:6" x14ac:dyDescent="0.45">
      <c r="B57">
        <v>168</v>
      </c>
      <c r="C57" s="22" t="s">
        <v>102</v>
      </c>
      <c r="D57" s="22" t="s">
        <v>63</v>
      </c>
      <c r="E57" s="22">
        <v>5.64362E-5</v>
      </c>
      <c r="F57" s="22"/>
    </row>
    <row r="58" spans="2:6" x14ac:dyDescent="0.45">
      <c r="B58">
        <v>169</v>
      </c>
      <c r="C58" t="s">
        <v>103</v>
      </c>
      <c r="D58" t="s">
        <v>63</v>
      </c>
      <c r="E58">
        <v>1.043010376</v>
      </c>
      <c r="F58" s="22"/>
    </row>
    <row r="59" spans="2:6" x14ac:dyDescent="0.45">
      <c r="B59">
        <v>171</v>
      </c>
      <c r="C59" t="s">
        <v>180</v>
      </c>
      <c r="D59" t="s">
        <v>63</v>
      </c>
      <c r="E59" s="22">
        <v>1.238277402</v>
      </c>
      <c r="F59" s="22"/>
    </row>
    <row r="60" spans="2:6" x14ac:dyDescent="0.45">
      <c r="B60">
        <v>172</v>
      </c>
      <c r="C60" t="s">
        <v>181</v>
      </c>
      <c r="D60" t="s">
        <v>63</v>
      </c>
      <c r="E60">
        <v>1.3528226169999999</v>
      </c>
      <c r="F60" s="22"/>
    </row>
    <row r="61" spans="2:6" x14ac:dyDescent="0.45">
      <c r="B61">
        <v>175</v>
      </c>
      <c r="C61" t="s">
        <v>182</v>
      </c>
      <c r="D61" t="s">
        <v>63</v>
      </c>
      <c r="E61" s="22">
        <v>8.3440800000000002E-4</v>
      </c>
      <c r="F61" s="22"/>
    </row>
    <row r="62" spans="2:6" x14ac:dyDescent="0.45">
      <c r="B62">
        <v>178</v>
      </c>
      <c r="C62" t="s">
        <v>183</v>
      </c>
      <c r="D62" t="s">
        <v>63</v>
      </c>
      <c r="E62" s="22">
        <v>1.08743E-5</v>
      </c>
      <c r="F62" s="22"/>
    </row>
    <row r="63" spans="2:6" x14ac:dyDescent="0.45">
      <c r="B63">
        <v>180</v>
      </c>
      <c r="C63" t="s">
        <v>73</v>
      </c>
      <c r="D63" t="s">
        <v>63</v>
      </c>
      <c r="E63">
        <v>-5.9573940959999998</v>
      </c>
      <c r="F63" s="22"/>
    </row>
    <row r="64" spans="2:6" x14ac:dyDescent="0.45">
      <c r="B64">
        <v>99</v>
      </c>
      <c r="C64" t="s">
        <v>105</v>
      </c>
      <c r="D64" t="s">
        <v>63</v>
      </c>
      <c r="E64">
        <v>0.78390199500000002</v>
      </c>
    </row>
    <row r="65" spans="2:11" x14ac:dyDescent="0.45">
      <c r="B65">
        <v>-1</v>
      </c>
      <c r="C65" s="22"/>
      <c r="D65" s="22"/>
      <c r="E65" s="22"/>
      <c r="F65" s="22"/>
    </row>
    <row r="66" spans="2:11" x14ac:dyDescent="0.45">
      <c r="B66">
        <v>4501</v>
      </c>
      <c r="C66" s="22">
        <v>-5205.9885667899998</v>
      </c>
      <c r="D66" s="22">
        <v>-7395.8115827700003</v>
      </c>
      <c r="E66" s="22">
        <v>-4113.5639558900002</v>
      </c>
      <c r="F66" s="22"/>
    </row>
    <row r="67" spans="2:11" x14ac:dyDescent="0.45">
      <c r="B67">
        <v>14</v>
      </c>
      <c r="C67" t="s">
        <v>311</v>
      </c>
      <c r="D67" t="s">
        <v>227</v>
      </c>
      <c r="E67" s="22">
        <v>2</v>
      </c>
      <c r="F67" s="22" t="s">
        <v>305</v>
      </c>
      <c r="G67">
        <v>12</v>
      </c>
    </row>
    <row r="68" spans="2:11" x14ac:dyDescent="0.45">
      <c r="B68">
        <v>24458</v>
      </c>
      <c r="C68" s="22">
        <v>-9643</v>
      </c>
      <c r="D68" s="22">
        <v>-17666</v>
      </c>
      <c r="E68" s="22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45">
      <c r="B69">
        <v>19235</v>
      </c>
      <c r="C69">
        <v>44170</v>
      </c>
      <c r="D69">
        <v>-15060</v>
      </c>
      <c r="E69" s="22">
        <v>35331</v>
      </c>
      <c r="F69" s="22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4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4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4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45">
      <c r="B73">
        <v>-5644</v>
      </c>
      <c r="C73">
        <v>318</v>
      </c>
      <c r="D73">
        <v>-8489</v>
      </c>
      <c r="E73">
        <v>-9880</v>
      </c>
      <c r="F73" s="22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45">
      <c r="B74">
        <v>-13370</v>
      </c>
      <c r="C74" s="22">
        <v>-20603</v>
      </c>
      <c r="D74" s="22">
        <v>-21268</v>
      </c>
      <c r="E74" s="22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45">
      <c r="B75">
        <v>4246</v>
      </c>
      <c r="C75">
        <v>-7944</v>
      </c>
      <c r="D75">
        <v>-7390</v>
      </c>
      <c r="E75" s="22">
        <v>-6624</v>
      </c>
      <c r="F75" s="22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4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45">
      <c r="B77">
        <v>2053</v>
      </c>
      <c r="C77">
        <v>-26735</v>
      </c>
      <c r="D77">
        <v>-64901</v>
      </c>
      <c r="E77" s="22">
        <v>22738</v>
      </c>
      <c r="F77" s="22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4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4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4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4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45">
      <c r="B82">
        <v>-6335</v>
      </c>
      <c r="C82" s="22">
        <v>12061</v>
      </c>
      <c r="D82" s="22">
        <v>5128</v>
      </c>
      <c r="E82" s="2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4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4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4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4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4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4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4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4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4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4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4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4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4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4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4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4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4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4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4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4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4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4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4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4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4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4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4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4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4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4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4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4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4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4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4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4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4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4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4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4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4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4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4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4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4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4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4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4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4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4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4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4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4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4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4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4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4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4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4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4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4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4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4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4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4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4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4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4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4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4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4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4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4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4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4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4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4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4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4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4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4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4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4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4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  <row r="167" spans="2:11" x14ac:dyDescent="0.45">
      <c r="B167">
        <v>1445</v>
      </c>
      <c r="C167">
        <v>-25914</v>
      </c>
      <c r="D167">
        <v>2693</v>
      </c>
      <c r="E167">
        <v>-3963</v>
      </c>
      <c r="F167">
        <v>-3847</v>
      </c>
      <c r="G167">
        <v>2810</v>
      </c>
      <c r="H167">
        <v>-7281</v>
      </c>
      <c r="I167">
        <v>1663</v>
      </c>
      <c r="J167">
        <v>1476</v>
      </c>
      <c r="K167">
        <v>-402</v>
      </c>
    </row>
    <row r="168" spans="2:11" x14ac:dyDescent="0.45">
      <c r="B168">
        <v>0</v>
      </c>
      <c r="C168">
        <v>0</v>
      </c>
      <c r="D168">
        <v>1889</v>
      </c>
      <c r="E168">
        <v>-899</v>
      </c>
      <c r="F168">
        <v>-2732</v>
      </c>
      <c r="G168">
        <v>-965</v>
      </c>
      <c r="H168">
        <v>1127</v>
      </c>
      <c r="I168">
        <v>0</v>
      </c>
      <c r="J168">
        <v>-467</v>
      </c>
      <c r="K168">
        <v>1607</v>
      </c>
    </row>
    <row r="169" spans="2:11" x14ac:dyDescent="0.45">
      <c r="B169">
        <v>0</v>
      </c>
      <c r="C169">
        <v>-1120</v>
      </c>
      <c r="D169">
        <v>0</v>
      </c>
      <c r="E169">
        <v>-1644</v>
      </c>
      <c r="F169">
        <v>0</v>
      </c>
      <c r="G169">
        <v>127</v>
      </c>
      <c r="H169">
        <v>414</v>
      </c>
      <c r="I169">
        <v>1463</v>
      </c>
      <c r="J169">
        <v>-264</v>
      </c>
      <c r="K169">
        <v>487</v>
      </c>
    </row>
    <row r="170" spans="2:11" x14ac:dyDescent="0.45">
      <c r="B170">
        <v>47168</v>
      </c>
      <c r="C170">
        <v>650</v>
      </c>
      <c r="D170">
        <v>-2444</v>
      </c>
      <c r="E170">
        <v>2740</v>
      </c>
      <c r="F170">
        <v>-1474</v>
      </c>
      <c r="G170">
        <v>-25641</v>
      </c>
      <c r="H170">
        <v>-3179</v>
      </c>
      <c r="I170">
        <v>-1198</v>
      </c>
      <c r="J170">
        <v>-4343</v>
      </c>
      <c r="K170">
        <v>15453</v>
      </c>
    </row>
    <row r="171" spans="2:11" x14ac:dyDescent="0.45">
      <c r="B171">
        <v>-2395</v>
      </c>
      <c r="C171">
        <v>-553</v>
      </c>
      <c r="D171">
        <v>-26794</v>
      </c>
      <c r="E171">
        <v>1406</v>
      </c>
      <c r="F171">
        <v>-1695</v>
      </c>
      <c r="G171">
        <v>-4576</v>
      </c>
      <c r="H171">
        <v>4826</v>
      </c>
      <c r="I171">
        <v>-5335</v>
      </c>
      <c r="J171">
        <v>-661</v>
      </c>
      <c r="K171">
        <v>856</v>
      </c>
    </row>
    <row r="172" spans="2:11" x14ac:dyDescent="0.45">
      <c r="B172">
        <v>-1644</v>
      </c>
      <c r="C172">
        <v>0</v>
      </c>
      <c r="D172">
        <v>0</v>
      </c>
      <c r="E172">
        <v>2617</v>
      </c>
      <c r="F172">
        <v>1311</v>
      </c>
      <c r="G172">
        <v>-833</v>
      </c>
      <c r="H172">
        <v>-113</v>
      </c>
      <c r="I172">
        <v>-1232</v>
      </c>
      <c r="J172">
        <v>0</v>
      </c>
      <c r="K172">
        <v>-358</v>
      </c>
    </row>
    <row r="173" spans="2:11" x14ac:dyDescent="0.45">
      <c r="B173">
        <v>1535</v>
      </c>
      <c r="C173">
        <v>0</v>
      </c>
      <c r="D173">
        <v>-1755</v>
      </c>
      <c r="E173">
        <v>0</v>
      </c>
      <c r="F173">
        <v>-1194</v>
      </c>
      <c r="G173">
        <v>0</v>
      </c>
      <c r="H173">
        <v>865</v>
      </c>
      <c r="I173">
        <v>-470</v>
      </c>
      <c r="J173">
        <v>1959</v>
      </c>
      <c r="K173">
        <v>-1113</v>
      </c>
    </row>
    <row r="174" spans="2:11" x14ac:dyDescent="0.45">
      <c r="B174">
        <v>2639</v>
      </c>
      <c r="C174">
        <v>56452</v>
      </c>
      <c r="D174">
        <v>51412</v>
      </c>
      <c r="E174">
        <v>3148</v>
      </c>
      <c r="F174">
        <v>-5387</v>
      </c>
      <c r="G174">
        <v>5201</v>
      </c>
      <c r="H174">
        <v>-4960</v>
      </c>
      <c r="I174">
        <v>4489</v>
      </c>
      <c r="J174">
        <v>1140</v>
      </c>
      <c r="K174">
        <v>3750</v>
      </c>
    </row>
    <row r="175" spans="2:11" x14ac:dyDescent="0.45">
      <c r="B175">
        <v>1183</v>
      </c>
      <c r="C175">
        <v>1637</v>
      </c>
      <c r="D175">
        <v>-919</v>
      </c>
      <c r="E175">
        <v>345</v>
      </c>
      <c r="F175">
        <v>4653</v>
      </c>
      <c r="G175">
        <v>-4139</v>
      </c>
      <c r="H175">
        <v>-723</v>
      </c>
      <c r="I175">
        <v>-621</v>
      </c>
      <c r="J175">
        <v>8762</v>
      </c>
      <c r="K175">
        <v>-636</v>
      </c>
    </row>
    <row r="176" spans="2:11" x14ac:dyDescent="0.45">
      <c r="B176">
        <v>-5356</v>
      </c>
      <c r="C176">
        <v>-24027</v>
      </c>
      <c r="D176">
        <v>-7042</v>
      </c>
      <c r="E176">
        <v>0</v>
      </c>
      <c r="F176">
        <v>0</v>
      </c>
      <c r="G176">
        <v>6512</v>
      </c>
      <c r="H176">
        <v>349</v>
      </c>
      <c r="I176">
        <v>-336</v>
      </c>
      <c r="J176">
        <v>-1016</v>
      </c>
      <c r="K176">
        <v>-3334</v>
      </c>
    </row>
    <row r="177" spans="2:11" x14ac:dyDescent="0.45">
      <c r="B177">
        <v>0</v>
      </c>
      <c r="C177">
        <v>-485</v>
      </c>
      <c r="D177">
        <v>934</v>
      </c>
      <c r="E177">
        <v>0</v>
      </c>
      <c r="F177">
        <v>-3707</v>
      </c>
      <c r="G177">
        <v>0</v>
      </c>
      <c r="H177">
        <v>-6307</v>
      </c>
      <c r="I177">
        <v>0</v>
      </c>
      <c r="J177">
        <v>-496</v>
      </c>
      <c r="K177">
        <v>4947</v>
      </c>
    </row>
    <row r="178" spans="2:11" x14ac:dyDescent="0.45">
      <c r="B178">
        <v>1346</v>
      </c>
      <c r="C178">
        <v>4563</v>
      </c>
      <c r="D178">
        <v>1193</v>
      </c>
      <c r="E178">
        <v>-2543</v>
      </c>
      <c r="F178">
        <v>3449</v>
      </c>
      <c r="G178">
        <v>13727</v>
      </c>
      <c r="H178">
        <v>-6633</v>
      </c>
      <c r="I178">
        <v>5397</v>
      </c>
      <c r="J178">
        <v>-877</v>
      </c>
      <c r="K178">
        <v>-1980</v>
      </c>
    </row>
    <row r="179" spans="2:11" x14ac:dyDescent="0.45">
      <c r="B179">
        <v>-134</v>
      </c>
      <c r="C179">
        <v>1557</v>
      </c>
      <c r="D179">
        <v>-2117</v>
      </c>
      <c r="E179">
        <v>-1548</v>
      </c>
      <c r="F179">
        <v>-1296</v>
      </c>
      <c r="G179">
        <v>-299</v>
      </c>
      <c r="H179">
        <v>93</v>
      </c>
      <c r="I179">
        <v>-216</v>
      </c>
      <c r="J179">
        <v>593</v>
      </c>
      <c r="K179">
        <v>520</v>
      </c>
    </row>
    <row r="180" spans="2:11" x14ac:dyDescent="0.45">
      <c r="B180">
        <v>533</v>
      </c>
      <c r="C180">
        <v>-944</v>
      </c>
      <c r="D180">
        <v>-1156</v>
      </c>
      <c r="E180">
        <v>-2172</v>
      </c>
      <c r="F180">
        <v>-43242</v>
      </c>
      <c r="G180">
        <v>10735</v>
      </c>
      <c r="H180">
        <v>0</v>
      </c>
      <c r="I180">
        <v>0</v>
      </c>
      <c r="J180">
        <v>-2619</v>
      </c>
      <c r="K180">
        <v>-699</v>
      </c>
    </row>
    <row r="181" spans="2:11" x14ac:dyDescent="0.45">
      <c r="B181">
        <v>1015</v>
      </c>
      <c r="C181">
        <v>2344</v>
      </c>
      <c r="D181">
        <v>2156</v>
      </c>
      <c r="E181">
        <v>0</v>
      </c>
      <c r="F181">
        <v>-1050</v>
      </c>
      <c r="G181">
        <v>-61</v>
      </c>
      <c r="H181">
        <v>0</v>
      </c>
      <c r="I181">
        <v>2066</v>
      </c>
      <c r="J181">
        <v>0</v>
      </c>
      <c r="K181">
        <v>522</v>
      </c>
    </row>
    <row r="182" spans="2:11" x14ac:dyDescent="0.45">
      <c r="B182">
        <v>0</v>
      </c>
      <c r="C182">
        <v>4486</v>
      </c>
      <c r="D182">
        <v>348</v>
      </c>
      <c r="E182">
        <v>-1594</v>
      </c>
      <c r="F182">
        <v>391</v>
      </c>
      <c r="G182">
        <v>-1458</v>
      </c>
      <c r="H182">
        <v>117</v>
      </c>
      <c r="I182">
        <v>-1701</v>
      </c>
      <c r="J182">
        <v>189</v>
      </c>
      <c r="K182">
        <v>-8599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419</v>
      </c>
      <c r="H187">
        <v>-889</v>
      </c>
      <c r="I187">
        <v>-805</v>
      </c>
      <c r="J187">
        <v>2042</v>
      </c>
      <c r="K187">
        <v>784</v>
      </c>
    </row>
    <row r="188" spans="2:11" x14ac:dyDescent="0.45">
      <c r="B188">
        <v>359</v>
      </c>
      <c r="C188">
        <v>-5726</v>
      </c>
      <c r="D188">
        <v>-224</v>
      </c>
      <c r="E188">
        <v>-4978</v>
      </c>
      <c r="F188">
        <v>1209</v>
      </c>
      <c r="G188">
        <v>522</v>
      </c>
      <c r="H188">
        <v>1013</v>
      </c>
      <c r="I188">
        <v>-1390</v>
      </c>
      <c r="J188">
        <v>-3765</v>
      </c>
      <c r="K188">
        <v>106</v>
      </c>
    </row>
    <row r="189" spans="2:11" x14ac:dyDescent="0.45">
      <c r="B189">
        <v>-1397</v>
      </c>
      <c r="C189">
        <v>-2307</v>
      </c>
      <c r="D189">
        <v>2714</v>
      </c>
      <c r="E189">
        <v>-4243</v>
      </c>
      <c r="F189">
        <v>-2727</v>
      </c>
      <c r="G189">
        <v>0</v>
      </c>
      <c r="H189">
        <v>0</v>
      </c>
      <c r="I189">
        <v>474</v>
      </c>
      <c r="J189">
        <v>2456</v>
      </c>
      <c r="K189">
        <v>-242</v>
      </c>
    </row>
    <row r="190" spans="2:11" x14ac:dyDescent="0.45">
      <c r="B190">
        <v>37</v>
      </c>
      <c r="C190">
        <v>-621</v>
      </c>
      <c r="D190">
        <v>0</v>
      </c>
      <c r="E190">
        <v>-416</v>
      </c>
      <c r="F190">
        <v>-605</v>
      </c>
      <c r="G190">
        <v>0</v>
      </c>
      <c r="H190">
        <v>336</v>
      </c>
      <c r="I190">
        <v>0</v>
      </c>
      <c r="J190">
        <v>-1294</v>
      </c>
      <c r="K190">
        <v>0</v>
      </c>
    </row>
    <row r="191" spans="2:11" x14ac:dyDescent="0.45">
      <c r="B191">
        <v>260</v>
      </c>
      <c r="C191">
        <v>-647</v>
      </c>
      <c r="D191">
        <v>3189</v>
      </c>
      <c r="E191">
        <v>-64</v>
      </c>
      <c r="F191">
        <v>3342</v>
      </c>
      <c r="G191">
        <v>-2047</v>
      </c>
      <c r="H191">
        <v>-1419</v>
      </c>
      <c r="I191">
        <v>-2091</v>
      </c>
      <c r="J191">
        <v>-4822</v>
      </c>
      <c r="K191">
        <v>-32246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-11021</v>
      </c>
      <c r="K196">
        <v>-3308</v>
      </c>
    </row>
    <row r="197" spans="2:11" x14ac:dyDescent="0.45">
      <c r="B197">
        <v>3350</v>
      </c>
      <c r="C197">
        <v>5679</v>
      </c>
      <c r="D197">
        <v>6496</v>
      </c>
      <c r="E197">
        <v>-823</v>
      </c>
      <c r="F197">
        <v>-2744</v>
      </c>
      <c r="G197">
        <v>-3435</v>
      </c>
      <c r="H197">
        <v>-370</v>
      </c>
      <c r="I197">
        <v>936</v>
      </c>
      <c r="J197">
        <v>867</v>
      </c>
      <c r="K197">
        <v>6587</v>
      </c>
    </row>
    <row r="198" spans="2:11" x14ac:dyDescent="0.45">
      <c r="B198">
        <v>6138</v>
      </c>
      <c r="C198">
        <v>935</v>
      </c>
      <c r="D198">
        <v>-67</v>
      </c>
      <c r="E198">
        <v>5958</v>
      </c>
      <c r="F198">
        <v>1517</v>
      </c>
      <c r="G198">
        <v>-2316</v>
      </c>
      <c r="H198">
        <v>-24456</v>
      </c>
      <c r="I198">
        <v>-4823</v>
      </c>
      <c r="J198">
        <v>0</v>
      </c>
      <c r="K198">
        <v>0</v>
      </c>
    </row>
    <row r="199" spans="2:11" x14ac:dyDescent="0.45">
      <c r="B199">
        <v>1828</v>
      </c>
      <c r="C199">
        <v>2899</v>
      </c>
      <c r="D199">
        <v>-543</v>
      </c>
      <c r="E199">
        <v>455</v>
      </c>
      <c r="F199">
        <v>5847</v>
      </c>
      <c r="G199">
        <v>0</v>
      </c>
      <c r="H199">
        <v>-692</v>
      </c>
      <c r="I199">
        <v>-374</v>
      </c>
      <c r="J199">
        <v>0</v>
      </c>
      <c r="K199">
        <v>-209</v>
      </c>
    </row>
    <row r="200" spans="2:11" x14ac:dyDescent="0.45">
      <c r="B200">
        <v>0</v>
      </c>
      <c r="C200">
        <v>1818</v>
      </c>
      <c r="D200">
        <v>0</v>
      </c>
      <c r="E200">
        <v>2548</v>
      </c>
      <c r="F200">
        <v>-147</v>
      </c>
      <c r="G200">
        <v>1419</v>
      </c>
      <c r="H200">
        <v>-279</v>
      </c>
      <c r="I200">
        <v>1542</v>
      </c>
      <c r="J200">
        <v>344</v>
      </c>
      <c r="K200">
        <v>-983</v>
      </c>
    </row>
    <row r="201" spans="2:11" x14ac:dyDescent="0.45">
      <c r="B201">
        <v>94</v>
      </c>
      <c r="C201">
        <v>342</v>
      </c>
      <c r="D201">
        <v>1493</v>
      </c>
      <c r="E201">
        <v>0</v>
      </c>
      <c r="F201">
        <v>208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-29320</v>
      </c>
      <c r="H206">
        <v>88</v>
      </c>
      <c r="I206">
        <v>4680</v>
      </c>
      <c r="J206">
        <v>-5994</v>
      </c>
      <c r="K206">
        <v>6585</v>
      </c>
    </row>
    <row r="207" spans="2:11" x14ac:dyDescent="0.45">
      <c r="B207">
        <v>-988</v>
      </c>
      <c r="C207">
        <v>-1772</v>
      </c>
      <c r="D207">
        <v>-223</v>
      </c>
      <c r="E207">
        <v>-3817</v>
      </c>
      <c r="F207">
        <v>1138</v>
      </c>
      <c r="G207">
        <v>-878</v>
      </c>
      <c r="H207">
        <v>6104</v>
      </c>
      <c r="I207">
        <v>-10256</v>
      </c>
      <c r="J207">
        <v>2820</v>
      </c>
      <c r="K207">
        <v>1065</v>
      </c>
    </row>
    <row r="208" spans="2:11" x14ac:dyDescent="0.45">
      <c r="B208">
        <v>4211</v>
      </c>
      <c r="C208">
        <v>292</v>
      </c>
      <c r="D208">
        <v>-4830</v>
      </c>
      <c r="E208">
        <v>-23161</v>
      </c>
      <c r="F208">
        <v>768</v>
      </c>
      <c r="G208">
        <v>0</v>
      </c>
      <c r="H208">
        <v>0</v>
      </c>
      <c r="I208">
        <v>1878</v>
      </c>
      <c r="J208">
        <v>252</v>
      </c>
      <c r="K208">
        <v>1290</v>
      </c>
    </row>
    <row r="209" spans="2:11" x14ac:dyDescent="0.45">
      <c r="B209">
        <v>-296</v>
      </c>
      <c r="C209">
        <v>7024</v>
      </c>
      <c r="D209">
        <v>0</v>
      </c>
      <c r="E209">
        <v>-3105</v>
      </c>
      <c r="F209">
        <v>-1442</v>
      </c>
      <c r="G209">
        <v>0</v>
      </c>
      <c r="H209">
        <v>2177</v>
      </c>
      <c r="I209">
        <v>0</v>
      </c>
      <c r="J209">
        <v>-1272</v>
      </c>
      <c r="K209">
        <v>0</v>
      </c>
    </row>
    <row r="210" spans="2:11" x14ac:dyDescent="0.45">
      <c r="B210">
        <v>12064</v>
      </c>
      <c r="C210">
        <v>-1955</v>
      </c>
      <c r="D210">
        <v>2891</v>
      </c>
      <c r="E210">
        <v>-2113</v>
      </c>
      <c r="F210">
        <v>3224</v>
      </c>
      <c r="G210">
        <v>-2096</v>
      </c>
      <c r="H210">
        <v>-1148</v>
      </c>
      <c r="I210">
        <v>-758</v>
      </c>
      <c r="J210">
        <v>5791</v>
      </c>
      <c r="K210">
        <v>22399</v>
      </c>
    </row>
    <row r="211" spans="2:11" x14ac:dyDescent="0.45">
      <c r="B211">
        <v>0</v>
      </c>
      <c r="C211">
        <v>-9417</v>
      </c>
      <c r="D211">
        <v>0</v>
      </c>
      <c r="E211">
        <v>-46428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75</v>
      </c>
      <c r="K221">
        <v>4787</v>
      </c>
    </row>
    <row r="222" spans="2:11" x14ac:dyDescent="0.45">
      <c r="B222">
        <v>21487</v>
      </c>
      <c r="C222">
        <v>334</v>
      </c>
      <c r="D222">
        <v>21920</v>
      </c>
      <c r="E222">
        <v>992</v>
      </c>
      <c r="F222">
        <v>809</v>
      </c>
      <c r="G222">
        <v>-2170</v>
      </c>
      <c r="H222">
        <v>-2013</v>
      </c>
      <c r="I222">
        <v>-40</v>
      </c>
      <c r="J222">
        <v>-312</v>
      </c>
      <c r="K222">
        <v>22070</v>
      </c>
    </row>
    <row r="223" spans="2:11" x14ac:dyDescent="0.45">
      <c r="B223">
        <v>-155</v>
      </c>
      <c r="C223">
        <v>-1535</v>
      </c>
      <c r="D223">
        <v>-108</v>
      </c>
      <c r="E223">
        <v>26103</v>
      </c>
      <c r="F223">
        <v>-4487</v>
      </c>
      <c r="G223">
        <v>245</v>
      </c>
      <c r="H223">
        <v>17555</v>
      </c>
      <c r="I223">
        <v>2133</v>
      </c>
      <c r="J223">
        <v>0</v>
      </c>
      <c r="K223">
        <v>0</v>
      </c>
    </row>
    <row r="224" spans="2:11" x14ac:dyDescent="0.45">
      <c r="B224">
        <v>17445</v>
      </c>
      <c r="C224">
        <v>-1667</v>
      </c>
      <c r="D224">
        <v>-1496</v>
      </c>
      <c r="E224">
        <v>-1322</v>
      </c>
      <c r="F224">
        <v>869</v>
      </c>
      <c r="G224">
        <v>0</v>
      </c>
      <c r="H224">
        <v>-400</v>
      </c>
      <c r="I224">
        <v>1097</v>
      </c>
      <c r="J224">
        <v>0</v>
      </c>
      <c r="K224">
        <v>-3903</v>
      </c>
    </row>
    <row r="225" spans="2:11" x14ac:dyDescent="0.45">
      <c r="B225">
        <v>0</v>
      </c>
      <c r="C225">
        <v>-6967</v>
      </c>
      <c r="D225">
        <v>0</v>
      </c>
      <c r="E225">
        <v>314</v>
      </c>
      <c r="F225">
        <v>1080</v>
      </c>
      <c r="G225">
        <v>4696</v>
      </c>
      <c r="H225">
        <v>1630</v>
      </c>
      <c r="I225">
        <v>3913</v>
      </c>
      <c r="J225">
        <v>-2164</v>
      </c>
      <c r="K225">
        <v>21026</v>
      </c>
    </row>
    <row r="226" spans="2:11" x14ac:dyDescent="0.45">
      <c r="B226">
        <v>4547</v>
      </c>
      <c r="C226">
        <v>4762</v>
      </c>
      <c r="D226">
        <v>648</v>
      </c>
      <c r="E226">
        <v>0</v>
      </c>
      <c r="F226">
        <v>-1222</v>
      </c>
      <c r="G226">
        <v>0</v>
      </c>
      <c r="H226">
        <v>-1925</v>
      </c>
      <c r="I226">
        <v>0</v>
      </c>
      <c r="J226">
        <v>-1349</v>
      </c>
      <c r="K226">
        <v>0</v>
      </c>
    </row>
    <row r="227" spans="2:11" x14ac:dyDescent="0.45">
      <c r="B227">
        <v>0</v>
      </c>
      <c r="C227">
        <v>1788</v>
      </c>
      <c r="D227">
        <v>-12933</v>
      </c>
      <c r="E227">
        <v>29953</v>
      </c>
      <c r="F227">
        <v>-3191</v>
      </c>
      <c r="G227">
        <v>40662</v>
      </c>
      <c r="H227">
        <v>1671</v>
      </c>
      <c r="I227">
        <v>-392</v>
      </c>
      <c r="J227">
        <v>-174</v>
      </c>
      <c r="K227">
        <v>1839</v>
      </c>
    </row>
    <row r="228" spans="2:11" x14ac:dyDescent="0.45">
      <c r="B228">
        <v>-176</v>
      </c>
      <c r="C228">
        <v>653</v>
      </c>
      <c r="D228">
        <v>41333</v>
      </c>
      <c r="E228">
        <v>-6597</v>
      </c>
      <c r="F228">
        <v>-674</v>
      </c>
      <c r="G228">
        <v>590</v>
      </c>
      <c r="H228">
        <v>50154</v>
      </c>
      <c r="I228">
        <v>-3659</v>
      </c>
      <c r="J228">
        <v>-5034</v>
      </c>
      <c r="K228">
        <v>27395</v>
      </c>
    </row>
    <row r="229" spans="2:11" x14ac:dyDescent="0.45">
      <c r="B229">
        <v>522</v>
      </c>
      <c r="C229">
        <v>0</v>
      </c>
      <c r="D229">
        <v>0</v>
      </c>
      <c r="E229">
        <v>29992</v>
      </c>
      <c r="F229">
        <v>-2143</v>
      </c>
      <c r="G229">
        <v>-1779</v>
      </c>
      <c r="H229">
        <v>-1767</v>
      </c>
      <c r="I229">
        <v>-1809</v>
      </c>
      <c r="J229">
        <v>0</v>
      </c>
      <c r="K229">
        <v>95</v>
      </c>
    </row>
    <row r="230" spans="2:11" x14ac:dyDescent="0.45">
      <c r="B230">
        <v>446</v>
      </c>
      <c r="C230">
        <v>0</v>
      </c>
      <c r="D230">
        <v>-6564</v>
      </c>
      <c r="E230">
        <v>0</v>
      </c>
      <c r="F230">
        <v>-8342</v>
      </c>
      <c r="G230">
        <v>0</v>
      </c>
      <c r="H230">
        <v>2390</v>
      </c>
      <c r="I230">
        <v>-2990</v>
      </c>
      <c r="J230">
        <v>8880</v>
      </c>
      <c r="K230">
        <v>-2253</v>
      </c>
    </row>
    <row r="231" spans="2:11" x14ac:dyDescent="0.45">
      <c r="B231">
        <v>8324</v>
      </c>
      <c r="C231">
        <v>-2600</v>
      </c>
      <c r="D231">
        <v>4993</v>
      </c>
      <c r="E231">
        <v>17718</v>
      </c>
      <c r="F231">
        <v>17477</v>
      </c>
      <c r="G231">
        <v>875</v>
      </c>
      <c r="H231">
        <v>0</v>
      </c>
      <c r="I231">
        <v>-649</v>
      </c>
      <c r="J231">
        <v>0</v>
      </c>
      <c r="K231">
        <v>-500</v>
      </c>
    </row>
    <row r="232" spans="2:11" x14ac:dyDescent="0.45">
      <c r="B232">
        <v>0</v>
      </c>
      <c r="C232">
        <v>2067</v>
      </c>
      <c r="D232">
        <v>0</v>
      </c>
      <c r="E232">
        <v>0</v>
      </c>
      <c r="F232">
        <v>45292</v>
      </c>
      <c r="G232">
        <v>-2531</v>
      </c>
      <c r="H232">
        <v>3595</v>
      </c>
      <c r="I232">
        <v>33434</v>
      </c>
      <c r="J232">
        <v>3160</v>
      </c>
      <c r="K232">
        <v>41229</v>
      </c>
    </row>
    <row r="233" spans="2:11" x14ac:dyDescent="0.45">
      <c r="B233">
        <v>-4313</v>
      </c>
      <c r="C233">
        <v>-830</v>
      </c>
      <c r="D233">
        <v>-2182</v>
      </c>
      <c r="E233">
        <v>-600</v>
      </c>
      <c r="F233">
        <v>-636</v>
      </c>
      <c r="G233">
        <v>-1309</v>
      </c>
      <c r="H233">
        <v>41901</v>
      </c>
      <c r="I233">
        <v>1581</v>
      </c>
      <c r="J233">
        <v>1187</v>
      </c>
      <c r="K233">
        <v>-526</v>
      </c>
    </row>
    <row r="234" spans="2:11" x14ac:dyDescent="0.45">
      <c r="B234">
        <v>44995</v>
      </c>
      <c r="C234">
        <v>1808</v>
      </c>
      <c r="D234">
        <v>567</v>
      </c>
      <c r="E234">
        <v>34504</v>
      </c>
      <c r="F234">
        <v>460</v>
      </c>
      <c r="G234">
        <v>0</v>
      </c>
      <c r="H234">
        <v>0</v>
      </c>
      <c r="I234">
        <v>26536</v>
      </c>
      <c r="J234">
        <v>3735</v>
      </c>
      <c r="K234">
        <v>2031</v>
      </c>
    </row>
    <row r="235" spans="2:11" x14ac:dyDescent="0.45">
      <c r="B235">
        <v>-354</v>
      </c>
      <c r="C235">
        <v>-2382</v>
      </c>
      <c r="D235">
        <v>0</v>
      </c>
      <c r="E235">
        <v>2745</v>
      </c>
      <c r="F235">
        <v>-867</v>
      </c>
      <c r="G235">
        <v>0</v>
      </c>
      <c r="H235">
        <v>-1184</v>
      </c>
      <c r="I235">
        <v>0</v>
      </c>
      <c r="J235">
        <v>-2566</v>
      </c>
      <c r="K235">
        <v>0</v>
      </c>
    </row>
    <row r="236" spans="2:11" x14ac:dyDescent="0.45">
      <c r="B236">
        <v>-1643</v>
      </c>
      <c r="C236">
        <v>529</v>
      </c>
      <c r="D236">
        <v>2311</v>
      </c>
      <c r="E236">
        <v>588</v>
      </c>
      <c r="F236">
        <v>1757</v>
      </c>
      <c r="G236">
        <v>-511</v>
      </c>
      <c r="H236">
        <v>-831</v>
      </c>
      <c r="I236">
        <v>-1411</v>
      </c>
      <c r="J236">
        <v>719</v>
      </c>
      <c r="K236">
        <v>-1182</v>
      </c>
    </row>
    <row r="237" spans="2:11" x14ac:dyDescent="0.45">
      <c r="B237">
        <v>0</v>
      </c>
      <c r="C237">
        <v>2829</v>
      </c>
      <c r="D237">
        <v>0</v>
      </c>
      <c r="E237">
        <v>230</v>
      </c>
      <c r="F237">
        <v>0</v>
      </c>
      <c r="G237">
        <v>-1382</v>
      </c>
      <c r="H237">
        <v>0</v>
      </c>
      <c r="I237">
        <v>0</v>
      </c>
      <c r="J237">
        <v>6112</v>
      </c>
      <c r="K237">
        <v>7222</v>
      </c>
    </row>
    <row r="238" spans="2:11" x14ac:dyDescent="0.45">
      <c r="B238">
        <v>-16917</v>
      </c>
      <c r="C238">
        <v>842</v>
      </c>
      <c r="D238">
        <v>9230</v>
      </c>
      <c r="E238">
        <v>6578</v>
      </c>
      <c r="F238">
        <v>13757</v>
      </c>
      <c r="G238">
        <v>-6</v>
      </c>
      <c r="H238">
        <v>-3591</v>
      </c>
      <c r="I238">
        <v>318</v>
      </c>
      <c r="J238">
        <v>-1060</v>
      </c>
      <c r="K238">
        <v>1738</v>
      </c>
    </row>
    <row r="239" spans="2:11" x14ac:dyDescent="0.45">
      <c r="B239">
        <v>1492</v>
      </c>
      <c r="C239">
        <v>13760</v>
      </c>
      <c r="D239">
        <v>5565</v>
      </c>
      <c r="E239">
        <v>3258</v>
      </c>
      <c r="F239">
        <v>573</v>
      </c>
      <c r="G239">
        <v>14247</v>
      </c>
      <c r="H239">
        <v>1816</v>
      </c>
      <c r="I239">
        <v>-2556</v>
      </c>
      <c r="J239">
        <v>5123</v>
      </c>
      <c r="K239">
        <v>-16</v>
      </c>
    </row>
    <row r="240" spans="2:11" x14ac:dyDescent="0.45">
      <c r="B240">
        <v>0</v>
      </c>
      <c r="C240">
        <v>0</v>
      </c>
      <c r="D240">
        <v>5721</v>
      </c>
      <c r="E240">
        <v>5603</v>
      </c>
      <c r="F240">
        <v>-177</v>
      </c>
      <c r="G240">
        <v>282</v>
      </c>
      <c r="H240">
        <v>9510</v>
      </c>
      <c r="I240">
        <v>0</v>
      </c>
      <c r="J240">
        <v>-2894</v>
      </c>
      <c r="K240">
        <v>-1255</v>
      </c>
    </row>
    <row r="241" spans="2:11" x14ac:dyDescent="0.45">
      <c r="B241">
        <v>0</v>
      </c>
      <c r="C241">
        <v>1982</v>
      </c>
      <c r="D241">
        <v>0</v>
      </c>
      <c r="E241">
        <v>2475</v>
      </c>
      <c r="F241">
        <v>0</v>
      </c>
      <c r="G241">
        <v>7857</v>
      </c>
      <c r="H241">
        <v>-1089</v>
      </c>
      <c r="I241">
        <v>-1450</v>
      </c>
      <c r="J241">
        <v>-988</v>
      </c>
      <c r="K241">
        <v>-957</v>
      </c>
    </row>
    <row r="242" spans="2:11" x14ac:dyDescent="0.45">
      <c r="B242">
        <v>-914</v>
      </c>
      <c r="C242">
        <v>-1846</v>
      </c>
      <c r="D242">
        <v>-1283</v>
      </c>
      <c r="E242">
        <v>-2363</v>
      </c>
      <c r="F242">
        <v>485</v>
      </c>
      <c r="G242">
        <v>0</v>
      </c>
      <c r="H242">
        <v>519</v>
      </c>
      <c r="I242">
        <v>0</v>
      </c>
      <c r="J242">
        <v>15640</v>
      </c>
      <c r="K242">
        <v>0</v>
      </c>
    </row>
    <row r="243" spans="2:11" x14ac:dyDescent="0.45">
      <c r="B243">
        <v>195</v>
      </c>
      <c r="C243">
        <v>0</v>
      </c>
      <c r="D243">
        <v>0</v>
      </c>
      <c r="E243">
        <v>-9296</v>
      </c>
      <c r="F243">
        <v>-3646</v>
      </c>
      <c r="G243">
        <v>-27031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-26461</v>
      </c>
      <c r="F249">
        <v>873</v>
      </c>
      <c r="G249">
        <v>6698</v>
      </c>
      <c r="H249">
        <v>-6471</v>
      </c>
      <c r="I249">
        <v>7812</v>
      </c>
      <c r="J249">
        <v>844</v>
      </c>
      <c r="K249">
        <v>-1771</v>
      </c>
    </row>
    <row r="250" spans="2:11" x14ac:dyDescent="0.45">
      <c r="B250">
        <v>-817</v>
      </c>
      <c r="C250">
        <v>-2614</v>
      </c>
      <c r="D250">
        <v>584</v>
      </c>
      <c r="E250">
        <v>-1237</v>
      </c>
      <c r="F250">
        <v>7489</v>
      </c>
      <c r="G250">
        <v>-11691</v>
      </c>
      <c r="H250">
        <v>3446</v>
      </c>
      <c r="I250">
        <v>191</v>
      </c>
      <c r="J250">
        <v>6353</v>
      </c>
      <c r="K250">
        <v>1839</v>
      </c>
    </row>
    <row r="251" spans="2:11" x14ac:dyDescent="0.45">
      <c r="B251">
        <v>-6305</v>
      </c>
      <c r="C251">
        <v>-1964</v>
      </c>
      <c r="D251">
        <v>-2093</v>
      </c>
      <c r="E251">
        <v>0</v>
      </c>
      <c r="F251">
        <v>0</v>
      </c>
      <c r="G251">
        <v>3370</v>
      </c>
      <c r="H251">
        <v>-1021</v>
      </c>
      <c r="I251">
        <v>176</v>
      </c>
      <c r="J251">
        <v>-960</v>
      </c>
      <c r="K251">
        <v>8659</v>
      </c>
    </row>
    <row r="252" spans="2:11" x14ac:dyDescent="0.45">
      <c r="B252">
        <v>0</v>
      </c>
      <c r="C252">
        <v>-3603</v>
      </c>
      <c r="D252">
        <v>282</v>
      </c>
      <c r="E252">
        <v>0</v>
      </c>
      <c r="F252">
        <v>-765</v>
      </c>
      <c r="G252">
        <v>0</v>
      </c>
      <c r="H252">
        <v>-732</v>
      </c>
      <c r="I252">
        <v>0</v>
      </c>
      <c r="J252">
        <v>10844</v>
      </c>
      <c r="K252">
        <v>-1360</v>
      </c>
    </row>
    <row r="253" spans="2:11" x14ac:dyDescent="0.45">
      <c r="B253">
        <v>-1722</v>
      </c>
      <c r="C253">
        <v>-1629</v>
      </c>
      <c r="D253">
        <v>-1135</v>
      </c>
      <c r="E253">
        <v>-1148</v>
      </c>
      <c r="F253">
        <v>-1014</v>
      </c>
      <c r="G253">
        <v>296</v>
      </c>
      <c r="H253">
        <v>2498</v>
      </c>
      <c r="I253">
        <v>3409</v>
      </c>
      <c r="J253">
        <v>0</v>
      </c>
      <c r="K253">
        <v>-3834</v>
      </c>
    </row>
    <row r="254" spans="2:11" x14ac:dyDescent="0.45">
      <c r="B254">
        <v>0</v>
      </c>
      <c r="C254">
        <v>-1969</v>
      </c>
      <c r="D254">
        <v>0</v>
      </c>
      <c r="E254">
        <v>22726</v>
      </c>
      <c r="F254">
        <v>0</v>
      </c>
      <c r="G254">
        <v>0</v>
      </c>
      <c r="H254">
        <v>-1160</v>
      </c>
      <c r="I254">
        <v>1705</v>
      </c>
      <c r="J254">
        <v>-14310</v>
      </c>
      <c r="K254">
        <v>-45148</v>
      </c>
    </row>
    <row r="255" spans="2:11" x14ac:dyDescent="0.4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4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4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4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4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4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4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4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2" x14ac:dyDescent="0.45">
      <c r="B273">
        <v>0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L44"/>
  <sheetViews>
    <sheetView topLeftCell="A25" workbookViewId="0">
      <selection activeCell="A46" sqref="A46:K69"/>
    </sheetView>
  </sheetViews>
  <sheetFormatPr defaultRowHeight="14.25" x14ac:dyDescent="0.45"/>
  <sheetData>
    <row r="1" spans="1:11" x14ac:dyDescent="0.4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45">
      <c r="A2" s="29">
        <v>1</v>
      </c>
      <c r="B2" s="29" t="s">
        <v>294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4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4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4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4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45">
      <c r="A8" t="s">
        <v>231</v>
      </c>
      <c r="B8" t="s">
        <v>232</v>
      </c>
      <c r="C8" t="s">
        <v>221</v>
      </c>
      <c r="D8" t="s">
        <v>222</v>
      </c>
    </row>
    <row r="9" spans="1:11" x14ac:dyDescent="0.4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0.66361111111111104</v>
      </c>
      <c r="G9" t="s">
        <v>227</v>
      </c>
      <c r="H9">
        <v>2</v>
      </c>
      <c r="I9" t="s">
        <v>305</v>
      </c>
      <c r="J9">
        <v>12</v>
      </c>
    </row>
    <row r="10" spans="1:11" x14ac:dyDescent="0.45">
      <c r="A10" t="s">
        <v>228</v>
      </c>
    </row>
    <row r="11" spans="1:11" x14ac:dyDescent="0.45">
      <c r="B11">
        <v>1</v>
      </c>
      <c r="C11" t="s">
        <v>62</v>
      </c>
      <c r="D11" t="s">
        <v>63</v>
      </c>
      <c r="E11">
        <v>1.4514354039999999</v>
      </c>
    </row>
    <row r="12" spans="1:11" x14ac:dyDescent="0.45">
      <c r="B12">
        <v>2</v>
      </c>
      <c r="C12" t="s">
        <v>64</v>
      </c>
      <c r="D12" t="s">
        <v>63</v>
      </c>
      <c r="E12">
        <v>1.3039408370000001</v>
      </c>
    </row>
    <row r="13" spans="1:11" x14ac:dyDescent="0.45">
      <c r="B13">
        <v>20</v>
      </c>
      <c r="C13" t="s">
        <v>68</v>
      </c>
      <c r="D13" t="s">
        <v>63</v>
      </c>
      <c r="E13">
        <v>-2.6070874005569999</v>
      </c>
    </row>
    <row r="14" spans="1:11" x14ac:dyDescent="0.45">
      <c r="B14">
        <v>30</v>
      </c>
      <c r="C14" t="s">
        <v>75</v>
      </c>
      <c r="D14" t="s">
        <v>63</v>
      </c>
      <c r="E14">
        <v>-3.4959028928209999</v>
      </c>
    </row>
    <row r="15" spans="1:11" x14ac:dyDescent="0.45">
      <c r="B15">
        <v>40</v>
      </c>
      <c r="C15" t="s">
        <v>78</v>
      </c>
      <c r="D15" t="s">
        <v>63</v>
      </c>
      <c r="E15">
        <v>-2.4199459318169998</v>
      </c>
    </row>
    <row r="16" spans="1:11" x14ac:dyDescent="0.45">
      <c r="B16">
        <v>50</v>
      </c>
      <c r="C16" t="s">
        <v>83</v>
      </c>
      <c r="D16" t="s">
        <v>63</v>
      </c>
      <c r="E16">
        <v>-3.3491921861830001</v>
      </c>
    </row>
    <row r="17" spans="2:11" x14ac:dyDescent="0.45">
      <c r="B17">
        <v>54</v>
      </c>
      <c r="C17" t="s">
        <v>85</v>
      </c>
      <c r="D17" t="s">
        <v>63</v>
      </c>
      <c r="E17">
        <v>-0.13556679399999999</v>
      </c>
    </row>
    <row r="18" spans="2:11" x14ac:dyDescent="0.45">
      <c r="B18">
        <v>55</v>
      </c>
      <c r="C18" t="s">
        <v>195</v>
      </c>
      <c r="D18" t="s">
        <v>63</v>
      </c>
      <c r="E18">
        <v>-0.13243830200000001</v>
      </c>
    </row>
    <row r="19" spans="2:11" x14ac:dyDescent="0.45">
      <c r="B19">
        <v>58</v>
      </c>
      <c r="C19" t="s">
        <v>196</v>
      </c>
      <c r="D19" t="s">
        <v>63</v>
      </c>
      <c r="E19">
        <v>2.767879803</v>
      </c>
    </row>
    <row r="20" spans="2:11" x14ac:dyDescent="0.45">
      <c r="B20">
        <v>59</v>
      </c>
      <c r="C20" t="s">
        <v>197</v>
      </c>
      <c r="D20" t="s">
        <v>63</v>
      </c>
      <c r="E20">
        <v>2.0325205080000002</v>
      </c>
    </row>
    <row r="21" spans="2:11" x14ac:dyDescent="0.45">
      <c r="B21">
        <v>60</v>
      </c>
      <c r="C21" t="s">
        <v>88</v>
      </c>
      <c r="D21" t="s">
        <v>63</v>
      </c>
      <c r="E21">
        <v>-5.9221197700000001</v>
      </c>
    </row>
    <row r="22" spans="2:11" x14ac:dyDescent="0.45">
      <c r="B22">
        <v>61</v>
      </c>
      <c r="C22" t="s">
        <v>89</v>
      </c>
      <c r="D22" t="s">
        <v>63</v>
      </c>
      <c r="E22" s="22">
        <v>-7.6114630000000003E-2</v>
      </c>
    </row>
    <row r="23" spans="2:11" x14ac:dyDescent="0.45">
      <c r="B23">
        <v>69</v>
      </c>
      <c r="C23" t="s">
        <v>198</v>
      </c>
      <c r="D23" t="s">
        <v>63</v>
      </c>
      <c r="E23">
        <v>4.2535185960000002</v>
      </c>
    </row>
    <row r="24" spans="2:11" x14ac:dyDescent="0.45">
      <c r="B24">
        <v>79</v>
      </c>
      <c r="C24" t="s">
        <v>199</v>
      </c>
      <c r="D24" t="s">
        <v>72</v>
      </c>
      <c r="E24">
        <v>5</v>
      </c>
    </row>
    <row r="25" spans="2:11" x14ac:dyDescent="0.45">
      <c r="B25">
        <v>88</v>
      </c>
      <c r="C25" t="s">
        <v>200</v>
      </c>
      <c r="D25" t="s">
        <v>63</v>
      </c>
      <c r="E25">
        <v>-0.23852894099999999</v>
      </c>
    </row>
    <row r="26" spans="2:11" x14ac:dyDescent="0.45">
      <c r="B26">
        <v>89</v>
      </c>
      <c r="C26" t="s">
        <v>201</v>
      </c>
      <c r="D26" t="s">
        <v>63</v>
      </c>
      <c r="E26">
        <v>1.318784366</v>
      </c>
    </row>
    <row r="27" spans="2:11" x14ac:dyDescent="0.45">
      <c r="B27">
        <v>99</v>
      </c>
      <c r="C27" t="s">
        <v>105</v>
      </c>
      <c r="D27" t="s">
        <v>63</v>
      </c>
      <c r="E27">
        <v>0.96666822900000005</v>
      </c>
    </row>
    <row r="28" spans="2:11" x14ac:dyDescent="0.45">
      <c r="B28">
        <v>-1</v>
      </c>
    </row>
    <row r="29" spans="2:11" x14ac:dyDescent="0.45">
      <c r="B29">
        <v>595</v>
      </c>
      <c r="C29" s="22">
        <v>-704.57773311200003</v>
      </c>
      <c r="D29" s="22">
        <v>-1007.80587887</v>
      </c>
      <c r="E29" s="22">
        <v>-516.05010951300005</v>
      </c>
    </row>
    <row r="30" spans="2:11" x14ac:dyDescent="0.45">
      <c r="B30">
        <v>21</v>
      </c>
      <c r="C30" t="s">
        <v>312</v>
      </c>
      <c r="D30" t="s">
        <v>227</v>
      </c>
      <c r="E30">
        <v>2</v>
      </c>
      <c r="F30" t="s">
        <v>305</v>
      </c>
      <c r="G30">
        <v>12</v>
      </c>
    </row>
    <row r="31" spans="2:11" x14ac:dyDescent="0.4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4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4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4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4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4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45">
      <c r="B37">
        <v>12799</v>
      </c>
      <c r="C37" s="22">
        <v>795</v>
      </c>
      <c r="D37" s="22">
        <v>2101</v>
      </c>
      <c r="E37" s="22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45">
      <c r="B38">
        <v>-16035</v>
      </c>
      <c r="C38" s="22">
        <v>-20827</v>
      </c>
      <c r="D38" s="22">
        <v>-2255</v>
      </c>
      <c r="E38" s="22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4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4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4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4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4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4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B1:AG90"/>
  <sheetViews>
    <sheetView topLeftCell="A19" workbookViewId="0" zoomScaleNormal="100">
      <selection activeCell="R55" sqref="R55"/>
    </sheetView>
  </sheetViews>
  <sheetFormatPr defaultRowHeight="14.25" x14ac:dyDescent="0.45"/>
  <cols>
    <col min="2" max="2" bestFit="true" customWidth="true" width="14.1328125" collapsed="true"/>
    <col min="4" max="4" bestFit="true" customWidth="true" width="11.73046875" collapsed="true"/>
    <col min="5" max="5" bestFit="true" customWidth="true" width="13.59765625" collapsed="true"/>
    <col min="6" max="6" bestFit="true" customWidth="true" width="9.1328125" collapsed="true"/>
    <col min="8" max="8" bestFit="true" customWidth="true" width="14.1328125" collapsed="true"/>
    <col min="10" max="10" bestFit="true" customWidth="true" width="11.73046875" collapsed="true"/>
    <col min="11" max="11" bestFit="true" customWidth="true" width="13.59765625" collapsed="true"/>
    <col min="12" max="12" bestFit="true" customWidth="true" width="9.1328125" collapsed="true"/>
    <col min="13" max="13" width="9.1328125" collapsed="true"/>
    <col min="14" max="14" bestFit="true" customWidth="true" width="14.1328125" collapsed="true"/>
    <col min="15" max="15" bestFit="true" customWidth="true" width="10.265625" collapsed="true"/>
    <col min="16" max="16" bestFit="true" customWidth="true" width="12.0" collapsed="true"/>
    <col min="17" max="17" bestFit="true" customWidth="true" width="13.86328125" collapsed="true"/>
    <col min="18" max="18" bestFit="true" customWidth="true" width="9.265625" collapsed="true"/>
    <col min="20" max="20" customWidth="true" width="5.59765625" collapsed="true"/>
    <col min="21" max="21" customWidth="true" width="12.86328125" collapsed="true"/>
    <col min="22" max="22" bestFit="true" customWidth="true" width="11.73046875" collapsed="true"/>
    <col min="23" max="23" bestFit="true" customWidth="true" width="13.59765625" collapsed="true"/>
    <col min="28" max="28" bestFit="true" customWidth="true" width="11.0" collapsed="true"/>
    <col min="29" max="30" bestFit="true" customWidth="true" width="15.3984375" collapsed="true"/>
  </cols>
  <sheetData>
    <row r="1" spans="2:32" x14ac:dyDescent="0.45">
      <c r="T1" s="23" t="s">
        <v>163</v>
      </c>
      <c r="U1" s="32"/>
      <c r="V1" s="32"/>
      <c r="W1" s="32"/>
      <c r="X1" s="32"/>
      <c r="AA1" s="23" t="s">
        <v>163</v>
      </c>
      <c r="AF1">
        <f>SUM(AE:AE)</f>
        <v>7</v>
      </c>
    </row>
    <row r="2" spans="2:32" x14ac:dyDescent="0.4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4.65" r="3" spans="2:32" thickBot="1" x14ac:dyDescent="0.5">
      <c r="B3" s="23" t="s">
        <v>256</v>
      </c>
      <c r="T3">
        <v>1</v>
      </c>
      <c r="U3" s="33" t="s">
        <v>244</v>
      </c>
      <c r="W3" s="32"/>
      <c r="X3" s="32"/>
      <c r="AA3">
        <f>WorkCoefficients!B11</f>
        <v>1</v>
      </c>
      <c r="AB3" t="str">
        <f>WorkCoefficients!C11</f>
        <v>costutil</v>
      </c>
      <c r="AC3" s="56">
        <f>WorkCoefficients!E11</f>
        <v>0.52879225600000002</v>
      </c>
      <c r="AD3" s="57">
        <f>_xlfn.IFNA(VLOOKUP(AA3,$T$31:$V$53,3,FALSE),AC3)</f>
        <v>0.52879225600000002</v>
      </c>
      <c r="AE3">
        <f>IF(AC3=AD3,0,1)</f>
        <v>0</v>
      </c>
    </row>
    <row r="4" spans="2:32" x14ac:dyDescent="0.4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291</v>
      </c>
      <c r="W4" s="32"/>
      <c r="X4" s="32"/>
      <c r="AA4">
        <f>WorkCoefficients!B12</f>
        <v>2</v>
      </c>
      <c r="AB4" t="str">
        <f>WorkCoefficients!C12</f>
        <v>timeutil</v>
      </c>
      <c r="AC4" s="56">
        <f>WorkCoefficients!E12</f>
        <v>0.558792764</v>
      </c>
      <c r="AD4" s="57">
        <f ref="AD4:AD50" si="0" t="shared">_xlfn.IFNA(VLOOKUP(AA4,$T$31:$V$53,3,FALSE),AC4)</f>
        <v>0.558792764</v>
      </c>
      <c r="AE4">
        <f ref="AE4:AE50" si="1" t="shared">IF(AC4=AD4,0,1)</f>
        <v>0</v>
      </c>
    </row>
    <row r="5" spans="2:32" x14ac:dyDescent="0.45">
      <c r="B5" s="9" t="s">
        <v>1</v>
      </c>
      <c r="C5" s="11"/>
      <c r="D5" s="11"/>
      <c r="E5" s="11">
        <v>53</v>
      </c>
      <c r="F5" s="11">
        <v>50</v>
      </c>
      <c r="T5">
        <v>3</v>
      </c>
      <c r="U5" s="32" t="s">
        <v>245</v>
      </c>
      <c r="V5" s="32"/>
      <c r="W5" s="32"/>
      <c r="X5" s="32"/>
      <c r="AA5" s="29">
        <f>WorkCoefficients!B13</f>
        <v>10</v>
      </c>
      <c r="AB5" s="29" t="str">
        <f>WorkCoefficients!C13</f>
        <v>dt-const</v>
      </c>
      <c r="AC5" s="58">
        <f>WorkCoefficients!E13</f>
        <v>-3.0007202716300001</v>
      </c>
      <c r="AD5" s="57">
        <f si="0" t="shared"/>
        <v>-3.0113045464241757</v>
      </c>
      <c r="AE5">
        <f si="1" t="shared"/>
        <v>1</v>
      </c>
    </row>
    <row r="6" spans="2:32" x14ac:dyDescent="0.4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 s="29">
        <f>WorkCoefficients!B14</f>
        <v>11</v>
      </c>
      <c r="AB6" s="29" t="str">
        <f>WorkCoefficients!C14</f>
        <v>dt-nocars</v>
      </c>
      <c r="AC6" s="58">
        <f>WorkCoefficients!E14</f>
        <v>-1.442858441531</v>
      </c>
      <c r="AD6" s="57">
        <f si="0" t="shared"/>
        <v>-1.442858441531</v>
      </c>
      <c r="AE6">
        <f si="1" t="shared"/>
        <v>0</v>
      </c>
    </row>
    <row r="7" spans="2:32" x14ac:dyDescent="0.45">
      <c r="B7" s="9" t="s">
        <v>3</v>
      </c>
      <c r="C7" s="11" t="s">
        <v>254</v>
      </c>
      <c r="D7" s="11" t="s">
        <v>255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 s="29">
        <f>WorkCoefficients!B15</f>
        <v>13</v>
      </c>
      <c r="AB7" s="29" t="str">
        <f>WorkCoefficients!C15</f>
        <v>dt-carsltw</v>
      </c>
      <c r="AC7" s="58">
        <f>WorkCoefficients!E15</f>
        <v>0.33912898903100003</v>
      </c>
      <c r="AD7" s="57">
        <f si="0" t="shared"/>
        <v>0.33912898903100003</v>
      </c>
      <c r="AE7">
        <f si="1" t="shared"/>
        <v>0</v>
      </c>
    </row>
    <row r="8" spans="2:32" x14ac:dyDescent="0.45">
      <c r="B8" s="9" t="s">
        <v>4</v>
      </c>
      <c r="C8" s="11">
        <v>11</v>
      </c>
      <c r="D8" s="11"/>
      <c r="E8" s="11">
        <v>13</v>
      </c>
      <c r="F8" s="11">
        <v>10</v>
      </c>
      <c r="T8" s="32"/>
      <c r="U8" s="32"/>
      <c r="V8" s="32"/>
      <c r="W8" s="32"/>
      <c r="X8" s="32"/>
      <c r="AA8" s="29">
        <f>WorkCoefficients!B16</f>
        <v>20</v>
      </c>
      <c r="AB8" s="29" t="str">
        <f>WorkCoefficients!C16</f>
        <v>wt-const</v>
      </c>
      <c r="AC8" s="58">
        <f>WorkCoefficients!E16</f>
        <v>-2.2144583715150001</v>
      </c>
      <c r="AD8" s="57">
        <f si="0" t="shared"/>
        <v>-2.1483116792511772</v>
      </c>
      <c r="AE8">
        <f si="1" t="shared"/>
        <v>1</v>
      </c>
    </row>
    <row r="9" spans="2:32" x14ac:dyDescent="0.4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 s="29">
        <f>WorkCoefficients!B17</f>
        <v>21</v>
      </c>
      <c r="AB9" s="29" t="str">
        <f>WorkCoefficients!C17</f>
        <v>wt-nocars</v>
      </c>
      <c r="AC9" s="58">
        <f>WorkCoefficients!E17</f>
        <v>1.5421299915340001</v>
      </c>
      <c r="AD9" s="57">
        <f si="0" t="shared"/>
        <v>1.5421299915340001</v>
      </c>
      <c r="AE9">
        <f si="1" t="shared"/>
        <v>0</v>
      </c>
    </row>
    <row r="10" spans="2:32" x14ac:dyDescent="0.4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 s="29">
        <f>WorkCoefficients!B18</f>
        <v>22</v>
      </c>
      <c r="AB10" s="29" t="str">
        <f>WorkCoefficients!C18</f>
        <v>wt-carsltd</v>
      </c>
      <c r="AC10" s="58">
        <f>WorkCoefficients!E18</f>
        <v>1.016680004923</v>
      </c>
      <c r="AD10" s="57">
        <f si="0" t="shared"/>
        <v>1.016680004923</v>
      </c>
      <c r="AE10">
        <f si="1" t="shared"/>
        <v>0</v>
      </c>
    </row>
    <row r="11" spans="2:32" x14ac:dyDescent="0.4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 s="29">
        <f>WorkCoefficients!B19</f>
        <v>30</v>
      </c>
      <c r="AB11" s="29" t="str">
        <f>WorkCoefficients!C19</f>
        <v>s3-const</v>
      </c>
      <c r="AC11" s="58">
        <f>WorkCoefficients!E19</f>
        <v>-1.318469147062</v>
      </c>
      <c r="AD11" s="57">
        <f si="0" t="shared"/>
        <v>-1.302210062483256</v>
      </c>
      <c r="AE11">
        <f si="1" t="shared"/>
        <v>1</v>
      </c>
    </row>
    <row r="12" spans="2:32" x14ac:dyDescent="0.4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WorkCoefficients!B20</f>
        <v>31</v>
      </c>
      <c r="AB12" t="str">
        <f>WorkCoefficients!C20</f>
        <v>sr-hhcu5</v>
      </c>
      <c r="AC12" s="56">
        <f>WorkCoefficients!E20</f>
        <v>0.32331883700000003</v>
      </c>
      <c r="AD12" s="57">
        <f si="0" t="shared"/>
        <v>0.32331883700000003</v>
      </c>
      <c r="AE12">
        <f si="1" t="shared"/>
        <v>0</v>
      </c>
    </row>
    <row r="13" spans="2:32" x14ac:dyDescent="0.45">
      <c r="C13" s="25"/>
      <c r="D13" s="25"/>
      <c r="T13" s="32">
        <v>4</v>
      </c>
      <c r="U13" s="32" t="s">
        <v>242</v>
      </c>
      <c r="V13" s="32"/>
      <c r="W13" s="32"/>
      <c r="X13" s="32"/>
      <c r="AA13">
        <f>WorkCoefficients!B21</f>
        <v>32</v>
      </c>
      <c r="AB13" t="str">
        <f>WorkCoefficients!C21</f>
        <v>sr-hh515</v>
      </c>
      <c r="AC13" s="56">
        <f>WorkCoefficients!E21</f>
        <v>0.27882626900000002</v>
      </c>
      <c r="AD13" s="57">
        <f si="0" t="shared"/>
        <v>0.27882626900000002</v>
      </c>
      <c r="AE13">
        <f si="1" t="shared"/>
        <v>0</v>
      </c>
    </row>
    <row r="14" spans="2:32" x14ac:dyDescent="0.45">
      <c r="B14" s="37" t="s">
        <v>303</v>
      </c>
      <c r="T14" s="32">
        <v>5</v>
      </c>
      <c r="U14" s="33" t="s">
        <v>292</v>
      </c>
      <c r="V14" s="32"/>
      <c r="W14" s="32"/>
      <c r="X14" s="32"/>
      <c r="AA14">
        <f>WorkCoefficients!B22</f>
        <v>35</v>
      </c>
      <c r="AB14" t="str">
        <f>WorkCoefficients!C22</f>
        <v>sr-lndist</v>
      </c>
      <c r="AC14" s="56">
        <f>WorkCoefficients!E22</f>
        <v>-0.13581644000000001</v>
      </c>
      <c r="AD14" s="57">
        <f si="0" t="shared"/>
        <v>-0.13581644000000001</v>
      </c>
      <c r="AE14">
        <f si="1" t="shared"/>
        <v>0</v>
      </c>
    </row>
    <row r="15" spans="2:32" x14ac:dyDescent="0.45">
      <c r="B15" s="106" t="s">
        <v>293</v>
      </c>
      <c r="C15" s="106"/>
      <c r="D15" s="106"/>
      <c r="E15" s="106"/>
      <c r="F15" s="106"/>
      <c r="H15" s="105" t="s">
        <v>33</v>
      </c>
      <c r="I15" s="105"/>
      <c r="J15" s="105"/>
      <c r="K15" s="105"/>
      <c r="L15" s="105"/>
      <c r="T15" s="32">
        <v>6</v>
      </c>
      <c r="U15" s="32" t="s">
        <v>246</v>
      </c>
      <c r="V15" s="32"/>
      <c r="W15" s="32"/>
      <c r="X15" s="32"/>
      <c r="AA15" s="29">
        <f>WorkCoefficients!B23</f>
        <v>36</v>
      </c>
      <c r="AB15" s="29" t="str">
        <f>WorkCoefficients!C23</f>
        <v>s3-nocars</v>
      </c>
      <c r="AC15" s="58">
        <f>WorkCoefficients!E23</f>
        <v>0.221506127287</v>
      </c>
      <c r="AD15" s="57">
        <f si="0" t="shared"/>
        <v>0.221506127287</v>
      </c>
      <c r="AE15">
        <f si="1" t="shared"/>
        <v>0</v>
      </c>
    </row>
    <row ht="14.65" r="16" spans="2:32" thickBot="1" x14ac:dyDescent="0.5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 s="29">
        <f>WorkCoefficients!B24</f>
        <v>37</v>
      </c>
      <c r="AB16" s="29" t="str">
        <f>WorkCoefficients!C24</f>
        <v>s3-carsltd</v>
      </c>
      <c r="AC16" s="58">
        <f>WorkCoefficients!E24</f>
        <v>-0.38934722737299998</v>
      </c>
      <c r="AD16" s="57">
        <f si="0" t="shared"/>
        <v>-0.38934722737299998</v>
      </c>
      <c r="AE16">
        <f si="1" t="shared"/>
        <v>0</v>
      </c>
    </row>
    <row r="17" spans="2:31" x14ac:dyDescent="0.4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WorkCoefficients!B25</f>
        <v>38</v>
      </c>
      <c r="AB17" t="str">
        <f>WorkCoefficients!C25</f>
        <v>s3-onephh</v>
      </c>
      <c r="AC17" s="56">
        <f>WorkCoefficients!E25</f>
        <v>-0.61753363800000005</v>
      </c>
      <c r="AD17" s="57">
        <f si="0" t="shared"/>
        <v>-0.61753363800000005</v>
      </c>
      <c r="AE17">
        <f si="1" t="shared"/>
        <v>0</v>
      </c>
    </row>
    <row r="18" spans="2:31" x14ac:dyDescent="0.45">
      <c r="B18" s="9" t="s">
        <v>1</v>
      </c>
      <c r="C18" s="9">
        <v>0</v>
      </c>
      <c r="D18" s="9">
        <v>50623.861758707731</v>
      </c>
      <c r="E18" s="9">
        <v>12977.982402811898</v>
      </c>
      <c r="F18" s="9">
        <v>478933.26253336162</v>
      </c>
      <c r="H18" s="9" t="s">
        <v>1</v>
      </c>
      <c r="I18" s="9">
        <f>Work!K4</f>
        <v>0</v>
      </c>
      <c r="J18" s="9">
        <f>Work!N4</f>
        <v>52036</v>
      </c>
      <c r="K18" s="9">
        <f>Work!P4</f>
        <v>16819</v>
      </c>
      <c r="L18" s="9">
        <f>Work!Q4</f>
        <v>475818</v>
      </c>
      <c r="M18" s="9"/>
      <c r="N18" s="9" t="s">
        <v>1</v>
      </c>
      <c r="O18" s="50" t="str">
        <f>IF(ISBLANK(C5),"",C5)</f>
        <v/>
      </c>
      <c r="P18" s="50" t="str">
        <f ref="P18:R18" si="2" t="shared">IF(ISBLANK(D5),"",D5)</f>
        <v/>
      </c>
      <c r="Q18" s="50">
        <f si="2" t="shared"/>
        <v>53</v>
      </c>
      <c r="R18" s="50">
        <f si="2" t="shared"/>
        <v>50</v>
      </c>
      <c r="AA18">
        <f>WorkCoefficients!B26</f>
        <v>39</v>
      </c>
      <c r="AB18" t="str">
        <f>WorkCoefficients!C26</f>
        <v>s3-twophh</v>
      </c>
      <c r="AC18" s="56">
        <f>WorkCoefficients!E26</f>
        <v>-1.2453283429999999</v>
      </c>
      <c r="AD18" s="57">
        <f si="0" t="shared"/>
        <v>-1.2453283429999999</v>
      </c>
      <c r="AE18">
        <f si="1" t="shared"/>
        <v>0</v>
      </c>
    </row>
    <row r="19" spans="2:31" x14ac:dyDescent="0.45">
      <c r="B19" s="9" t="s">
        <v>2</v>
      </c>
      <c r="C19" s="9">
        <v>407.40952561829999</v>
      </c>
      <c r="D19" s="9">
        <v>31656.792037326537</v>
      </c>
      <c r="E19" s="9">
        <v>17546.922422189069</v>
      </c>
      <c r="F19" s="9">
        <v>135556.67472182235</v>
      </c>
      <c r="H19" s="9" t="s">
        <v>2</v>
      </c>
      <c r="I19" s="9">
        <f>Work!K5</f>
        <v>727</v>
      </c>
      <c r="J19" s="9">
        <f>Work!N5</f>
        <v>33177</v>
      </c>
      <c r="K19" s="9">
        <f>Work!P5</f>
        <v>20599</v>
      </c>
      <c r="L19" s="9">
        <f>Work!Q5</f>
        <v>135442</v>
      </c>
      <c r="M19" s="9"/>
      <c r="N19" s="9" t="s">
        <v>2</v>
      </c>
      <c r="O19" s="11">
        <f ref="O19:O25" si="3" t="shared">IF(ISBLANK(C6),"",C6)</f>
        <v>41</v>
      </c>
      <c r="P19" s="11">
        <f ref="P19:P25" si="4" t="shared">IF(ISBLANK(D6),"",D6)</f>
        <v>42</v>
      </c>
      <c r="Q19" s="11" t="str">
        <f ref="Q19:Q25" si="5" t="shared">IF(ISBLANK(E6),"",E6)</f>
        <v/>
      </c>
      <c r="R19" s="11">
        <f ref="R19:R25" si="6" t="shared">IF(ISBLANK(F6),"",F6)</f>
        <v>40</v>
      </c>
      <c r="T19" s="9"/>
      <c r="AA19" s="29">
        <f>WorkCoefficients!B27</f>
        <v>40</v>
      </c>
      <c r="AB19" s="29" t="str">
        <f>WorkCoefficients!C27</f>
        <v>s2-const</v>
      </c>
      <c r="AC19" s="58">
        <f>WorkCoefficients!E27</f>
        <v>-0.65875918050299997</v>
      </c>
      <c r="AD19" s="57">
        <f si="0" t="shared"/>
        <v>-0.66588631692227096</v>
      </c>
      <c r="AE19">
        <f si="1" t="shared"/>
        <v>1</v>
      </c>
    </row>
    <row r="20" spans="2:31" x14ac:dyDescent="0.45">
      <c r="B20" s="9" t="s">
        <v>3</v>
      </c>
      <c r="C20" s="9">
        <v>0</v>
      </c>
      <c r="D20" s="9">
        <v>9327.6644439305055</v>
      </c>
      <c r="E20" s="9">
        <v>3428.2737055664356</v>
      </c>
      <c r="F20" s="9">
        <v>50762.314926553125</v>
      </c>
      <c r="H20" s="9" t="s">
        <v>3</v>
      </c>
      <c r="I20" s="9">
        <f>Work!K6</f>
        <v>955</v>
      </c>
      <c r="J20" s="9">
        <f>Work!N6</f>
        <v>9721</v>
      </c>
      <c r="K20" s="9">
        <f>Work!P6</f>
        <v>5922</v>
      </c>
      <c r="L20" s="9">
        <f>Work!Q6</f>
        <v>49547</v>
      </c>
      <c r="M20" s="9"/>
      <c r="N20" s="9" t="s">
        <v>3</v>
      </c>
      <c r="O20" s="11">
        <v>36</v>
      </c>
      <c r="P20" s="11">
        <v>37</v>
      </c>
      <c r="Q20" s="11" t="str">
        <f si="5" t="shared"/>
        <v/>
      </c>
      <c r="R20" s="11">
        <f si="6" t="shared"/>
        <v>30</v>
      </c>
      <c r="T20" s="9"/>
      <c r="AA20" s="29">
        <f>WorkCoefficients!B28</f>
        <v>41</v>
      </c>
      <c r="AB20" s="29" t="str">
        <f>WorkCoefficients!C28</f>
        <v>sr-nocars</v>
      </c>
      <c r="AC20" s="58">
        <f>WorkCoefficients!E28</f>
        <v>-4.4897947060499996</v>
      </c>
      <c r="AD20" s="57">
        <f si="0" t="shared"/>
        <v>-4.4897947060499996</v>
      </c>
      <c r="AE20">
        <f si="1" t="shared"/>
        <v>0</v>
      </c>
    </row>
    <row r="21" spans="2:31" x14ac:dyDescent="0.45">
      <c r="B21" s="9" t="s">
        <v>4</v>
      </c>
      <c r="C21" s="9">
        <v>254.70654566064997</v>
      </c>
      <c r="D21" s="9"/>
      <c r="E21" s="9">
        <v>142.50185732995288</v>
      </c>
      <c r="F21" s="9">
        <v>641.32342827594528</v>
      </c>
      <c r="H21" s="9" t="s">
        <v>4</v>
      </c>
      <c r="I21" s="9">
        <f>Work!K7</f>
        <v>217</v>
      </c>
      <c r="J21" s="9">
        <f>Work!N7</f>
        <v>81</v>
      </c>
      <c r="K21" s="9">
        <f>Work!P7</f>
        <v>55</v>
      </c>
      <c r="L21" s="9">
        <f>Work!Q7</f>
        <v>643</v>
      </c>
      <c r="M21" s="9"/>
      <c r="N21" s="9" t="s">
        <v>4</v>
      </c>
      <c r="O21" s="11">
        <f si="3" t="shared"/>
        <v>11</v>
      </c>
      <c r="P21" s="11" t="str">
        <f si="4" t="shared"/>
        <v/>
      </c>
      <c r="Q21" s="11">
        <f si="5" t="shared"/>
        <v>13</v>
      </c>
      <c r="R21" s="11">
        <f si="6" t="shared"/>
        <v>10</v>
      </c>
      <c r="T21" s="9"/>
      <c r="AA21" s="29">
        <f>WorkCoefficients!B29</f>
        <v>42</v>
      </c>
      <c r="AB21" s="29" t="str">
        <f>WorkCoefficients!C29</f>
        <v>sr-carsltd</v>
      </c>
      <c r="AC21" s="58">
        <f>WorkCoefficients!E29</f>
        <v>0.46242029547000002</v>
      </c>
      <c r="AD21" s="57">
        <f si="0" t="shared"/>
        <v>0.46242029547000002</v>
      </c>
      <c r="AE21">
        <f si="1" t="shared"/>
        <v>0</v>
      </c>
    </row>
    <row r="22" spans="2:31" x14ac:dyDescent="0.45">
      <c r="B22" s="9" t="s">
        <v>5</v>
      </c>
      <c r="C22" s="9">
        <v>3128.0730570247456</v>
      </c>
      <c r="D22" s="9"/>
      <c r="E22" s="9">
        <v>1598.7925090965384</v>
      </c>
      <c r="F22" s="9">
        <v>5400.8349511248553</v>
      </c>
      <c r="H22" s="9" t="s">
        <v>5</v>
      </c>
      <c r="I22" s="9">
        <f>Work!K8</f>
        <v>3704</v>
      </c>
      <c r="J22" s="9">
        <f>Work!N8</f>
        <v>571</v>
      </c>
      <c r="K22" s="9">
        <f>Work!P8</f>
        <v>355</v>
      </c>
      <c r="L22" s="9">
        <f>Work!Q8</f>
        <v>5015</v>
      </c>
      <c r="M22" s="9"/>
      <c r="N22" s="9" t="s">
        <v>5</v>
      </c>
      <c r="O22" s="11">
        <f si="3" t="shared"/>
        <v>21</v>
      </c>
      <c r="P22" s="11">
        <f si="4" t="shared"/>
        <v>22</v>
      </c>
      <c r="Q22" s="11" t="str">
        <f si="5" t="shared"/>
        <v/>
      </c>
      <c r="R22" s="11">
        <f si="6" t="shared"/>
        <v>20</v>
      </c>
      <c r="T22" s="9"/>
      <c r="AA22">
        <f>WorkCoefficients!B30</f>
        <v>48</v>
      </c>
      <c r="AB22" t="str">
        <f>WorkCoefficients!C30</f>
        <v>s2-onephh</v>
      </c>
      <c r="AC22" s="56">
        <f>WorkCoefficients!E30</f>
        <v>-0.39332327500000003</v>
      </c>
      <c r="AD22" s="57">
        <f si="0" t="shared"/>
        <v>-0.39332327500000003</v>
      </c>
      <c r="AE22">
        <f si="1" t="shared"/>
        <v>0</v>
      </c>
    </row>
    <row r="23" spans="2:31" x14ac:dyDescent="0.45">
      <c r="B23" s="9" t="s">
        <v>6</v>
      </c>
      <c r="C23" s="9">
        <v>380.47057935470775</v>
      </c>
      <c r="D23" s="9">
        <v>1100.070109818048</v>
      </c>
      <c r="E23" s="9">
        <v>253.74048309142668</v>
      </c>
      <c r="F23" s="9">
        <v>4492.4701638365323</v>
      </c>
      <c r="H23" s="9" t="s">
        <v>6</v>
      </c>
      <c r="I23" s="9">
        <f>Work!K9</f>
        <v>663</v>
      </c>
      <c r="J23" s="9">
        <f>Work!N9</f>
        <v>947</v>
      </c>
      <c r="K23" s="9">
        <f>Work!P9</f>
        <v>750</v>
      </c>
      <c r="L23" s="9">
        <f>Work!Q9</f>
        <v>4434</v>
      </c>
      <c r="M23" s="9"/>
      <c r="N23" s="9" t="s">
        <v>6</v>
      </c>
      <c r="O23" s="11">
        <f si="3" t="shared"/>
        <v>67</v>
      </c>
      <c r="P23" s="11">
        <f si="4" t="shared"/>
        <v>68</v>
      </c>
      <c r="Q23" s="11" t="str">
        <f si="5" t="shared"/>
        <v/>
      </c>
      <c r="R23" s="11">
        <f si="6" t="shared"/>
        <v>60</v>
      </c>
      <c r="T23" s="9"/>
      <c r="AA23" s="29">
        <f>WorkCoefficients!B31</f>
        <v>50</v>
      </c>
      <c r="AB23" s="29" t="str">
        <f>WorkCoefficients!C31</f>
        <v>da-const</v>
      </c>
      <c r="AC23" s="58">
        <f>WorkCoefficients!E31</f>
        <v>2.25898164027</v>
      </c>
      <c r="AD23" s="57">
        <f si="0" t="shared"/>
        <v>2.2575340246279918</v>
      </c>
      <c r="AE23">
        <f si="1" t="shared"/>
        <v>1</v>
      </c>
    </row>
    <row r="24" spans="2:31" x14ac:dyDescent="0.45">
      <c r="B24" s="9" t="s">
        <v>7</v>
      </c>
      <c r="C24" s="9">
        <v>418.05253523606785</v>
      </c>
      <c r="D24" s="9">
        <v>3405.8647915411029</v>
      </c>
      <c r="E24" s="9">
        <v>2390.4034519990946</v>
      </c>
      <c r="F24" s="9">
        <v>6179.119275025565</v>
      </c>
      <c r="H24" s="9" t="s">
        <v>7</v>
      </c>
      <c r="I24" s="9">
        <f>Work!K10</f>
        <v>794</v>
      </c>
      <c r="J24" s="9">
        <f>Work!N10</f>
        <v>3921</v>
      </c>
      <c r="K24" s="9">
        <f>Work!P10</f>
        <v>2324</v>
      </c>
      <c r="L24" s="9">
        <f>Work!Q10</f>
        <v>5651</v>
      </c>
      <c r="M24" s="9"/>
      <c r="N24" s="9" t="s">
        <v>7</v>
      </c>
      <c r="O24" s="11">
        <f si="3" t="shared"/>
        <v>77</v>
      </c>
      <c r="P24" s="11">
        <f si="4" t="shared"/>
        <v>78</v>
      </c>
      <c r="Q24" s="11" t="str">
        <f si="5" t="shared"/>
        <v/>
      </c>
      <c r="R24" s="11">
        <f si="6" t="shared"/>
        <v>70</v>
      </c>
      <c r="T24" s="9"/>
      <c r="AA24" s="29">
        <f>WorkCoefficients!B32</f>
        <v>53</v>
      </c>
      <c r="AB24" s="29" t="str">
        <f>WorkCoefficients!C32</f>
        <v>da-carsltw</v>
      </c>
      <c r="AC24" s="58">
        <f>WorkCoefficients!E32</f>
        <v>-2.0408811449069999</v>
      </c>
      <c r="AD24" s="57">
        <f si="0" t="shared"/>
        <v>-2.0408811449069999</v>
      </c>
      <c r="AE24">
        <f si="1" t="shared"/>
        <v>0</v>
      </c>
    </row>
    <row r="25" spans="2:31" x14ac:dyDescent="0.45">
      <c r="B25" s="9" t="s">
        <v>8</v>
      </c>
      <c r="C25" s="9">
        <v>0</v>
      </c>
      <c r="D25" s="9">
        <v>0</v>
      </c>
      <c r="E25" s="9">
        <v>0</v>
      </c>
      <c r="F25" s="9">
        <v>0</v>
      </c>
      <c r="H25" s="9" t="s">
        <v>8</v>
      </c>
      <c r="I25" s="9">
        <f>Work!K11</f>
        <v>0</v>
      </c>
      <c r="J25" s="9">
        <f>Work!N11</f>
        <v>0</v>
      </c>
      <c r="K25" s="9">
        <f>Work!P11</f>
        <v>0</v>
      </c>
      <c r="L25" s="9">
        <f>Work!Q11</f>
        <v>0</v>
      </c>
      <c r="M25" s="9"/>
      <c r="N25" s="9" t="s">
        <v>8</v>
      </c>
      <c r="O25" s="11" t="str">
        <f si="3" t="shared"/>
        <v/>
      </c>
      <c r="P25" s="11" t="str">
        <f si="4" t="shared"/>
        <v/>
      </c>
      <c r="Q25" s="11" t="str">
        <f si="5" t="shared"/>
        <v/>
      </c>
      <c r="R25" s="11" t="str">
        <f si="6" t="shared"/>
        <v/>
      </c>
      <c r="T25" s="9"/>
      <c r="AA25">
        <f>WorkCoefficients!B33</f>
        <v>54</v>
      </c>
      <c r="AB25" t="str">
        <f>WorkCoefficients!C33</f>
        <v>da-incu25</v>
      </c>
      <c r="AC25" s="56">
        <f>WorkCoefficients!E33</f>
        <v>-0.17415467700000001</v>
      </c>
      <c r="AD25" s="57">
        <f si="0" t="shared"/>
        <v>-0.17415467700000001</v>
      </c>
      <c r="AE25">
        <f si="1" t="shared"/>
        <v>0</v>
      </c>
    </row>
    <row r="26" spans="2:31" x14ac:dyDescent="0.45">
      <c r="B26" s="9" t="s">
        <v>302</v>
      </c>
      <c r="C26" s="9">
        <f>Work!B12</f>
        <v>0</v>
      </c>
      <c r="D26" s="9">
        <f>Work!E12</f>
        <v>0</v>
      </c>
      <c r="E26" s="9">
        <f>Work!G12</f>
        <v>0</v>
      </c>
      <c r="F26" s="9">
        <f>Work!H12</f>
        <v>0</v>
      </c>
      <c r="H26" s="9" t="s">
        <v>302</v>
      </c>
      <c r="I26" s="9">
        <f>Work!K12</f>
        <v>0</v>
      </c>
      <c r="J26" s="9">
        <f>Work!N12</f>
        <v>0</v>
      </c>
      <c r="K26" s="9">
        <f>Work!P12</f>
        <v>0</v>
      </c>
      <c r="L26" s="9">
        <f>Work!Q12</f>
        <v>0</v>
      </c>
      <c r="M26" s="9"/>
      <c r="N26" s="12" t="s">
        <v>302</v>
      </c>
      <c r="O26" s="7">
        <v>81</v>
      </c>
      <c r="P26" s="7">
        <v>82</v>
      </c>
      <c r="Q26" s="7"/>
      <c r="R26" s="7">
        <v>80</v>
      </c>
      <c r="T26" s="9"/>
      <c r="AA26" s="29">
        <f>WorkCoefficients!B34</f>
        <v>60</v>
      </c>
      <c r="AB26" s="29" t="str">
        <f>WorkCoefficients!C34</f>
        <v>bi-const</v>
      </c>
      <c r="AC26" s="58">
        <f>WorkCoefficients!E34</f>
        <v>-8.4156031205220003</v>
      </c>
      <c r="AD26" s="57">
        <f si="0" t="shared"/>
        <v>-8.4104759819086787</v>
      </c>
      <c r="AE26">
        <f si="1" t="shared"/>
        <v>1</v>
      </c>
    </row>
    <row ht="14.65" r="27" spans="2:31" thickBot="1" x14ac:dyDescent="0.5">
      <c r="B27" s="43" t="s">
        <v>19</v>
      </c>
      <c r="C27" s="43">
        <f>SUM(C18:C26)</f>
        <v>4588.7122428944722</v>
      </c>
      <c r="D27" s="43">
        <f ref="D27:F27" si="7" t="shared">SUM(D18:D26)</f>
        <v>96114.253141323919</v>
      </c>
      <c r="E27" s="43">
        <f si="7" t="shared"/>
        <v>38338.616832084408</v>
      </c>
      <c r="F27" s="43">
        <f si="7" t="shared"/>
        <v>681966</v>
      </c>
      <c r="H27" s="43" t="s">
        <v>19</v>
      </c>
      <c r="I27" s="43">
        <f>SUM(I18:I26)</f>
        <v>7060</v>
      </c>
      <c r="J27" s="43">
        <f ref="J27" si="8" t="shared">SUM(J18:J26)</f>
        <v>100454</v>
      </c>
      <c r="K27" s="43">
        <f ref="K27" si="9" t="shared">SUM(K18:K26)</f>
        <v>46824</v>
      </c>
      <c r="L27" s="43">
        <f ref="L27" si="10" t="shared">SUM(L18:L26)</f>
        <v>676550</v>
      </c>
      <c r="AA27">
        <f>WorkCoefficients!B35</f>
        <v>61</v>
      </c>
      <c r="AB27" t="str">
        <f>WorkCoefficients!C35</f>
        <v>bi-male</v>
      </c>
      <c r="AC27" s="56">
        <f>WorkCoefficients!E35</f>
        <v>0.76617238600000004</v>
      </c>
      <c r="AD27" s="57">
        <f si="0" t="shared"/>
        <v>0.76617238600000004</v>
      </c>
      <c r="AE27">
        <f si="1" t="shared"/>
        <v>0</v>
      </c>
    </row>
    <row r="28" spans="2:31" x14ac:dyDescent="0.45">
      <c r="F28" s="9"/>
      <c r="AA28">
        <f>WorkCoefficients!B36</f>
        <v>63</v>
      </c>
      <c r="AB28" t="str">
        <f>WorkCoefficients!C36</f>
        <v>bi-ageo50</v>
      </c>
      <c r="AC28" s="56">
        <f>WorkCoefficients!E36</f>
        <v>-0.66187614500000003</v>
      </c>
      <c r="AD28" s="57">
        <f si="0" t="shared"/>
        <v>-0.66187614500000003</v>
      </c>
      <c r="AE28">
        <f si="1" t="shared"/>
        <v>0</v>
      </c>
    </row>
    <row ht="14.65" r="29" spans="2:31" thickBot="1" x14ac:dyDescent="0.5">
      <c r="B29" s="37" t="s">
        <v>267</v>
      </c>
      <c r="H29" s="37" t="s">
        <v>268</v>
      </c>
      <c r="N29" s="23" t="s">
        <v>257</v>
      </c>
      <c r="T29" s="5" t="s">
        <v>213</v>
      </c>
      <c r="AA29" s="29">
        <f>WorkCoefficients!B37</f>
        <v>67</v>
      </c>
      <c r="AB29" s="29" t="str">
        <f>WorkCoefficients!C37</f>
        <v>bi-nocars</v>
      </c>
      <c r="AC29" s="58">
        <f>WorkCoefficients!E37</f>
        <v>-2.1268647009919999</v>
      </c>
      <c r="AD29" s="57">
        <f si="0" t="shared"/>
        <v>-2.1268647009919999</v>
      </c>
      <c r="AE29">
        <f si="1" t="shared"/>
        <v>0</v>
      </c>
    </row>
    <row r="30" spans="2:31" x14ac:dyDescent="0.4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 s="29">
        <f>WorkCoefficients!B38</f>
        <v>68</v>
      </c>
      <c r="AB30" s="29" t="str">
        <f>WorkCoefficients!C38</f>
        <v>bi-carsltd</v>
      </c>
      <c r="AC30" s="58">
        <f>WorkCoefficients!E38</f>
        <v>0.75586563750299995</v>
      </c>
      <c r="AD30" s="57">
        <f si="0" t="shared"/>
        <v>0.75586563750299995</v>
      </c>
      <c r="AE30">
        <f si="1" t="shared"/>
        <v>0</v>
      </c>
    </row>
    <row r="31" spans="2:31" x14ac:dyDescent="0.45">
      <c r="B31" s="9" t="s">
        <v>1</v>
      </c>
      <c r="C31" s="35">
        <f ref="C31:C39" si="11" t="shared">$C18/C$27</f>
        <v>0</v>
      </c>
      <c r="D31" s="35">
        <f ref="D31:D39" si="12" t="shared">$D18/D$27</f>
        <v>0.52670504221961456</v>
      </c>
      <c r="E31" s="35">
        <f ref="E31:E39" si="13" t="shared">$E18/E$27</f>
        <v>0.33850940579449973</v>
      </c>
      <c r="F31" s="35">
        <f ref="F31:F39" si="14" t="shared">$F18/F$27</f>
        <v>0.70228319671854844</v>
      </c>
      <c r="H31" s="9" t="s">
        <v>1</v>
      </c>
      <c r="I31" s="26">
        <f ref="I31:I39" si="15" t="shared">$I18/I$27</f>
        <v>0</v>
      </c>
      <c r="J31" s="26">
        <f ref="J31:J39" si="16" t="shared">$J18/J$27</f>
        <v>0.51800824257869271</v>
      </c>
      <c r="K31" s="26">
        <f ref="K31:K39" si="17" t="shared">$K18/K$27</f>
        <v>0.35919613873227407</v>
      </c>
      <c r="L31" s="26">
        <f ref="L31:L39" si="18" t="shared">$L18/L$27</f>
        <v>0.7033005690636317</v>
      </c>
      <c r="M31" s="26"/>
      <c r="N31" s="9" t="s">
        <v>1</v>
      </c>
      <c r="O31" s="40" t="str">
        <f ref="O31:R38" si="19" t="shared">IF(O18="","-",C31/I31)</f>
        <v>-</v>
      </c>
      <c r="P31" s="40" t="str">
        <f si="19" t="shared"/>
        <v>-</v>
      </c>
      <c r="Q31" s="40">
        <f si="19" t="shared"/>
        <v>0.94240825357759994</v>
      </c>
      <c r="R31" s="40">
        <f si="19" t="shared"/>
        <v>0.9985534316480964</v>
      </c>
      <c r="T31">
        <v>10</v>
      </c>
      <c r="U31" t="str">
        <f>VLOOKUP(T31,$AA$3:$AB$48,2,FALSE)</f>
        <v>dt-const</v>
      </c>
      <c r="V31" s="30">
        <f>R85</f>
        <v>-3.0113045464241757</v>
      </c>
      <c r="AA31" s="29">
        <f>WorkCoefficients!B39</f>
        <v>70</v>
      </c>
      <c r="AB31" s="29" t="str">
        <f>WorkCoefficients!C39</f>
        <v>wk-const</v>
      </c>
      <c r="AC31" s="58">
        <f>WorkCoefficients!E39</f>
        <v>1.043171365831</v>
      </c>
      <c r="AD31" s="57">
        <f si="0" t="shared"/>
        <v>1.1245411458466346</v>
      </c>
      <c r="AE31">
        <f si="1" t="shared"/>
        <v>1</v>
      </c>
    </row>
    <row r="32" spans="2:31" x14ac:dyDescent="0.45">
      <c r="B32" s="9" t="s">
        <v>2</v>
      </c>
      <c r="C32" s="35">
        <f si="11" t="shared"/>
        <v>8.8785154538545186E-2</v>
      </c>
      <c r="D32" s="35">
        <f si="12" t="shared"/>
        <v>0.32936625945351938</v>
      </c>
      <c r="E32" s="35">
        <f si="13" t="shared"/>
        <v>0.4576827197246352</v>
      </c>
      <c r="F32" s="35">
        <f si="14" t="shared"/>
        <v>0.19877336219374916</v>
      </c>
      <c r="H32" s="9" t="s">
        <v>2</v>
      </c>
      <c r="I32" s="26">
        <f si="15" t="shared"/>
        <v>0.10297450424929179</v>
      </c>
      <c r="J32" s="26">
        <f si="16" t="shared"/>
        <v>0.33027057160491369</v>
      </c>
      <c r="K32" s="26">
        <f si="17" t="shared"/>
        <v>0.43992397061336069</v>
      </c>
      <c r="L32" s="26">
        <f si="18" t="shared"/>
        <v>0.20019510753085507</v>
      </c>
      <c r="M32" s="26"/>
      <c r="N32" s="9" t="s">
        <v>2</v>
      </c>
      <c r="O32" s="59">
        <f>IF(O19="","-",(C32+C33)/(I32+I33))</f>
        <v>0.37266539300958917</v>
      </c>
      <c r="P32" s="60">
        <f>IF(P19="","-",(D32+D33)/(J32+J33))</f>
        <v>0.99853105034365697</v>
      </c>
      <c r="Q32" s="41" t="str">
        <f si="19" t="shared"/>
        <v>-</v>
      </c>
      <c r="R32" s="41">
        <f si="19" t="shared"/>
        <v>0.99289820138643115</v>
      </c>
      <c r="T32">
        <v>11</v>
      </c>
      <c r="U32" t="str">
        <f ref="U32:U53" si="20" t="shared">VLOOKUP(T32,$AA$3:$AB$48,2,FALSE)</f>
        <v>dt-nocars</v>
      </c>
      <c r="V32" s="30">
        <f>O85</f>
        <v>-1.442858441531</v>
      </c>
      <c r="AA32">
        <f>WorkCoefficients!B40</f>
        <v>71</v>
      </c>
      <c r="AB32" t="str">
        <f>WorkCoefficients!C40</f>
        <v>wk-male</v>
      </c>
      <c r="AC32" s="56">
        <f>WorkCoefficients!E40</f>
        <v>-0.65970901100000001</v>
      </c>
      <c r="AD32" s="57">
        <f si="0" t="shared"/>
        <v>-0.65970901100000001</v>
      </c>
      <c r="AE32">
        <f si="1" t="shared"/>
        <v>0</v>
      </c>
    </row>
    <row r="33" spans="2:31" x14ac:dyDescent="0.45">
      <c r="B33" s="9" t="s">
        <v>3</v>
      </c>
      <c r="C33" s="35">
        <f si="11" t="shared"/>
        <v>0</v>
      </c>
      <c r="D33" s="35">
        <f si="12" t="shared"/>
        <v>9.7047671277384298E-2</v>
      </c>
      <c r="E33" s="35">
        <f si="13" t="shared"/>
        <v>8.9420902182819978E-2</v>
      </c>
      <c r="F33" s="35">
        <f si="14" t="shared"/>
        <v>7.4435257661750187E-2</v>
      </c>
      <c r="H33" s="9" t="s">
        <v>3</v>
      </c>
      <c r="I33" s="26">
        <f si="15" t="shared"/>
        <v>0.13526912181303116</v>
      </c>
      <c r="J33" s="26">
        <f si="16" t="shared"/>
        <v>9.6770661198160357E-2</v>
      </c>
      <c r="K33" s="26">
        <f si="17" t="shared"/>
        <v>0.12647360328036905</v>
      </c>
      <c r="L33" s="26">
        <f si="18" t="shared"/>
        <v>7.3234794176335827E-2</v>
      </c>
      <c r="M33" s="26"/>
      <c r="N33" s="9" t="s">
        <v>3</v>
      </c>
      <c r="O33" s="41">
        <f si="19" t="shared"/>
        <v>0</v>
      </c>
      <c r="P33" s="41">
        <f si="19" t="shared"/>
        <v>1.0028625419708221</v>
      </c>
      <c r="Q33" s="41" t="str">
        <f si="19" t="shared"/>
        <v>-</v>
      </c>
      <c r="R33" s="41">
        <f si="19" t="shared"/>
        <v>1.0163919827851755</v>
      </c>
      <c r="T33">
        <v>13</v>
      </c>
      <c r="U33" t="str">
        <f si="20" t="shared"/>
        <v>dt-carsltw</v>
      </c>
      <c r="V33" s="30">
        <f>Q85</f>
        <v>0.33912898903100003</v>
      </c>
      <c r="AA33" s="29">
        <f>WorkCoefficients!B41</f>
        <v>77</v>
      </c>
      <c r="AB33" s="29" t="str">
        <f>WorkCoefficients!C41</f>
        <v>wk-nocars</v>
      </c>
      <c r="AC33" s="58">
        <f>WorkCoefficients!E41</f>
        <v>0.61141965442500001</v>
      </c>
      <c r="AD33" s="57">
        <f si="0" t="shared"/>
        <v>0.61141965442500001</v>
      </c>
      <c r="AE33">
        <f si="1" t="shared"/>
        <v>0</v>
      </c>
    </row>
    <row r="34" spans="2:31" x14ac:dyDescent="0.45">
      <c r="B34" s="9" t="s">
        <v>4</v>
      </c>
      <c r="C34" s="81">
        <f si="11" t="shared"/>
        <v>5.5507195086172134E-2</v>
      </c>
      <c r="D34" s="81">
        <f si="12" t="shared"/>
        <v>0</v>
      </c>
      <c r="E34" s="81">
        <f si="13" t="shared"/>
        <v>3.7169274508280503E-3</v>
      </c>
      <c r="F34" s="81">
        <f si="14" t="shared"/>
        <v>9.4040381525757187E-4</v>
      </c>
      <c r="H34" s="9" t="s">
        <v>4</v>
      </c>
      <c r="I34" s="13">
        <f si="15" t="shared"/>
        <v>3.0736543909348442E-2</v>
      </c>
      <c r="J34" s="13">
        <f si="16" t="shared"/>
        <v>8.0633921994146575E-4</v>
      </c>
      <c r="K34" s="13">
        <f si="17" t="shared"/>
        <v>1.174611310439091E-3</v>
      </c>
      <c r="L34" s="13">
        <f si="18" t="shared"/>
        <v>9.5041016924100213E-4</v>
      </c>
      <c r="M34" s="26"/>
      <c r="N34" s="9" t="s">
        <v>4</v>
      </c>
      <c r="O34" s="41">
        <f>IFERROR(IF(O21="","-",C34/I34),1)</f>
        <v>1.8059022917436649</v>
      </c>
      <c r="P34" s="41" t="str">
        <f si="19" t="shared"/>
        <v>-</v>
      </c>
      <c r="Q34" s="41">
        <f>IFERROR(IF(Q21="","-",E34/K34),1)</f>
        <v>3.1643892901376844</v>
      </c>
      <c r="R34" s="41">
        <f>IFERROR(IF(R21="","-",F34/L34),1)</f>
        <v>0.98947154154356187</v>
      </c>
      <c r="T34">
        <v>20</v>
      </c>
      <c r="U34" t="str">
        <f si="20" t="shared"/>
        <v>wt-const</v>
      </c>
      <c r="V34" s="30">
        <f>R86</f>
        <v>-2.1483116792511772</v>
      </c>
      <c r="AA34" s="29">
        <f>WorkCoefficients!B42</f>
        <v>78</v>
      </c>
      <c r="AB34" s="29" t="str">
        <f>WorkCoefficients!C42</f>
        <v>wk-carsltd</v>
      </c>
      <c r="AC34" s="58">
        <f>WorkCoefficients!E42</f>
        <v>5.3948600250779997</v>
      </c>
      <c r="AD34" s="57">
        <f si="0" t="shared"/>
        <v>5.3948600250779997</v>
      </c>
      <c r="AE34">
        <f si="1" t="shared"/>
        <v>0</v>
      </c>
    </row>
    <row r="35" spans="2:31" x14ac:dyDescent="0.45">
      <c r="B35" s="9" t="s">
        <v>5</v>
      </c>
      <c r="C35" s="81">
        <f si="11" t="shared"/>
        <v>0.68168865063798745</v>
      </c>
      <c r="D35" s="81">
        <f si="12" t="shared"/>
        <v>0</v>
      </c>
      <c r="E35" s="81">
        <f si="13" t="shared"/>
        <v>4.1701882884793019E-2</v>
      </c>
      <c r="F35" s="81">
        <f si="14" t="shared"/>
        <v>7.9195076457255278E-3</v>
      </c>
      <c r="H35" s="9" t="s">
        <v>5</v>
      </c>
      <c r="I35" s="13">
        <f si="15" t="shared"/>
        <v>0.52464589235127479</v>
      </c>
      <c r="J35" s="13">
        <f si="16" t="shared"/>
        <v>5.6841937603281101E-3</v>
      </c>
      <c r="K35" s="13">
        <f si="17" t="shared"/>
        <v>7.5815820946523154E-3</v>
      </c>
      <c r="L35" s="13">
        <f si="18" t="shared"/>
        <v>7.4126080851378319E-3</v>
      </c>
      <c r="M35" s="26"/>
      <c r="N35" s="9" t="s">
        <v>5</v>
      </c>
      <c r="O35" s="41">
        <f si="19" t="shared"/>
        <v>1.299330959369382</v>
      </c>
      <c r="P35" s="41">
        <f si="19" t="shared"/>
        <v>0</v>
      </c>
      <c r="Q35" s="41" t="str">
        <f si="19" t="shared"/>
        <v>-</v>
      </c>
      <c r="R35" s="41">
        <f si="19" t="shared"/>
        <v>1.0683834292553551</v>
      </c>
      <c r="T35">
        <v>21</v>
      </c>
      <c r="U35" t="str">
        <f si="20" t="shared"/>
        <v>wt-nocars</v>
      </c>
      <c r="V35" s="30">
        <f>O86</f>
        <v>1.5421299915340001</v>
      </c>
      <c r="AA35">
        <f>WorkCoefficients!B43</f>
        <v>100</v>
      </c>
      <c r="AB35" t="str">
        <f>WorkCoefficients!C43</f>
        <v>wt-inc75p</v>
      </c>
      <c r="AC35" s="56">
        <f>WorkCoefficients!E43</f>
        <v>-5.0023107309999997</v>
      </c>
      <c r="AD35" s="57">
        <f si="0" t="shared"/>
        <v>-5.0023107309999997</v>
      </c>
      <c r="AE35">
        <f si="1" t="shared"/>
        <v>0</v>
      </c>
    </row>
    <row r="36" spans="2:31" x14ac:dyDescent="0.45">
      <c r="B36" s="9" t="s">
        <v>6</v>
      </c>
      <c r="C36" s="81">
        <f si="11" t="shared"/>
        <v>8.2914455998817249E-2</v>
      </c>
      <c r="D36" s="81">
        <f si="12" t="shared"/>
        <v>1.1445442001203851E-2</v>
      </c>
      <c r="E36" s="81">
        <f si="13" t="shared"/>
        <v>6.6184047328248707E-3</v>
      </c>
      <c r="F36" s="81">
        <f si="14" t="shared"/>
        <v>6.5875280642092599E-3</v>
      </c>
      <c r="H36" s="9" t="s">
        <v>6</v>
      </c>
      <c r="I36" s="13">
        <f si="15" t="shared"/>
        <v>9.3909348441926346E-2</v>
      </c>
      <c r="J36" s="13">
        <f si="16" t="shared"/>
        <v>9.4272005096860262E-3</v>
      </c>
      <c r="K36" s="13">
        <f si="17" t="shared"/>
        <v>1.6017426960533061E-2</v>
      </c>
      <c r="L36" s="13">
        <f si="18" t="shared"/>
        <v>6.5538393319045157E-3</v>
      </c>
      <c r="M36" s="26"/>
      <c r="N36" s="9" t="s">
        <v>6</v>
      </c>
      <c r="O36" s="41">
        <f si="19" t="shared"/>
        <v>0.88292014985165879</v>
      </c>
      <c r="P36" s="41">
        <f si="19" t="shared"/>
        <v>1.2140870441276996</v>
      </c>
      <c r="Q36" s="41" t="str">
        <f si="19" t="shared"/>
        <v>-</v>
      </c>
      <c r="R36" s="41">
        <f>IF(R23="","-",F36/L36)</f>
        <v>1.0051403048806438</v>
      </c>
      <c r="T36">
        <v>22</v>
      </c>
      <c r="U36" t="str">
        <f si="20" t="shared"/>
        <v>wt-carsltd</v>
      </c>
      <c r="V36" s="30">
        <f>P86</f>
        <v>1.016680004923</v>
      </c>
      <c r="AA36" s="29">
        <f>WorkCoefficients!B44</f>
        <v>124</v>
      </c>
      <c r="AB36" s="29" t="str">
        <f>WorkCoefficients!C44</f>
        <v>tr-omixed</v>
      </c>
      <c r="AC36" s="58">
        <f>WorkCoefficients!E44</f>
        <v>2.0023107310000001</v>
      </c>
      <c r="AD36" s="57">
        <f si="0" t="shared"/>
        <v>2.0023107310000001</v>
      </c>
      <c r="AE36">
        <f si="1" t="shared"/>
        <v>0</v>
      </c>
    </row>
    <row r="37" spans="2:31" x14ac:dyDescent="0.45">
      <c r="B37" s="9" t="s">
        <v>7</v>
      </c>
      <c r="C37" s="98">
        <f si="11" t="shared"/>
        <v>9.1104543738477761E-2</v>
      </c>
      <c r="D37" s="98">
        <f si="12" t="shared"/>
        <v>3.5435585048277984E-2</v>
      </c>
      <c r="E37" s="98">
        <f si="13" t="shared"/>
        <v>6.2349757229599359E-2</v>
      </c>
      <c r="F37" s="98">
        <f si="14" t="shared"/>
        <v>9.0607439007598101E-3</v>
      </c>
      <c r="H37" s="9" t="s">
        <v>7</v>
      </c>
      <c r="I37" s="26">
        <f si="15" t="shared"/>
        <v>0.11246458923512748</v>
      </c>
      <c r="J37" s="26">
        <f si="16" t="shared"/>
        <v>3.9032791128277622E-2</v>
      </c>
      <c r="K37" s="26">
        <f si="17" t="shared"/>
        <v>4.9632667008371774E-2</v>
      </c>
      <c r="L37" s="26">
        <f si="18" t="shared"/>
        <v>8.3526716428940946E-3</v>
      </c>
      <c r="M37" s="26"/>
      <c r="N37" s="9" t="s">
        <v>7</v>
      </c>
      <c r="O37" s="41">
        <f si="19" t="shared"/>
        <v>0.81007314709528089</v>
      </c>
      <c r="P37" s="41">
        <f si="19" t="shared"/>
        <v>0.90784143341997359</v>
      </c>
      <c r="Q37" s="41" t="str">
        <f si="19" t="shared"/>
        <v>-</v>
      </c>
      <c r="R37" s="41">
        <f>IF(R24="","-",F37/L37)</f>
        <v>1.0847719493999379</v>
      </c>
      <c r="T37">
        <v>30</v>
      </c>
      <c r="U37" t="str">
        <f si="20" t="shared"/>
        <v>s3-const</v>
      </c>
      <c r="V37" s="30">
        <f>R84</f>
        <v>-1.302210062483256</v>
      </c>
      <c r="AA37" s="29">
        <f>WorkCoefficients!B45</f>
        <v>127</v>
      </c>
      <c r="AB37" s="29" t="str">
        <f>WorkCoefficients!C45</f>
        <v>tr-dintdn</v>
      </c>
      <c r="AC37" s="58">
        <f>WorkCoefficients!E45</f>
        <v>1.0987902000000001E-2</v>
      </c>
      <c r="AD37" s="57">
        <f si="0" t="shared"/>
        <v>1.0987902000000001E-2</v>
      </c>
      <c r="AE37">
        <f si="1" t="shared"/>
        <v>0</v>
      </c>
    </row>
    <row r="38" spans="2:31" x14ac:dyDescent="0.45">
      <c r="B38" s="9" t="s">
        <v>8</v>
      </c>
      <c r="C38" s="98">
        <f si="11" t="shared"/>
        <v>0</v>
      </c>
      <c r="D38" s="98">
        <f si="12" t="shared"/>
        <v>0</v>
      </c>
      <c r="E38" s="98">
        <f si="13" t="shared"/>
        <v>0</v>
      </c>
      <c r="F38" s="98">
        <f si="14" t="shared"/>
        <v>0</v>
      </c>
      <c r="H38" s="9" t="s">
        <v>8</v>
      </c>
      <c r="I38" s="26">
        <f si="15" t="shared"/>
        <v>0</v>
      </c>
      <c r="J38" s="26">
        <f si="16" t="shared"/>
        <v>0</v>
      </c>
      <c r="K38" s="26">
        <f si="17" t="shared"/>
        <v>0</v>
      </c>
      <c r="L38" s="26">
        <f si="18" t="shared"/>
        <v>0</v>
      </c>
      <c r="M38" s="26"/>
      <c r="N38" s="9" t="s">
        <v>8</v>
      </c>
      <c r="O38" s="41" t="str">
        <f si="19" t="shared"/>
        <v>-</v>
      </c>
      <c r="P38" s="41" t="str">
        <f si="19" t="shared"/>
        <v>-</v>
      </c>
      <c r="Q38" s="41" t="str">
        <f si="19" t="shared"/>
        <v>-</v>
      </c>
      <c r="R38" s="41" t="str">
        <f si="19" t="shared"/>
        <v>-</v>
      </c>
      <c r="T38">
        <v>36</v>
      </c>
      <c r="U38" t="str">
        <f si="20" t="shared"/>
        <v>s3-nocars</v>
      </c>
      <c r="V38" s="30">
        <f>O84</f>
        <v>0.221506127287</v>
      </c>
      <c r="AA38" s="29">
        <f>WorkCoefficients!B46</f>
        <v>128</v>
      </c>
      <c r="AB38" s="29" t="str">
        <f>WorkCoefficients!C46</f>
        <v>tr-dempdn</v>
      </c>
      <c r="AC38" s="58">
        <f>WorkCoefficients!E46</f>
        <v>9.8072999999999994E-5</v>
      </c>
      <c r="AD38" s="57">
        <f si="0" t="shared"/>
        <v>9.8072999999999994E-5</v>
      </c>
      <c r="AE38">
        <f si="1" t="shared"/>
        <v>0</v>
      </c>
    </row>
    <row r="39" spans="2:31" x14ac:dyDescent="0.45">
      <c r="B39" s="9" t="s">
        <v>302</v>
      </c>
      <c r="C39" s="35">
        <f si="11" t="shared"/>
        <v>0</v>
      </c>
      <c r="D39" s="35">
        <f si="12" t="shared"/>
        <v>0</v>
      </c>
      <c r="E39" s="35">
        <f si="13" t="shared"/>
        <v>0</v>
      </c>
      <c r="F39" s="35">
        <f si="14" t="shared"/>
        <v>0</v>
      </c>
      <c r="H39" s="9" t="s">
        <v>302</v>
      </c>
      <c r="I39" s="26">
        <f si="15" t="shared"/>
        <v>0</v>
      </c>
      <c r="J39" s="26">
        <f si="16" t="shared"/>
        <v>0</v>
      </c>
      <c r="K39" s="26">
        <f si="17" t="shared"/>
        <v>0</v>
      </c>
      <c r="L39" s="26">
        <f si="18" t="shared"/>
        <v>0</v>
      </c>
      <c r="M39" s="26"/>
      <c r="N39" s="12" t="s">
        <v>302</v>
      </c>
      <c r="O39" s="42">
        <f>IFERROR(IF(O26="","-",C39/I39),1)</f>
        <v>1</v>
      </c>
      <c r="P39" s="42">
        <f ref="P39:R39" si="21" t="shared">IFERROR(IF(P26="","-",D39/J39),1)</f>
        <v>1</v>
      </c>
      <c r="Q39" s="42" t="str">
        <f si="21" t="shared"/>
        <v>-</v>
      </c>
      <c r="R39" s="42">
        <f si="21" t="shared"/>
        <v>1</v>
      </c>
      <c r="T39">
        <v>37</v>
      </c>
      <c r="U39" t="str">
        <f si="20" t="shared"/>
        <v>s3-carsltd</v>
      </c>
      <c r="V39" s="30">
        <f>P84</f>
        <v>-0.38934722737299998</v>
      </c>
      <c r="AA39">
        <f>WorkCoefficients!B47</f>
        <v>131</v>
      </c>
      <c r="AB39" t="str">
        <f>WorkCoefficients!C47</f>
        <v>da-escsptr</v>
      </c>
      <c r="AC39" s="56">
        <f>WorkCoefficients!E47</f>
        <v>-2.2170416799999999</v>
      </c>
      <c r="AD39" s="57">
        <f si="0" t="shared"/>
        <v>-2.2170416799999999</v>
      </c>
      <c r="AE39">
        <f si="1" t="shared"/>
        <v>0</v>
      </c>
    </row>
    <row ht="14.65" r="40" spans="2:31" thickBot="1" x14ac:dyDescent="0.5">
      <c r="B40" s="43" t="s">
        <v>19</v>
      </c>
      <c r="C40" s="44">
        <f>SUM(C31:C39)</f>
        <v>0.99999999999999989</v>
      </c>
      <c r="D40" s="44">
        <f ref="D40:F40" si="22" t="shared">SUM(D31:D39)</f>
        <v>1.0000000000000002</v>
      </c>
      <c r="E40" s="44">
        <f si="22" t="shared"/>
        <v>1.0000000000000002</v>
      </c>
      <c r="F40" s="44">
        <f si="22" t="shared"/>
        <v>1</v>
      </c>
      <c r="H40" s="43" t="s">
        <v>19</v>
      </c>
      <c r="I40" s="44">
        <f>SUM(I31:I39)</f>
        <v>1</v>
      </c>
      <c r="J40" s="44">
        <f ref="J40" si="23" t="shared">SUM(J31:J39)</f>
        <v>1</v>
      </c>
      <c r="K40" s="44">
        <f ref="K40" si="24" t="shared">SUM(K31:K39)</f>
        <v>1.0000000000000002</v>
      </c>
      <c r="L40" s="44">
        <f ref="L40" si="25" t="shared">SUM(L31:L39)</f>
        <v>1.0000000000000002</v>
      </c>
      <c r="N40" s="9" t="s">
        <v>272</v>
      </c>
      <c r="T40">
        <v>40</v>
      </c>
      <c r="U40" t="str">
        <f si="20" t="shared"/>
        <v>s2-const</v>
      </c>
      <c r="V40" s="30">
        <f>R83</f>
        <v>-0.66588631692227096</v>
      </c>
      <c r="AA40">
        <f>WorkCoefficients!B48</f>
        <v>132</v>
      </c>
      <c r="AB40" t="str">
        <f>WorkCoefficients!C48</f>
        <v>da-othsptr</v>
      </c>
      <c r="AC40" s="56">
        <f>WorkCoefficients!E48</f>
        <v>-3.1767086999999999E-2</v>
      </c>
      <c r="AD40" s="57">
        <f si="0" t="shared"/>
        <v>-3.1767086999999999E-2</v>
      </c>
      <c r="AE40">
        <f si="1" t="shared"/>
        <v>0</v>
      </c>
    </row>
    <row r="41" spans="2:31" x14ac:dyDescent="0.45">
      <c r="T41">
        <v>41</v>
      </c>
      <c r="U41" t="str">
        <f si="20" t="shared"/>
        <v>sr-nocars</v>
      </c>
      <c r="V41" s="30">
        <f>O83</f>
        <v>-4.4897947060499996</v>
      </c>
      <c r="AA41">
        <f>WorkCoefficients!B49</f>
        <v>133</v>
      </c>
      <c r="AB41" t="str">
        <f>WorkCoefficients!C49</f>
        <v>sr-escsptr</v>
      </c>
      <c r="AC41" s="56">
        <f>WorkCoefficients!E49</f>
        <v>3.7030999969999998</v>
      </c>
      <c r="AD41" s="57">
        <f si="0" t="shared"/>
        <v>3.7030999969999998</v>
      </c>
      <c r="AE41">
        <f si="1" t="shared"/>
        <v>0</v>
      </c>
    </row>
    <row ht="14.65" r="42" spans="2:31" thickBot="1" x14ac:dyDescent="0.5">
      <c r="N42" s="23" t="s">
        <v>269</v>
      </c>
      <c r="T42">
        <v>42</v>
      </c>
      <c r="U42" t="str">
        <f si="20" t="shared"/>
        <v>sr-carsltd</v>
      </c>
      <c r="V42" s="30">
        <f>P83</f>
        <v>0.46242029547000002</v>
      </c>
      <c r="AA42">
        <f>WorkCoefficients!B50</f>
        <v>134</v>
      </c>
      <c r="AB42" t="str">
        <f>WorkCoefficients!C50</f>
        <v>sr-othsptr</v>
      </c>
      <c r="AC42" s="56">
        <f>WorkCoefficients!E50</f>
        <v>0.24299252399999999</v>
      </c>
      <c r="AD42" s="57">
        <f si="0" t="shared"/>
        <v>0.24299252399999999</v>
      </c>
      <c r="AE42">
        <f si="1" t="shared"/>
        <v>0</v>
      </c>
    </row>
    <row r="43" spans="2:31" x14ac:dyDescent="0.4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50</v>
      </c>
      <c r="U43" t="str">
        <f si="20" t="shared"/>
        <v>da-const</v>
      </c>
      <c r="V43" s="30">
        <f>R82</f>
        <v>2.2575340246279918</v>
      </c>
      <c r="AA43">
        <f>WorkCoefficients!B51</f>
        <v>162</v>
      </c>
      <c r="AB43" t="str">
        <f>WorkCoefficients!C51</f>
        <v>bi-class2</v>
      </c>
      <c r="AC43" s="56">
        <f>WorkCoefficients!E51</f>
        <v>0.47993312799999999</v>
      </c>
      <c r="AD43" s="57">
        <f si="0" t="shared"/>
        <v>0.47993312799999999</v>
      </c>
      <c r="AE43">
        <f si="1" t="shared"/>
        <v>0</v>
      </c>
    </row>
    <row r="44" spans="2:31" x14ac:dyDescent="0.45">
      <c r="E44" s="5"/>
      <c r="N44" s="9" t="s">
        <v>1</v>
      </c>
      <c r="O44" s="51" t="str">
        <f ref="O44:R52" si="26" t="shared">IF(O18="","-",IF(O31&gt;0,LN(O31),0))</f>
        <v>-</v>
      </c>
      <c r="P44" s="51" t="str">
        <f si="26" t="shared"/>
        <v>-</v>
      </c>
      <c r="Q44" s="51">
        <f si="26" t="shared"/>
        <v>-5.9316708082419241E-2</v>
      </c>
      <c r="R44" s="51">
        <f si="26" t="shared"/>
        <v>-1.4476156420082887E-3</v>
      </c>
      <c r="T44">
        <v>53</v>
      </c>
      <c r="U44" t="str">
        <f si="20" t="shared"/>
        <v>da-carsltw</v>
      </c>
      <c r="V44" s="30">
        <f>Q82</f>
        <v>-2.0408811449069999</v>
      </c>
      <c r="AA44">
        <f>WorkCoefficients!B52</f>
        <v>164</v>
      </c>
      <c r="AB44" t="str">
        <f>WorkCoefficients!C52</f>
        <v>bi-omixed</v>
      </c>
      <c r="AC44" s="56">
        <f>WorkCoefficients!E52</f>
        <v>2.4096342509999999</v>
      </c>
      <c r="AD44" s="57">
        <f si="0" t="shared"/>
        <v>2.4096342509999999</v>
      </c>
      <c r="AE44">
        <f si="1" t="shared"/>
        <v>0</v>
      </c>
    </row>
    <row r="45" spans="2:31" x14ac:dyDescent="0.45">
      <c r="B45" s="23"/>
      <c r="N45" s="9" t="s">
        <v>2</v>
      </c>
      <c r="O45" s="52">
        <f si="26" t="shared"/>
        <v>-0.98707433162550806</v>
      </c>
      <c r="P45" s="52">
        <f si="26" t="shared"/>
        <v>-1.4700296206278105E-3</v>
      </c>
      <c r="Q45" s="52" t="str">
        <f si="26" t="shared"/>
        <v>-</v>
      </c>
      <c r="R45" s="52">
        <f si="26" t="shared"/>
        <v>-7.1271364192710043E-3</v>
      </c>
      <c r="T45">
        <v>60</v>
      </c>
      <c r="U45" t="str">
        <f si="20" t="shared"/>
        <v>bi-const</v>
      </c>
      <c r="V45" s="30">
        <f>R87</f>
        <v>-8.4104759819086787</v>
      </c>
      <c r="AA45">
        <f>WorkCoefficients!B53</f>
        <v>168</v>
      </c>
      <c r="AB45" t="str">
        <f>WorkCoefficients!C53</f>
        <v>bi-dempdn</v>
      </c>
      <c r="AC45" s="56">
        <f>WorkCoefficients!E53</f>
        <v>1.53239E-4</v>
      </c>
      <c r="AD45" s="57">
        <f si="0" t="shared"/>
        <v>1.53239E-4</v>
      </c>
      <c r="AE45">
        <f si="1" t="shared"/>
        <v>0</v>
      </c>
    </row>
    <row r="46" spans="2:31" x14ac:dyDescent="0.45">
      <c r="C46" s="11"/>
      <c r="D46" s="11"/>
      <c r="E46" s="11"/>
      <c r="N46" s="9" t="s">
        <v>3</v>
      </c>
      <c r="O46" s="52">
        <f si="26" t="shared"/>
        <v>0</v>
      </c>
      <c r="P46" s="52">
        <f si="26" t="shared"/>
        <v>2.8584526995032453E-3</v>
      </c>
      <c r="Q46" s="52" t="str">
        <f si="26" t="shared"/>
        <v>-</v>
      </c>
      <c r="R46" s="52">
        <f si="26" t="shared"/>
        <v>1.6259084578744094E-2</v>
      </c>
      <c r="T46">
        <v>67</v>
      </c>
      <c r="U46" t="str">
        <f si="20" t="shared"/>
        <v>bi-nocars</v>
      </c>
      <c r="V46" s="30">
        <f>O87</f>
        <v>-2.1268647009919999</v>
      </c>
      <c r="AA46">
        <f>WorkCoefficients!B54</f>
        <v>169</v>
      </c>
      <c r="AB46" t="str">
        <f>WorkCoefficients!C54</f>
        <v>bi-dmixed</v>
      </c>
      <c r="AC46" s="56">
        <f>WorkCoefficients!E54</f>
        <v>7.1710322279999996</v>
      </c>
      <c r="AD46" s="57">
        <f si="0" t="shared"/>
        <v>7.1710322279999996</v>
      </c>
      <c r="AE46">
        <f si="1" t="shared"/>
        <v>0</v>
      </c>
    </row>
    <row r="47" spans="2:31" x14ac:dyDescent="0.45">
      <c r="B47" s="9"/>
      <c r="C47" s="11"/>
      <c r="D47" s="11"/>
      <c r="E47" s="11"/>
      <c r="N47" s="9" t="s">
        <v>4</v>
      </c>
      <c r="O47" s="52">
        <f si="26" t="shared"/>
        <v>0.59106035150667757</v>
      </c>
      <c r="P47" s="52" t="str">
        <f si="26" t="shared"/>
        <v>-</v>
      </c>
      <c r="Q47" s="52">
        <f si="26" t="shared"/>
        <v>1.1519600796750147</v>
      </c>
      <c r="R47" s="52">
        <f si="26" t="shared"/>
        <v>-1.0584274794175405E-2</v>
      </c>
      <c r="T47">
        <v>68</v>
      </c>
      <c r="U47" t="str">
        <f si="20" t="shared"/>
        <v>bi-carsltd</v>
      </c>
      <c r="V47" s="30">
        <f>P87</f>
        <v>0.75586563750299995</v>
      </c>
      <c r="AA47">
        <f>WorkCoefficients!B55</f>
        <v>179</v>
      </c>
      <c r="AB47" t="str">
        <f>WorkCoefficients!C55</f>
        <v>wk-dmixed</v>
      </c>
      <c r="AC47" s="56">
        <f>WorkCoefficients!E55</f>
        <v>0.92527456200000002</v>
      </c>
      <c r="AD47" s="57">
        <f si="0" t="shared"/>
        <v>0.92527456200000002</v>
      </c>
      <c r="AE47">
        <f si="1" t="shared"/>
        <v>0</v>
      </c>
    </row>
    <row r="48" spans="2:31" x14ac:dyDescent="0.45">
      <c r="B48" s="9"/>
      <c r="C48" s="11"/>
      <c r="D48" s="11"/>
      <c r="E48" s="11"/>
      <c r="N48" s="9" t="s">
        <v>5</v>
      </c>
      <c r="O48" s="52">
        <f si="26" t="shared"/>
        <v>0.26184948535251851</v>
      </c>
      <c r="P48" s="52">
        <f si="26" t="shared"/>
        <v>0</v>
      </c>
      <c r="Q48" s="52" t="str">
        <f si="26" t="shared"/>
        <v>-</v>
      </c>
      <c r="R48" s="52">
        <f si="26" t="shared"/>
        <v>6.6146692263822957E-2</v>
      </c>
      <c r="T48">
        <v>70</v>
      </c>
      <c r="U48" t="str">
        <f si="20" t="shared"/>
        <v>wk-const</v>
      </c>
      <c r="V48" s="30">
        <f>R88</f>
        <v>1.1245411458466346</v>
      </c>
      <c r="AA48">
        <f>WorkCoefficients!B56</f>
        <v>180</v>
      </c>
      <c r="AB48" t="str">
        <f>WorkCoefficients!C56</f>
        <v>wt-univtr</v>
      </c>
      <c r="AC48" s="56">
        <f>WorkCoefficients!E56</f>
        <v>-2.5456058129999999</v>
      </c>
      <c r="AD48" s="57">
        <f si="0" t="shared"/>
        <v>-2.5456058129999999</v>
      </c>
      <c r="AE48">
        <f si="1" t="shared"/>
        <v>0</v>
      </c>
    </row>
    <row r="49" spans="2:31" x14ac:dyDescent="0.45">
      <c r="B49" s="9"/>
      <c r="C49" s="11"/>
      <c r="D49" s="11"/>
      <c r="E49" s="11"/>
      <c r="N49" s="9" t="s">
        <v>6</v>
      </c>
      <c r="O49" s="52">
        <f si="26" t="shared"/>
        <v>-0.12452051298633567</v>
      </c>
      <c r="P49" s="52">
        <f si="26" t="shared"/>
        <v>0.19399239033689883</v>
      </c>
      <c r="Q49" s="52" t="str">
        <f si="26" t="shared"/>
        <v>-</v>
      </c>
      <c r="R49" s="52">
        <f si="26" t="shared"/>
        <v>5.1271386133218844E-3</v>
      </c>
      <c r="T49">
        <v>77</v>
      </c>
      <c r="U49" t="str">
        <f si="20" t="shared"/>
        <v>wk-nocars</v>
      </c>
      <c r="V49" s="30">
        <f>O88</f>
        <v>0.61141965442500001</v>
      </c>
      <c r="AA49">
        <f>WorkCoefficients!B57</f>
        <v>99</v>
      </c>
      <c r="AB49" t="str">
        <f>WorkCoefficients!C57</f>
        <v>modenest</v>
      </c>
      <c r="AC49" s="56">
        <f>WorkCoefficients!E57</f>
        <v>0.95968590200000004</v>
      </c>
      <c r="AD49" s="57">
        <f si="0" t="shared"/>
        <v>0.95968590200000004</v>
      </c>
      <c r="AE49">
        <f si="1" t="shared"/>
        <v>0</v>
      </c>
    </row>
    <row r="50" spans="2:31" x14ac:dyDescent="0.45">
      <c r="B50" s="9"/>
      <c r="C50" s="11"/>
      <c r="D50" s="11"/>
      <c r="E50" s="5"/>
      <c r="N50" s="9" t="s">
        <v>7</v>
      </c>
      <c r="O50" s="52">
        <f si="26" t="shared"/>
        <v>-0.21063073033700638</v>
      </c>
      <c r="P50" s="52">
        <f si="26" t="shared"/>
        <v>-9.6685548428312104E-2</v>
      </c>
      <c r="Q50" s="52" t="str">
        <f si="26" t="shared"/>
        <v>-</v>
      </c>
      <c r="R50" s="52">
        <f si="26" t="shared"/>
        <v>8.1369780015634482E-2</v>
      </c>
      <c r="T50">
        <v>78</v>
      </c>
      <c r="U50" t="str">
        <f si="20" t="shared"/>
        <v>wk-carsltd</v>
      </c>
      <c r="V50" s="30">
        <f>P88</f>
        <v>5.3948600250779997</v>
      </c>
      <c r="AA50">
        <f>WorkCoefficients!B58</f>
        <v>-1</v>
      </c>
      <c r="AB50">
        <f>WorkCoefficients!C58</f>
        <v>0</v>
      </c>
      <c r="AC50" s="56">
        <f>WorkCoefficients!E58</f>
        <v>0</v>
      </c>
      <c r="AD50" s="57">
        <f si="0" t="shared"/>
        <v>0</v>
      </c>
      <c r="AE50">
        <f si="1" t="shared"/>
        <v>0</v>
      </c>
    </row>
    <row r="51" spans="2:31" x14ac:dyDescent="0.45">
      <c r="B51" s="9"/>
      <c r="C51" s="11"/>
      <c r="D51" s="11"/>
      <c r="N51" s="9" t="s">
        <v>8</v>
      </c>
      <c r="O51" s="52" t="str">
        <f si="26" t="shared"/>
        <v>-</v>
      </c>
      <c r="P51" s="52" t="str">
        <f si="26" t="shared"/>
        <v>-</v>
      </c>
      <c r="Q51" s="52" t="str">
        <f si="26" t="shared"/>
        <v>-</v>
      </c>
      <c r="R51" s="52" t="str">
        <f si="26" t="shared"/>
        <v>-</v>
      </c>
      <c r="T51">
        <v>80</v>
      </c>
      <c r="U51" t="e">
        <f si="20" t="shared"/>
        <v>#N/A</v>
      </c>
      <c r="V51" s="30" t="e">
        <f>R90</f>
        <v>#VALUE!</v>
      </c>
      <c r="AC51" s="56"/>
      <c r="AD51" s="57"/>
    </row>
    <row r="52" spans="2:31" x14ac:dyDescent="0.45">
      <c r="B52" s="9"/>
      <c r="C52" s="11"/>
      <c r="D52" s="11"/>
      <c r="E52" s="11"/>
      <c r="N52" s="12" t="s">
        <v>302</v>
      </c>
      <c r="O52" s="53">
        <f si="26" t="shared"/>
        <v>0</v>
      </c>
      <c r="P52" s="53">
        <f si="26" t="shared"/>
        <v>0</v>
      </c>
      <c r="Q52" s="53" t="str">
        <f si="26" t="shared"/>
        <v>-</v>
      </c>
      <c r="R52" s="53">
        <f si="26" t="shared"/>
        <v>0</v>
      </c>
      <c r="T52">
        <v>81</v>
      </c>
      <c r="U52" t="e">
        <f si="20" t="shared"/>
        <v>#N/A</v>
      </c>
      <c r="V52" s="30" t="e">
        <f>O90</f>
        <v>#VALUE!</v>
      </c>
      <c r="AC52" s="56"/>
      <c r="AD52" s="57"/>
    </row>
    <row r="53" spans="2:31" x14ac:dyDescent="0.45">
      <c r="B53" s="9"/>
      <c r="C53" s="11"/>
      <c r="D53" s="11"/>
      <c r="E53" s="11"/>
      <c r="T53" s="6">
        <v>82</v>
      </c>
      <c r="U53" s="6" t="e">
        <f si="20" t="shared"/>
        <v>#N/A</v>
      </c>
      <c r="V53" s="55" t="e">
        <f>P90</f>
        <v>#VALUE!</v>
      </c>
      <c r="AC53" s="56"/>
      <c r="AD53" s="57"/>
    </row>
    <row r="54" spans="2:31" x14ac:dyDescent="0.45">
      <c r="B54" s="9"/>
      <c r="P54" t="s">
        <v>259</v>
      </c>
      <c r="AC54" s="56"/>
      <c r="AD54" s="57"/>
    </row>
    <row ht="14.65" r="55" spans="2:31" thickBot="1" x14ac:dyDescent="0.5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C55" s="56"/>
      <c r="AD55" s="57"/>
    </row>
    <row r="56" spans="2:31" x14ac:dyDescent="0.4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64" t="str">
        <f>Q43</f>
        <v>cars &lt; workers</v>
      </c>
      <c r="R56" s="39" t="str">
        <f>R43</f>
        <v>constant</v>
      </c>
      <c r="AC56" s="56"/>
      <c r="AD56" s="57"/>
    </row>
    <row r="57" spans="2:31" x14ac:dyDescent="0.45">
      <c r="B57" s="9"/>
      <c r="C57" s="11"/>
      <c r="D57" s="11"/>
      <c r="E57" s="11"/>
      <c r="N57" s="9" t="s">
        <v>1</v>
      </c>
      <c r="O57" s="47" t="str">
        <f>IF(O18="","-",IF($R18="",$O$55*O44,$O$55*(O44-$R44)))</f>
        <v>-</v>
      </c>
      <c r="P57" s="47" t="str">
        <f>IF(P18="","-",IF($R18="",$P$55*P44,$P$55*(P44-$R44)))</f>
        <v>-</v>
      </c>
      <c r="Q57" s="47">
        <f ref="Q57:Q65" si="27" t="shared">IF(Q18="","-",IF($R18="",$Q$55*Q44,$Q$55*(Q44)))</f>
        <v>0</v>
      </c>
      <c r="R57" s="47">
        <f ref="R57:R65" si="28" t="shared">IF(R18="","-",$R$55*R44)</f>
        <v>-1.4476156420082887E-3</v>
      </c>
      <c r="AC57" s="56"/>
      <c r="AD57" s="57"/>
    </row>
    <row r="58" spans="2:31" x14ac:dyDescent="0.4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>
        <f>IF(P19="","-",IF($R19="",$P$55*P45,$P$55*(P45)))</f>
        <v>0</v>
      </c>
      <c r="Q58" s="48" t="str">
        <f si="27" t="shared"/>
        <v>-</v>
      </c>
      <c r="R58" s="48">
        <f si="28" t="shared"/>
        <v>-7.1271364192710043E-3</v>
      </c>
      <c r="AC58" s="56"/>
      <c r="AD58" s="57"/>
    </row>
    <row r="59" spans="2:31" x14ac:dyDescent="0.45">
      <c r="B59" s="9"/>
      <c r="C59" s="46"/>
      <c r="D59" s="46"/>
      <c r="E59" s="46"/>
      <c r="N59" s="9" t="s">
        <v>3</v>
      </c>
      <c r="O59" s="61">
        <f>IF(O20="","-",IF($R20="",$O$55*O46,$O$55*(O46-O58)))</f>
        <v>0</v>
      </c>
      <c r="P59" s="63">
        <f>IF(P20="","-",IF($R20="",$P$55*P46,$P$55*(P46-P58)))</f>
        <v>0</v>
      </c>
      <c r="Q59" s="48" t="str">
        <f si="27" t="shared"/>
        <v>-</v>
      </c>
      <c r="R59" s="48">
        <f si="28" t="shared"/>
        <v>1.6259084578744094E-2</v>
      </c>
      <c r="AC59" s="56"/>
      <c r="AD59" s="57"/>
    </row>
    <row r="60" spans="2:31" x14ac:dyDescent="0.45">
      <c r="B60" s="9"/>
      <c r="C60" s="11"/>
      <c r="D60" s="11"/>
      <c r="E60" s="11"/>
      <c r="N60" s="9" t="s">
        <v>4</v>
      </c>
      <c r="O60" s="48">
        <f ref="O60:O65" si="29" t="shared">IF(O21="","-",IF($R21="",$O$55*O47,$O$55*(O47)))</f>
        <v>0</v>
      </c>
      <c r="P60" s="48" t="str">
        <f ref="P60:P65" si="30" t="shared">IF(P21="","-",IF($R21="",$P$55*P47,$P$55*(P47)))</f>
        <v>-</v>
      </c>
      <c r="Q60" s="48">
        <f si="27" t="shared"/>
        <v>0</v>
      </c>
      <c r="R60" s="48">
        <f si="28" t="shared"/>
        <v>-1.0584274794175405E-2</v>
      </c>
      <c r="AC60" s="56"/>
      <c r="AD60" s="57"/>
    </row>
    <row r="61" spans="2:31" x14ac:dyDescent="0.45">
      <c r="B61" s="9"/>
      <c r="C61" s="11"/>
      <c r="D61" s="11"/>
      <c r="E61" s="11"/>
      <c r="N61" s="9" t="s">
        <v>5</v>
      </c>
      <c r="O61" s="48">
        <f si="29" t="shared"/>
        <v>0</v>
      </c>
      <c r="P61" s="48">
        <f si="30" t="shared"/>
        <v>0</v>
      </c>
      <c r="Q61" s="48" t="str">
        <f si="27" t="shared"/>
        <v>-</v>
      </c>
      <c r="R61" s="48">
        <f si="28" t="shared"/>
        <v>6.6146692263822957E-2</v>
      </c>
      <c r="AC61" s="56"/>
      <c r="AD61" s="57"/>
    </row>
    <row r="62" spans="2:31" x14ac:dyDescent="0.45">
      <c r="B62" s="9"/>
      <c r="C62" s="11"/>
      <c r="D62" s="11"/>
      <c r="E62" s="11"/>
      <c r="N62" s="9" t="s">
        <v>6</v>
      </c>
      <c r="O62" s="48">
        <f si="29" t="shared"/>
        <v>0</v>
      </c>
      <c r="P62" s="48">
        <f si="30" t="shared"/>
        <v>0</v>
      </c>
      <c r="Q62" s="48" t="str">
        <f si="27" t="shared"/>
        <v>-</v>
      </c>
      <c r="R62" s="48">
        <f si="28" t="shared"/>
        <v>5.1271386133218844E-3</v>
      </c>
      <c r="AC62" s="56"/>
      <c r="AD62" s="57"/>
    </row>
    <row r="63" spans="2:31" x14ac:dyDescent="0.45">
      <c r="B63" s="9"/>
      <c r="C63" s="11"/>
      <c r="D63" s="11"/>
      <c r="E63" s="11"/>
      <c r="N63" s="9" t="s">
        <v>7</v>
      </c>
      <c r="O63" s="48">
        <f si="29" t="shared"/>
        <v>0</v>
      </c>
      <c r="P63" s="48">
        <f si="30" t="shared"/>
        <v>0</v>
      </c>
      <c r="Q63" s="48" t="str">
        <f si="27" t="shared"/>
        <v>-</v>
      </c>
      <c r="R63" s="48">
        <f si="28" t="shared"/>
        <v>8.1369780015634482E-2</v>
      </c>
      <c r="AC63" s="56"/>
      <c r="AD63" s="57"/>
    </row>
    <row r="64" spans="2:31" x14ac:dyDescent="0.45">
      <c r="B64" s="9"/>
      <c r="C64" s="11"/>
      <c r="D64" s="11"/>
      <c r="E64" s="11"/>
      <c r="N64" s="9" t="s">
        <v>8</v>
      </c>
      <c r="O64" s="48" t="str">
        <f si="29" t="shared"/>
        <v>-</v>
      </c>
      <c r="P64" s="48" t="str">
        <f si="30" t="shared"/>
        <v>-</v>
      </c>
      <c r="Q64" s="48" t="str">
        <f si="27" t="shared"/>
        <v>-</v>
      </c>
      <c r="R64" s="48" t="str">
        <f si="28" t="shared"/>
        <v>-</v>
      </c>
      <c r="AC64" s="56"/>
      <c r="AD64" s="57"/>
    </row>
    <row r="65" spans="2:30" x14ac:dyDescent="0.45">
      <c r="B65" s="9"/>
      <c r="C65" s="11"/>
      <c r="D65" s="11"/>
      <c r="E65" s="11"/>
      <c r="N65" s="12" t="s">
        <v>302</v>
      </c>
      <c r="O65" s="49">
        <f si="29" t="shared"/>
        <v>0</v>
      </c>
      <c r="P65" s="49">
        <f si="30" t="shared"/>
        <v>0</v>
      </c>
      <c r="Q65" s="49" t="str">
        <f si="27" t="shared"/>
        <v>-</v>
      </c>
      <c r="R65" s="49">
        <f si="28" t="shared"/>
        <v>0</v>
      </c>
      <c r="AC65" s="56"/>
      <c r="AD65" s="57"/>
    </row>
    <row r="66" spans="2:30" x14ac:dyDescent="0.45">
      <c r="N66" s="9" t="s">
        <v>273</v>
      </c>
      <c r="AC66" s="56"/>
      <c r="AD66" s="57"/>
    </row>
    <row r="67" spans="2:30" x14ac:dyDescent="0.45">
      <c r="B67" s="23"/>
      <c r="AC67" s="56"/>
      <c r="AD67" s="57"/>
    </row>
    <row ht="14.65" r="68" spans="2:30" thickBot="1" x14ac:dyDescent="0.5">
      <c r="C68" s="11"/>
      <c r="D68" s="11"/>
      <c r="E68" s="11"/>
      <c r="N68" s="37" t="s">
        <v>212</v>
      </c>
    </row>
    <row r="69" spans="2:30" x14ac:dyDescent="0.4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</row>
    <row r="70" spans="2:30" x14ac:dyDescent="0.45">
      <c r="B70" s="9"/>
      <c r="C70" s="46"/>
      <c r="D70" s="11"/>
      <c r="E70" s="11"/>
      <c r="N70" s="9" t="s">
        <v>1</v>
      </c>
      <c r="O70" s="47" t="str">
        <f ref="O70:R78" si="31" t="shared">IFERROR(VLOOKUP(O18,$AA$3:$AC$48,3,FALSE),"-")</f>
        <v>-</v>
      </c>
      <c r="P70" s="47" t="str">
        <f si="31" t="shared"/>
        <v>-</v>
      </c>
      <c r="Q70" s="47">
        <f si="31" t="shared"/>
        <v>-2.0408811449069999</v>
      </c>
      <c r="R70" s="47">
        <f si="31" t="shared"/>
        <v>2.25898164027</v>
      </c>
    </row>
    <row r="71" spans="2:30" x14ac:dyDescent="0.45">
      <c r="B71" s="9"/>
      <c r="C71" s="46"/>
      <c r="D71" s="11"/>
      <c r="E71" s="11"/>
      <c r="N71" s="9" t="s">
        <v>2</v>
      </c>
      <c r="O71" s="48">
        <f si="31" t="shared"/>
        <v>-4.4897947060499996</v>
      </c>
      <c r="P71" s="48">
        <f si="31" t="shared"/>
        <v>0.46242029547000002</v>
      </c>
      <c r="Q71" s="48" t="str">
        <f si="31" t="shared"/>
        <v>-</v>
      </c>
      <c r="R71" s="48">
        <f si="31" t="shared"/>
        <v>-0.65875918050299997</v>
      </c>
    </row>
    <row r="72" spans="2:30" x14ac:dyDescent="0.45">
      <c r="B72" s="9"/>
      <c r="C72" s="11"/>
      <c r="D72" s="11"/>
      <c r="E72" s="11"/>
      <c r="N72" s="9" t="s">
        <v>3</v>
      </c>
      <c r="O72" s="48">
        <f si="31" t="shared"/>
        <v>0.221506127287</v>
      </c>
      <c r="P72" s="48">
        <f si="31" t="shared"/>
        <v>-0.38934722737299998</v>
      </c>
      <c r="Q72" s="48" t="str">
        <f si="31" t="shared"/>
        <v>-</v>
      </c>
      <c r="R72" s="48">
        <f si="31" t="shared"/>
        <v>-1.318469147062</v>
      </c>
    </row>
    <row r="73" spans="2:30" x14ac:dyDescent="0.45">
      <c r="B73" s="9"/>
      <c r="C73" s="11"/>
      <c r="D73" s="11"/>
      <c r="E73" s="11"/>
      <c r="N73" s="9" t="s">
        <v>4</v>
      </c>
      <c r="O73" s="48">
        <f si="31" t="shared"/>
        <v>-1.442858441531</v>
      </c>
      <c r="P73" s="48" t="str">
        <f si="31" t="shared"/>
        <v>-</v>
      </c>
      <c r="Q73" s="48">
        <f si="31" t="shared"/>
        <v>0.33912898903100003</v>
      </c>
      <c r="R73" s="48">
        <f si="31" t="shared"/>
        <v>-3.0007202716300001</v>
      </c>
    </row>
    <row r="74" spans="2:30" x14ac:dyDescent="0.45">
      <c r="B74" s="9"/>
      <c r="C74" s="11"/>
      <c r="D74" s="11"/>
      <c r="E74" s="11"/>
      <c r="N74" s="9" t="s">
        <v>5</v>
      </c>
      <c r="O74" s="48">
        <f si="31" t="shared"/>
        <v>1.5421299915340001</v>
      </c>
      <c r="P74" s="48">
        <f si="31" t="shared"/>
        <v>1.016680004923</v>
      </c>
      <c r="Q74" s="48" t="str">
        <f si="31" t="shared"/>
        <v>-</v>
      </c>
      <c r="R74" s="48">
        <f si="31" t="shared"/>
        <v>-2.2144583715150001</v>
      </c>
    </row>
    <row r="75" spans="2:30" x14ac:dyDescent="0.45">
      <c r="B75" s="9"/>
      <c r="C75" s="11"/>
      <c r="D75" s="11"/>
      <c r="E75" s="11"/>
      <c r="N75" s="9" t="s">
        <v>6</v>
      </c>
      <c r="O75" s="48">
        <f si="31" t="shared"/>
        <v>-2.1268647009919999</v>
      </c>
      <c r="P75" s="48">
        <f si="31" t="shared"/>
        <v>0.75586563750299995</v>
      </c>
      <c r="Q75" s="48" t="str">
        <f si="31" t="shared"/>
        <v>-</v>
      </c>
      <c r="R75" s="48">
        <f si="31" t="shared"/>
        <v>-8.4156031205220003</v>
      </c>
    </row>
    <row r="76" spans="2:30" x14ac:dyDescent="0.45">
      <c r="B76" s="9"/>
      <c r="C76" s="11"/>
      <c r="D76" s="11"/>
      <c r="E76" s="11"/>
      <c r="N76" s="9" t="s">
        <v>7</v>
      </c>
      <c r="O76" s="48">
        <f si="31" t="shared"/>
        <v>0.61141965442500001</v>
      </c>
      <c r="P76" s="48">
        <f si="31" t="shared"/>
        <v>5.3948600250779997</v>
      </c>
      <c r="Q76" s="48" t="str">
        <f si="31" t="shared"/>
        <v>-</v>
      </c>
      <c r="R76" s="48">
        <f si="31" t="shared"/>
        <v>1.043171365831</v>
      </c>
    </row>
    <row r="77" spans="2:30" x14ac:dyDescent="0.45">
      <c r="B77" s="9"/>
      <c r="N77" s="9" t="s">
        <v>8</v>
      </c>
      <c r="O77" s="48" t="str">
        <f si="31" t="shared"/>
        <v>-</v>
      </c>
      <c r="P77" s="48" t="str">
        <f si="31" t="shared"/>
        <v>-</v>
      </c>
      <c r="Q77" s="48" t="str">
        <f si="31" t="shared"/>
        <v>-</v>
      </c>
      <c r="R77" s="48" t="str">
        <f si="31" t="shared"/>
        <v>-</v>
      </c>
    </row>
    <row r="78" spans="2:30" x14ac:dyDescent="0.45">
      <c r="N78" s="12" t="s">
        <v>302</v>
      </c>
      <c r="O78" s="49" t="str">
        <f si="31" t="shared"/>
        <v>-</v>
      </c>
      <c r="P78" s="49" t="str">
        <f si="31" t="shared"/>
        <v>-</v>
      </c>
      <c r="Q78" s="49" t="str">
        <f si="31" t="shared"/>
        <v>-</v>
      </c>
      <c r="R78" s="49" t="str">
        <f si="31" t="shared"/>
        <v>-</v>
      </c>
    </row>
    <row ht="14.65" r="80" spans="2:30" thickBot="1" x14ac:dyDescent="0.5">
      <c r="H80" s="5" t="s">
        <v>235</v>
      </c>
      <c r="N80" s="37" t="s">
        <v>213</v>
      </c>
    </row>
    <row r="81" spans="8:18" x14ac:dyDescent="0.4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45">
      <c r="H82" s="9" t="s">
        <v>1</v>
      </c>
      <c r="I82" s="11" t="str">
        <f ref="I82:L89" si="32" t="shared">IF(ISBLANK(O18),"",O18)</f>
        <v/>
      </c>
      <c r="J82" s="11" t="str">
        <f si="32" t="shared"/>
        <v/>
      </c>
      <c r="K82" s="11">
        <f si="32" t="shared"/>
        <v>53</v>
      </c>
      <c r="L82" s="11">
        <f si="32" t="shared"/>
        <v>50</v>
      </c>
      <c r="N82" s="9" t="s">
        <v>1</v>
      </c>
      <c r="O82" s="48" t="str">
        <f ref="O82:R90" si="33" t="shared">IF(O18="","-",O57+O70)</f>
        <v>-</v>
      </c>
      <c r="P82" s="48" t="str">
        <f si="33" t="shared"/>
        <v>-</v>
      </c>
      <c r="Q82" s="48">
        <f si="33" t="shared"/>
        <v>-2.0408811449069999</v>
      </c>
      <c r="R82" s="48">
        <f si="33" t="shared"/>
        <v>2.2575340246279918</v>
      </c>
    </row>
    <row r="83" spans="8:18" x14ac:dyDescent="0.45">
      <c r="H83" s="9" t="s">
        <v>2</v>
      </c>
      <c r="I83" s="11">
        <f si="32" t="shared"/>
        <v>41</v>
      </c>
      <c r="J83" s="11">
        <f si="32" t="shared"/>
        <v>42</v>
      </c>
      <c r="K83" s="11" t="str">
        <f si="32" t="shared"/>
        <v/>
      </c>
      <c r="L83" s="11">
        <f si="32" t="shared"/>
        <v>40</v>
      </c>
      <c r="N83" s="9" t="s">
        <v>2</v>
      </c>
      <c r="O83" s="48">
        <f si="33" t="shared"/>
        <v>-4.4897947060499996</v>
      </c>
      <c r="P83" s="48">
        <f si="33" t="shared"/>
        <v>0.46242029547000002</v>
      </c>
      <c r="Q83" s="48" t="str">
        <f si="33" t="shared"/>
        <v>-</v>
      </c>
      <c r="R83" s="48">
        <f si="33" t="shared"/>
        <v>-0.66588631692227096</v>
      </c>
    </row>
    <row r="84" spans="8:18" x14ac:dyDescent="0.45">
      <c r="H84" s="9" t="s">
        <v>3</v>
      </c>
      <c r="I84" s="11">
        <f si="32" t="shared"/>
        <v>36</v>
      </c>
      <c r="J84" s="11">
        <f si="32" t="shared"/>
        <v>37</v>
      </c>
      <c r="K84" s="11" t="str">
        <f si="32" t="shared"/>
        <v/>
      </c>
      <c r="L84" s="11">
        <f si="32" t="shared"/>
        <v>30</v>
      </c>
      <c r="N84" s="9" t="s">
        <v>3</v>
      </c>
      <c r="O84" s="48">
        <f si="33" t="shared"/>
        <v>0.221506127287</v>
      </c>
      <c r="P84" s="48">
        <f si="33" t="shared"/>
        <v>-0.38934722737299998</v>
      </c>
      <c r="Q84" s="48" t="str">
        <f si="33" t="shared"/>
        <v>-</v>
      </c>
      <c r="R84" s="48">
        <f si="33" t="shared"/>
        <v>-1.302210062483256</v>
      </c>
    </row>
    <row r="85" spans="8:18" x14ac:dyDescent="0.45">
      <c r="H85" s="9" t="s">
        <v>4</v>
      </c>
      <c r="I85" s="11">
        <f si="32" t="shared"/>
        <v>11</v>
      </c>
      <c r="J85" s="11" t="str">
        <f si="32" t="shared"/>
        <v/>
      </c>
      <c r="K85" s="11">
        <f si="32" t="shared"/>
        <v>13</v>
      </c>
      <c r="L85" s="11">
        <f si="32" t="shared"/>
        <v>10</v>
      </c>
      <c r="N85" s="9" t="s">
        <v>4</v>
      </c>
      <c r="O85" s="48">
        <f si="33" t="shared"/>
        <v>-1.442858441531</v>
      </c>
      <c r="P85" s="48" t="str">
        <f si="33" t="shared"/>
        <v>-</v>
      </c>
      <c r="Q85" s="48">
        <f si="33" t="shared"/>
        <v>0.33912898903100003</v>
      </c>
      <c r="R85" s="48">
        <f si="33" t="shared"/>
        <v>-3.0113045464241757</v>
      </c>
    </row>
    <row r="86" spans="8:18" x14ac:dyDescent="0.45">
      <c r="H86" s="9" t="s">
        <v>5</v>
      </c>
      <c r="I86" s="11">
        <f si="32" t="shared"/>
        <v>21</v>
      </c>
      <c r="J86" s="11">
        <f si="32" t="shared"/>
        <v>22</v>
      </c>
      <c r="K86" s="11" t="str">
        <f si="32" t="shared"/>
        <v/>
      </c>
      <c r="L86" s="11">
        <f si="32" t="shared"/>
        <v>20</v>
      </c>
      <c r="N86" s="9" t="s">
        <v>5</v>
      </c>
      <c r="O86" s="48">
        <f si="33" t="shared"/>
        <v>1.5421299915340001</v>
      </c>
      <c r="P86" s="48">
        <f si="33" t="shared"/>
        <v>1.016680004923</v>
      </c>
      <c r="Q86" s="48" t="str">
        <f si="33" t="shared"/>
        <v>-</v>
      </c>
      <c r="R86" s="48">
        <f si="33" t="shared"/>
        <v>-2.1483116792511772</v>
      </c>
    </row>
    <row r="87" spans="8:18" x14ac:dyDescent="0.45">
      <c r="H87" s="9" t="s">
        <v>6</v>
      </c>
      <c r="I87" s="11">
        <f si="32" t="shared"/>
        <v>67</v>
      </c>
      <c r="J87" s="11">
        <f si="32" t="shared"/>
        <v>68</v>
      </c>
      <c r="K87" s="11" t="str">
        <f si="32" t="shared"/>
        <v/>
      </c>
      <c r="L87" s="11">
        <f si="32" t="shared"/>
        <v>60</v>
      </c>
      <c r="N87" s="9" t="s">
        <v>6</v>
      </c>
      <c r="O87" s="48">
        <f si="33" t="shared"/>
        <v>-2.1268647009919999</v>
      </c>
      <c r="P87" s="48">
        <f si="33" t="shared"/>
        <v>0.75586563750299995</v>
      </c>
      <c r="Q87" s="48" t="str">
        <f si="33" t="shared"/>
        <v>-</v>
      </c>
      <c r="R87" s="48">
        <f si="33" t="shared"/>
        <v>-8.4104759819086787</v>
      </c>
    </row>
    <row r="88" spans="8:18" x14ac:dyDescent="0.45">
      <c r="H88" s="9" t="s">
        <v>7</v>
      </c>
      <c r="I88" s="11">
        <f si="32" t="shared"/>
        <v>77</v>
      </c>
      <c r="J88" s="11">
        <f si="32" t="shared"/>
        <v>78</v>
      </c>
      <c r="K88" s="11" t="str">
        <f si="32" t="shared"/>
        <v/>
      </c>
      <c r="L88" s="11">
        <f si="32" t="shared"/>
        <v>70</v>
      </c>
      <c r="N88" s="9" t="s">
        <v>7</v>
      </c>
      <c r="O88" s="48">
        <f si="33" t="shared"/>
        <v>0.61141965442500001</v>
      </c>
      <c r="P88" s="48">
        <f si="33" t="shared"/>
        <v>5.3948600250779997</v>
      </c>
      <c r="Q88" s="48" t="str">
        <f si="33" t="shared"/>
        <v>-</v>
      </c>
      <c r="R88" s="48">
        <f si="33" t="shared"/>
        <v>1.1245411458466346</v>
      </c>
    </row>
    <row r="89" spans="8:18" x14ac:dyDescent="0.45">
      <c r="H89" s="9" t="s">
        <v>8</v>
      </c>
      <c r="I89" s="11" t="str">
        <f si="32" t="shared"/>
        <v/>
      </c>
      <c r="J89" s="11" t="str">
        <f si="32" t="shared"/>
        <v/>
      </c>
      <c r="K89" s="11" t="str">
        <f si="32" t="shared"/>
        <v/>
      </c>
      <c r="L89" s="11" t="str">
        <f si="32" t="shared"/>
        <v/>
      </c>
      <c r="N89" s="9" t="s">
        <v>8</v>
      </c>
      <c r="O89" s="48" t="str">
        <f si="33" t="shared"/>
        <v>-</v>
      </c>
      <c r="P89" s="48" t="str">
        <f si="33" t="shared"/>
        <v>-</v>
      </c>
      <c r="Q89" s="48" t="str">
        <f si="33" t="shared"/>
        <v>-</v>
      </c>
      <c r="R89" s="48" t="str">
        <f si="33" t="shared"/>
        <v>-</v>
      </c>
    </row>
    <row r="90" spans="8:18" x14ac:dyDescent="0.45">
      <c r="H90" s="12" t="s">
        <v>302</v>
      </c>
      <c r="I90" s="7">
        <f ref="I90" si="34" t="shared">IF(ISBLANK(O26),"",O26)</f>
        <v>81</v>
      </c>
      <c r="J90" s="7">
        <f ref="J90" si="35" t="shared">IF(ISBLANK(P26),"",P26)</f>
        <v>82</v>
      </c>
      <c r="K90" s="7" t="str">
        <f ref="K90" si="36" t="shared">IF(ISBLANK(Q26),"",Q26)</f>
        <v/>
      </c>
      <c r="L90" s="7">
        <f ref="L90" si="37" t="shared">IF(ISBLANK(R26),"",R26)</f>
        <v>80</v>
      </c>
      <c r="N90" s="12" t="s">
        <v>302</v>
      </c>
      <c r="O90" s="49" t="e">
        <f si="33" t="shared"/>
        <v>#VALUE!</v>
      </c>
      <c r="P90" s="49" t="e">
        <f si="33" t="shared"/>
        <v>#VALUE!</v>
      </c>
      <c r="Q90" s="49" t="str">
        <f si="33" t="shared"/>
        <v>-</v>
      </c>
      <c r="R90" s="49" t="e">
        <f si="33" t="shared"/>
        <v>#VALUE!</v>
      </c>
    </row>
  </sheetData>
  <mergeCells count="2">
    <mergeCell ref="H15:L15"/>
    <mergeCell ref="B15:F15"/>
  </mergeCells>
  <conditionalFormatting sqref="AE3:AE67">
    <cfRule dxfId="19" operator="greaterThan" priority="4" type="cellIs">
      <formula>0</formula>
    </cfRule>
  </conditionalFormatting>
  <conditionalFormatting sqref="Q31:R31 O35:P37 O32:P33 R32:R33 O34 Q34:R34 O39:P39 R35:R37 R39">
    <cfRule dxfId="18" operator="greaterThan" priority="3" type="cellIs">
      <formula>1.05</formula>
    </cfRule>
    <cfRule dxfId="17" operator="lessThan" priority="2" type="cellIs">
      <formula>0.95</formula>
    </cfRule>
  </conditionalFormatting>
  <pageMargins bottom="0.75" footer="0.3" header="0.3" left="0.7" right="0.7" top="0.75"/>
  <pageSetup orientation="portrait" r:id="rId1"/>
  <ignoredErrors>
    <ignoredError formula="1" sqref="O32:P32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13854566-7D48-43EA-8988-71B408F3B8FD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B050"/>
  </sheetPr>
  <dimension ref="B1:AF90"/>
  <sheetViews>
    <sheetView topLeftCell="A31" workbookViewId="0" zoomScaleNormal="100">
      <selection activeCell="R55" sqref="R55"/>
    </sheetView>
  </sheetViews>
  <sheetFormatPr defaultRowHeight="14.25" x14ac:dyDescent="0.45"/>
  <cols>
    <col min="2" max="2" bestFit="true" customWidth="true" width="14.1328125" collapsed="true"/>
    <col min="4" max="4" bestFit="true" customWidth="true" width="11.73046875" collapsed="true"/>
    <col min="5" max="5" bestFit="true" customWidth="true" width="13.59765625" collapsed="true"/>
    <col min="6" max="6" bestFit="true" customWidth="true" width="9.1328125" collapsed="true"/>
    <col min="8" max="8" bestFit="true" customWidth="true" width="14.1328125" collapsed="true"/>
    <col min="10" max="10" bestFit="true" customWidth="true" width="11.73046875" collapsed="true"/>
    <col min="11" max="11" bestFit="true" customWidth="true" width="13.59765625" collapsed="true"/>
    <col min="12" max="12" bestFit="true" customWidth="true" width="7.59765625" collapsed="true"/>
    <col min="13" max="13" width="9.1328125" collapsed="true"/>
    <col min="14" max="14" bestFit="true" customWidth="true" width="14.1328125" collapsed="true"/>
    <col min="15" max="15" bestFit="true" customWidth="true" width="10.265625" collapsed="true"/>
    <col min="16" max="16" bestFit="true" customWidth="true" width="12.0" collapsed="true"/>
    <col min="17" max="17" bestFit="true" customWidth="true" width="13.86328125" collapsed="true"/>
    <col min="18" max="18" bestFit="true" customWidth="true" width="9.265625" collapsed="true"/>
    <col min="20" max="20" customWidth="true" width="5.59765625" collapsed="true"/>
    <col min="21" max="21" customWidth="true" width="12.86328125" collapsed="true"/>
    <col min="22" max="22" bestFit="true" customWidth="true" width="11.73046875" collapsed="true"/>
    <col min="23" max="23" bestFit="true" customWidth="true" width="13.59765625" collapsed="true"/>
    <col min="28" max="28" bestFit="true" customWidth="true" width="11.0" collapsed="true"/>
    <col min="29" max="29" bestFit="true" customWidth="true" width="16.3984375" collapsed="true"/>
    <col min="30" max="30" bestFit="true" customWidth="true" width="15.3984375" collapsed="true"/>
  </cols>
  <sheetData>
    <row r="1" spans="2:31" x14ac:dyDescent="0.45">
      <c r="T1" s="23" t="s">
        <v>108</v>
      </c>
      <c r="U1" s="32"/>
      <c r="V1" s="32"/>
      <c r="W1" s="32"/>
      <c r="X1" s="32"/>
      <c r="AA1" s="23" t="s">
        <v>108</v>
      </c>
    </row>
    <row r="2" spans="2:31" x14ac:dyDescent="0.4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4.65" r="3" spans="2:31" thickBot="1" x14ac:dyDescent="0.5">
      <c r="B3" s="23" t="s">
        <v>278</v>
      </c>
      <c r="T3">
        <v>1</v>
      </c>
      <c r="U3" s="33" t="s">
        <v>244</v>
      </c>
      <c r="W3" s="32"/>
      <c r="X3" s="32"/>
      <c r="AA3">
        <f>SchoolCoeffcients!B11</f>
        <v>1</v>
      </c>
      <c r="AB3" t="str">
        <f>SchoolCoeffcients!C11</f>
        <v>costutil</v>
      </c>
      <c r="AC3" s="56">
        <f>SchoolCoeffcients!E11</f>
        <v>8.2713999999999996E-2</v>
      </c>
      <c r="AD3" s="57">
        <f>_xlfn.IFNA(VLOOKUP(AA3,$T$31:$V$53,3,FALSE),AC3)</f>
        <v>8.2713999999999996E-2</v>
      </c>
      <c r="AE3">
        <f>IF(AC3=AD3,0,1)</f>
        <v>0</v>
      </c>
    </row>
    <row r="4" spans="2:31" x14ac:dyDescent="0.4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288</v>
      </c>
      <c r="W4" s="32"/>
      <c r="X4" s="32"/>
      <c r="AA4">
        <f>SchoolCoeffcients!B12</f>
        <v>2</v>
      </c>
      <c r="AB4" t="str">
        <f>SchoolCoeffcients!C12</f>
        <v>timeutil</v>
      </c>
      <c r="AC4" s="56">
        <f>SchoolCoeffcients!E12</f>
        <v>1.022035</v>
      </c>
      <c r="AD4" s="57">
        <f ref="AD4:AD55" si="0" t="shared">_xlfn.IFNA(VLOOKUP(AA4,$T$31:$V$53,3,FALSE),AC4)</f>
        <v>1.022035</v>
      </c>
      <c r="AE4">
        <f ref="AE4:AE55" si="1" t="shared">IF(AC4=AD4,0,1)</f>
        <v>0</v>
      </c>
    </row>
    <row r="5" spans="2:31" x14ac:dyDescent="0.45">
      <c r="B5" s="9" t="s">
        <v>1</v>
      </c>
      <c r="C5" s="11"/>
      <c r="D5" s="11">
        <v>52</v>
      </c>
      <c r="E5" s="11"/>
      <c r="F5" s="11">
        <v>50</v>
      </c>
      <c r="T5">
        <v>3</v>
      </c>
      <c r="U5" s="32" t="s">
        <v>245</v>
      </c>
      <c r="V5" s="32"/>
      <c r="W5" s="32"/>
      <c r="X5" s="32"/>
      <c r="AA5">
        <f>SchoolCoeffcients!B13</f>
        <v>10</v>
      </c>
      <c r="AB5" t="str">
        <f>SchoolCoeffcients!C13</f>
        <v>sb-const</v>
      </c>
      <c r="AC5" s="56">
        <f>SchoolCoeffcients!E13</f>
        <v>0.25988565033400002</v>
      </c>
      <c r="AD5" s="57">
        <f si="0" t="shared"/>
        <v>0.2546155692715884</v>
      </c>
      <c r="AE5">
        <f si="1" t="shared"/>
        <v>1</v>
      </c>
    </row>
    <row r="6" spans="2:31" x14ac:dyDescent="0.4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>
        <f>SchoolCoeffcients!B14</f>
        <v>11</v>
      </c>
      <c r="AB6" t="str">
        <f>SchoolCoeffcients!C14</f>
        <v>sb-nocars</v>
      </c>
      <c r="AC6" s="56">
        <f>SchoolCoeffcients!E14</f>
        <v>4.1584704850000001E-2</v>
      </c>
      <c r="AD6" s="57">
        <f si="0" t="shared"/>
        <v>4.1584704850000001E-2</v>
      </c>
      <c r="AE6">
        <f si="1" t="shared"/>
        <v>0</v>
      </c>
    </row>
    <row r="7" spans="2:31" x14ac:dyDescent="0.45">
      <c r="B7" s="9" t="s">
        <v>3</v>
      </c>
      <c r="C7" s="11" t="s">
        <v>254</v>
      </c>
      <c r="D7" s="11">
        <v>35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>
        <f>SchoolCoeffcients!B15</f>
        <v>13</v>
      </c>
      <c r="AB7" t="str">
        <f>SchoolCoeffcients!C15</f>
        <v>sb-carsltd</v>
      </c>
      <c r="AC7" s="56">
        <f>SchoolCoeffcients!E15</f>
        <v>0.136483612798</v>
      </c>
      <c r="AD7" s="57">
        <f si="0" t="shared"/>
        <v>0.136483612798</v>
      </c>
      <c r="AE7">
        <f si="1" t="shared"/>
        <v>0</v>
      </c>
    </row>
    <row r="8" spans="2:31" x14ac:dyDescent="0.4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SchoolCoeffcients!B16</f>
        <v>17</v>
      </c>
      <c r="AB8" t="str">
        <f>SchoolCoeffcients!C16</f>
        <v>sb-chun5</v>
      </c>
      <c r="AC8" s="56">
        <f>SchoolCoeffcients!E16</f>
        <v>-0.37388399999999999</v>
      </c>
      <c r="AD8" s="57">
        <f si="0" t="shared"/>
        <v>-0.37388399999999999</v>
      </c>
      <c r="AE8">
        <f si="1" t="shared"/>
        <v>0</v>
      </c>
    </row>
    <row r="9" spans="2:31" x14ac:dyDescent="0.4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>
        <f>SchoolCoeffcients!B17</f>
        <v>18</v>
      </c>
      <c r="AB9" t="str">
        <f>SchoolCoeffcients!C17</f>
        <v>sb-univtr</v>
      </c>
      <c r="AC9" s="56">
        <f>SchoolCoeffcients!E17</f>
        <v>-2.1552190000000002</v>
      </c>
      <c r="AD9" s="57">
        <f si="0" t="shared"/>
        <v>-2.1552190000000002</v>
      </c>
      <c r="AE9">
        <f si="1" t="shared"/>
        <v>0</v>
      </c>
    </row>
    <row r="10" spans="2:31" x14ac:dyDescent="0.4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SchoolCoeffcients!B18</f>
        <v>20</v>
      </c>
      <c r="AB10" t="str">
        <f>SchoolCoeffcients!C18</f>
        <v>wt-const</v>
      </c>
      <c r="AC10" s="56">
        <f>SchoolCoeffcients!E18</f>
        <v>-2.966608128651</v>
      </c>
      <c r="AD10" s="57">
        <f si="0" t="shared"/>
        <v>-3.0160983819738818</v>
      </c>
      <c r="AE10">
        <f si="1" t="shared"/>
        <v>1</v>
      </c>
    </row>
    <row r="11" spans="2:31" x14ac:dyDescent="0.4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SchoolCoeffcients!B19</f>
        <v>21</v>
      </c>
      <c r="AB11" t="str">
        <f>SchoolCoeffcients!C19</f>
        <v>wt-nocars</v>
      </c>
      <c r="AC11" s="56">
        <f>SchoolCoeffcients!E19</f>
        <v>1.248911465712</v>
      </c>
      <c r="AD11" s="57">
        <f si="0" t="shared"/>
        <v>1.248911465712</v>
      </c>
      <c r="AE11">
        <f si="1" t="shared"/>
        <v>0</v>
      </c>
    </row>
    <row r="12" spans="2:31" x14ac:dyDescent="0.45">
      <c r="B12" s="12" t="s">
        <v>8</v>
      </c>
      <c r="C12" s="11">
        <v>11</v>
      </c>
      <c r="D12" s="11">
        <v>13</v>
      </c>
      <c r="E12" s="7"/>
      <c r="F12" s="7">
        <v>10</v>
      </c>
      <c r="T12" s="32">
        <v>3</v>
      </c>
      <c r="U12" s="32" t="s">
        <v>241</v>
      </c>
      <c r="V12" s="32"/>
      <c r="W12" s="32"/>
      <c r="X12" s="32"/>
      <c r="AA12">
        <f>SchoolCoeffcients!B20</f>
        <v>22</v>
      </c>
      <c r="AB12" t="str">
        <f>SchoolCoeffcients!C20</f>
        <v>wt-carsltd</v>
      </c>
      <c r="AC12" s="56">
        <f>SchoolCoeffcients!E20</f>
        <v>-0.53922482139799999</v>
      </c>
      <c r="AD12" s="57">
        <f si="0" t="shared"/>
        <v>-0.53922482139799999</v>
      </c>
      <c r="AE12">
        <f si="1" t="shared"/>
        <v>0</v>
      </c>
    </row>
    <row r="13" spans="2:31" x14ac:dyDescent="0.45">
      <c r="C13" s="25"/>
      <c r="D13" s="25"/>
      <c r="T13" s="32">
        <v>4</v>
      </c>
      <c r="U13" s="32" t="s">
        <v>242</v>
      </c>
      <c r="V13" s="32"/>
      <c r="W13" s="32"/>
      <c r="X13" s="32"/>
      <c r="AA13">
        <f>SchoolCoeffcients!B21</f>
        <v>27</v>
      </c>
      <c r="AB13" t="str">
        <f>SchoolCoeffcients!C21</f>
        <v>wt-chun5</v>
      </c>
      <c r="AC13" s="56">
        <f>SchoolCoeffcients!E21</f>
        <v>-5</v>
      </c>
      <c r="AD13" s="57">
        <f si="0" t="shared"/>
        <v>-5</v>
      </c>
      <c r="AE13">
        <f si="1" t="shared"/>
        <v>0</v>
      </c>
    </row>
    <row r="14" spans="2:31" x14ac:dyDescent="0.45">
      <c r="B14" s="37" t="s">
        <v>303</v>
      </c>
      <c r="T14" s="32">
        <v>5</v>
      </c>
      <c r="U14" s="33" t="s">
        <v>289</v>
      </c>
      <c r="V14" s="32"/>
      <c r="W14" s="32"/>
      <c r="X14" s="32"/>
      <c r="AA14">
        <f>SchoolCoeffcients!B22</f>
        <v>28</v>
      </c>
      <c r="AB14" t="str">
        <f>SchoolCoeffcients!C22</f>
        <v>wt-univtr</v>
      </c>
      <c r="AC14" s="56">
        <f>SchoolCoeffcients!E22</f>
        <v>-0.81893000000000005</v>
      </c>
      <c r="AD14" s="57">
        <f si="0" t="shared"/>
        <v>-0.81893000000000005</v>
      </c>
      <c r="AE14">
        <f si="1" t="shared"/>
        <v>0</v>
      </c>
    </row>
    <row r="15" spans="2:31" x14ac:dyDescent="0.45">
      <c r="B15" s="106" t="s">
        <v>293</v>
      </c>
      <c r="C15" s="106"/>
      <c r="D15" s="106"/>
      <c r="E15" s="106"/>
      <c r="F15" s="106"/>
      <c r="H15" s="105" t="s">
        <v>33</v>
      </c>
      <c r="I15" s="105"/>
      <c r="J15" s="105"/>
      <c r="K15" s="105"/>
      <c r="L15" s="105"/>
      <c r="T15" s="32">
        <v>6</v>
      </c>
      <c r="U15" s="32" t="s">
        <v>246</v>
      </c>
      <c r="V15" s="32"/>
      <c r="W15" s="32"/>
      <c r="X15" s="32"/>
      <c r="AA15">
        <f>SchoolCoeffcients!B23</f>
        <v>29</v>
      </c>
      <c r="AB15" t="str">
        <f>SchoolCoeffcients!C23</f>
        <v>wt-ch1617</v>
      </c>
      <c r="AC15" s="56">
        <f>SchoolCoeffcients!E23</f>
        <v>1.4418610000000001</v>
      </c>
      <c r="AD15" s="57">
        <f si="0" t="shared"/>
        <v>1.4418610000000001</v>
      </c>
      <c r="AE15">
        <f si="1" t="shared"/>
        <v>0</v>
      </c>
    </row>
    <row ht="14.65" r="16" spans="2:31" thickBot="1" x14ac:dyDescent="0.5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SchoolCoeffcients!B24</f>
        <v>30</v>
      </c>
      <c r="AB16" t="str">
        <f>SchoolCoeffcients!C24</f>
        <v>s3-const</v>
      </c>
      <c r="AC16" s="56">
        <f>SchoolCoeffcients!E24</f>
        <v>0.196767204429</v>
      </c>
      <c r="AD16" s="57">
        <f si="0" t="shared"/>
        <v>0.19898982390079478</v>
      </c>
      <c r="AE16">
        <f si="1" t="shared"/>
        <v>1</v>
      </c>
    </row>
    <row r="17" spans="2:31" x14ac:dyDescent="0.4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SchoolCoeffcients!B25</f>
        <v>35</v>
      </c>
      <c r="AB17" t="str">
        <f>SchoolCoeffcients!C25</f>
        <v>s3-carsltd</v>
      </c>
      <c r="AC17" s="56">
        <f>SchoolCoeffcients!E25</f>
        <v>-0.29743268940200002</v>
      </c>
      <c r="AD17" s="57">
        <f si="0" t="shared"/>
        <v>-0.29743268940200002</v>
      </c>
      <c r="AE17">
        <f si="1" t="shared"/>
        <v>0</v>
      </c>
    </row>
    <row r="18" spans="2:31" x14ac:dyDescent="0.45">
      <c r="B18" s="9" t="s">
        <v>1</v>
      </c>
      <c r="C18" s="9">
        <v>0</v>
      </c>
      <c r="D18" s="9">
        <v>2785.334575224786</v>
      </c>
      <c r="E18" s="9">
        <v>178.11738874952749</v>
      </c>
      <c r="F18" s="9">
        <v>22077.587855011756</v>
      </c>
      <c r="H18" s="9" t="s">
        <v>1</v>
      </c>
      <c r="I18" s="9">
        <f>School!K4</f>
        <v>0</v>
      </c>
      <c r="J18" s="9">
        <f>School!N4</f>
        <v>2699</v>
      </c>
      <c r="K18" s="9">
        <f>School!P4</f>
        <v>824</v>
      </c>
      <c r="L18" s="9">
        <f>School!Q4</f>
        <v>21339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SchoolCoeffcients!B26</f>
        <v>36</v>
      </c>
      <c r="AB18" t="str">
        <f>SchoolCoeffcients!C26</f>
        <v>s3-nocars</v>
      </c>
      <c r="AC18" s="56">
        <f>SchoolCoeffcients!E26</f>
        <v>-0.11098246734599999</v>
      </c>
      <c r="AD18" s="57">
        <f si="0" t="shared"/>
        <v>-0.11098246734599999</v>
      </c>
      <c r="AE18">
        <f si="1" t="shared"/>
        <v>0</v>
      </c>
    </row>
    <row r="19" spans="2:31" x14ac:dyDescent="0.45">
      <c r="B19" s="9" t="s">
        <v>2</v>
      </c>
      <c r="C19" s="9">
        <v>317.18403752815601</v>
      </c>
      <c r="D19" s="9">
        <v>7404.1147146036592</v>
      </c>
      <c r="E19" s="9">
        <v>1197.0024536559577</v>
      </c>
      <c r="F19" s="9">
        <v>35435.494350136651</v>
      </c>
      <c r="H19" s="9" t="s">
        <v>2</v>
      </c>
      <c r="I19" s="9">
        <f>School!K5</f>
        <v>593</v>
      </c>
      <c r="J19" s="9">
        <f>School!N5</f>
        <v>7325</v>
      </c>
      <c r="K19" s="9">
        <f>School!P5</f>
        <v>2069</v>
      </c>
      <c r="L19" s="9">
        <f>School!Q5</f>
        <v>33434</v>
      </c>
      <c r="M19" s="9"/>
      <c r="N19" s="9" t="s">
        <v>2</v>
      </c>
      <c r="O19" s="11">
        <f ref="O19:O25" si="3" t="shared">IF(ISBLANK(C6),"",C6)</f>
        <v>41</v>
      </c>
      <c r="P19" s="11">
        <f si="2" t="shared"/>
        <v>42</v>
      </c>
      <c r="Q19" s="11" t="str">
        <f si="2" t="shared"/>
        <v/>
      </c>
      <c r="R19" s="11">
        <f si="2" t="shared"/>
        <v>40</v>
      </c>
      <c r="T19" s="9"/>
      <c r="AA19">
        <f>SchoolCoeffcients!B27</f>
        <v>37</v>
      </c>
      <c r="AB19" t="str">
        <f>SchoolCoeffcients!C27</f>
        <v>s3-twophh</v>
      </c>
      <c r="AC19" s="56">
        <f>SchoolCoeffcients!E27</f>
        <v>-1.170617</v>
      </c>
      <c r="AD19" s="57">
        <f si="0" t="shared"/>
        <v>-1.170617</v>
      </c>
      <c r="AE19">
        <f si="1" t="shared"/>
        <v>0</v>
      </c>
    </row>
    <row r="20" spans="2:31" x14ac:dyDescent="0.45">
      <c r="B20" s="9" t="s">
        <v>3</v>
      </c>
      <c r="C20" s="9">
        <v>363.60136010594891</v>
      </c>
      <c r="D20" s="9">
        <v>12743.223733240256</v>
      </c>
      <c r="E20" s="9">
        <v>683.32977201025881</v>
      </c>
      <c r="F20" s="9">
        <v>74504.546627723554</v>
      </c>
      <c r="H20" s="9" t="s">
        <v>3</v>
      </c>
      <c r="I20" s="9">
        <f>School!K6</f>
        <v>643</v>
      </c>
      <c r="J20" s="9">
        <f>School!N6</f>
        <v>12294</v>
      </c>
      <c r="K20" s="9">
        <f>School!P6</f>
        <v>3359</v>
      </c>
      <c r="L20" s="9">
        <f>School!Q6</f>
        <v>71271</v>
      </c>
      <c r="M20" s="9"/>
      <c r="N20" s="9" t="s">
        <v>3</v>
      </c>
      <c r="O20" s="11">
        <v>36</v>
      </c>
      <c r="P20" s="11">
        <f si="2" t="shared"/>
        <v>35</v>
      </c>
      <c r="Q20" s="11" t="str">
        <f si="2" t="shared"/>
        <v/>
      </c>
      <c r="R20" s="11">
        <f si="2" t="shared"/>
        <v>30</v>
      </c>
      <c r="T20" s="9"/>
      <c r="AA20">
        <f>SchoolCoeffcients!B28</f>
        <v>38</v>
      </c>
      <c r="AB20" t="str">
        <f>SchoolCoeffcients!C28</f>
        <v>s2-onephh</v>
      </c>
      <c r="AC20" s="56">
        <f>SchoolCoeffcients!E28</f>
        <v>-0.500054</v>
      </c>
      <c r="AD20" s="57">
        <f si="0" t="shared"/>
        <v>-0.500054</v>
      </c>
      <c r="AE20">
        <f si="1" t="shared"/>
        <v>0</v>
      </c>
    </row>
    <row r="21" spans="2:31" x14ac:dyDescent="0.4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School!K7</f>
        <v>0</v>
      </c>
      <c r="J21" s="9">
        <f>School!N7</f>
        <v>0</v>
      </c>
      <c r="K21" s="9">
        <f>School!P7</f>
        <v>0</v>
      </c>
      <c r="L21" s="9">
        <f>School!Q7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SchoolCoeffcients!B29</f>
        <v>40</v>
      </c>
      <c r="AB21" t="str">
        <f>SchoolCoeffcients!C29</f>
        <v>s2-const</v>
      </c>
      <c r="AC21" s="56">
        <f>SchoolCoeffcients!E29</f>
        <v>-0.70546612167800005</v>
      </c>
      <c r="AD21" s="57">
        <f si="0" t="shared"/>
        <v>-0.68947350494077453</v>
      </c>
      <c r="AE21">
        <f si="1" t="shared"/>
        <v>1</v>
      </c>
    </row>
    <row r="22" spans="2:31" x14ac:dyDescent="0.45">
      <c r="B22" s="9" t="s">
        <v>5</v>
      </c>
      <c r="C22" s="9">
        <v>308.47901549560208</v>
      </c>
      <c r="D22" s="9">
        <v>0</v>
      </c>
      <c r="E22" s="9">
        <v>218.11946536523541</v>
      </c>
      <c r="F22" s="9">
        <v>934.11626042263595</v>
      </c>
      <c r="H22" s="9" t="s">
        <v>5</v>
      </c>
      <c r="I22" s="9">
        <f>School!K8</f>
        <v>467</v>
      </c>
      <c r="J22" s="9">
        <f>School!N8</f>
        <v>132</v>
      </c>
      <c r="K22" s="9">
        <f>School!P8</f>
        <v>28</v>
      </c>
      <c r="L22" s="9">
        <f>School!Q8</f>
        <v>941</v>
      </c>
      <c r="M22" s="9"/>
      <c r="N22" s="9" t="s">
        <v>5</v>
      </c>
      <c r="O22" s="11">
        <f si="3" t="shared"/>
        <v>21</v>
      </c>
      <c r="P22" s="11">
        <f si="2" t="shared"/>
        <v>22</v>
      </c>
      <c r="Q22" s="11" t="str">
        <f si="2" t="shared"/>
        <v/>
      </c>
      <c r="R22" s="11">
        <f si="2" t="shared"/>
        <v>20</v>
      </c>
      <c r="T22" s="9"/>
      <c r="AA22">
        <f>SchoolCoeffcients!B30</f>
        <v>41</v>
      </c>
      <c r="AB22" t="str">
        <f>SchoolCoeffcients!C30</f>
        <v>sr-nocars</v>
      </c>
      <c r="AC22" s="56">
        <f>SchoolCoeffcients!E30</f>
        <v>-2.0074555463160002</v>
      </c>
      <c r="AD22" s="57">
        <f si="0" t="shared"/>
        <v>-2.0074555463160002</v>
      </c>
      <c r="AE22">
        <f si="1" t="shared"/>
        <v>0</v>
      </c>
    </row>
    <row r="23" spans="2:31" x14ac:dyDescent="0.45">
      <c r="B23" s="9" t="s">
        <v>6</v>
      </c>
      <c r="C23" s="9">
        <v>37.568990027975083</v>
      </c>
      <c r="D23" s="9">
        <v>283.6916582008642</v>
      </c>
      <c r="E23" s="9">
        <v>218.61874013073685</v>
      </c>
      <c r="F23" s="9">
        <v>471.50088389216228</v>
      </c>
      <c r="H23" s="9" t="s">
        <v>6</v>
      </c>
      <c r="I23" s="9">
        <f>School!K9</f>
        <v>43</v>
      </c>
      <c r="J23" s="9">
        <f>School!N9</f>
        <v>171</v>
      </c>
      <c r="K23" s="9">
        <f>School!P9</f>
        <v>45</v>
      </c>
      <c r="L23" s="9">
        <f>School!Q9</f>
        <v>393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SchoolCoeffcients!B31</f>
        <v>42</v>
      </c>
      <c r="AB23" t="str">
        <f>SchoolCoeffcients!C31</f>
        <v>s2-carsltd</v>
      </c>
      <c r="AC23" s="56">
        <f>SchoolCoeffcients!E31</f>
        <v>-0.12690086735600001</v>
      </c>
      <c r="AD23" s="57">
        <f si="0" t="shared"/>
        <v>-0.12690086735600001</v>
      </c>
      <c r="AE23">
        <f si="1" t="shared"/>
        <v>0</v>
      </c>
    </row>
    <row r="24" spans="2:31" x14ac:dyDescent="0.45">
      <c r="B24" s="9" t="s">
        <v>7</v>
      </c>
      <c r="C24" s="9">
        <v>151.54623592114976</v>
      </c>
      <c r="D24" s="9">
        <v>2215.2504434886764</v>
      </c>
      <c r="E24" s="9">
        <v>160.31442112066975</v>
      </c>
      <c r="F24" s="9">
        <v>5431.0509294303747</v>
      </c>
      <c r="H24" s="9" t="s">
        <v>7</v>
      </c>
      <c r="I24" s="9">
        <f>School!K10</f>
        <v>316</v>
      </c>
      <c r="J24" s="9">
        <f>School!N10</f>
        <v>2258</v>
      </c>
      <c r="K24" s="9">
        <f>School!P10</f>
        <v>640</v>
      </c>
      <c r="L24" s="9">
        <f>School!Q10</f>
        <v>5274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SchoolCoeffcients!B32</f>
        <v>44</v>
      </c>
      <c r="AB24" t="str">
        <f>SchoolCoeffcients!C32</f>
        <v>sr-incu25</v>
      </c>
      <c r="AC24" s="56">
        <f>SchoolCoeffcients!E32</f>
        <v>-0.26427099999999998</v>
      </c>
      <c r="AD24" s="57">
        <f si="0" t="shared"/>
        <v>-0.26427099999999998</v>
      </c>
      <c r="AE24">
        <f si="1" t="shared"/>
        <v>0</v>
      </c>
    </row>
    <row r="25" spans="2:31" x14ac:dyDescent="0.45">
      <c r="B25" s="9" t="s">
        <v>8</v>
      </c>
      <c r="C25" s="9">
        <v>2618.6876776456497</v>
      </c>
      <c r="D25" s="9">
        <v>23739.540711887348</v>
      </c>
      <c r="E25" s="9">
        <v>6572.8035858361354</v>
      </c>
      <c r="F25" s="9">
        <v>93069.703093382923</v>
      </c>
      <c r="H25" s="9" t="s">
        <v>8</v>
      </c>
      <c r="I25" s="9">
        <f>School!K11</f>
        <v>4165</v>
      </c>
      <c r="J25" s="9">
        <f>School!N11</f>
        <v>23338</v>
      </c>
      <c r="K25" s="9">
        <f>School!P11</f>
        <v>6132</v>
      </c>
      <c r="L25" s="9">
        <f>School!Q11</f>
        <v>89700</v>
      </c>
      <c r="M25" s="9"/>
      <c r="N25" s="9" t="s">
        <v>8</v>
      </c>
      <c r="O25" s="11">
        <f si="3" t="shared"/>
        <v>11</v>
      </c>
      <c r="P25" s="11">
        <f si="2" t="shared"/>
        <v>13</v>
      </c>
      <c r="Q25" s="11" t="str">
        <f si="2" t="shared"/>
        <v/>
      </c>
      <c r="R25" s="11">
        <f si="2" t="shared"/>
        <v>10</v>
      </c>
      <c r="T25" s="9"/>
      <c r="AA25">
        <f>SchoolCoeffcients!B33</f>
        <v>45</v>
      </c>
      <c r="AB25" t="str">
        <f>SchoolCoeffcients!C33</f>
        <v>sr-inc2550</v>
      </c>
      <c r="AC25" s="56">
        <f>SchoolCoeffcients!E33</f>
        <v>-0.26346999999999998</v>
      </c>
      <c r="AD25" s="57">
        <f si="0" t="shared"/>
        <v>-0.26346999999999998</v>
      </c>
      <c r="AE25">
        <f si="1" t="shared"/>
        <v>0</v>
      </c>
    </row>
    <row r="26" spans="2:31" x14ac:dyDescent="0.45">
      <c r="B26" s="9" t="s">
        <v>302</v>
      </c>
      <c r="C26" s="9">
        <f>School!B12</f>
        <v>0</v>
      </c>
      <c r="D26" s="9">
        <f>School!E12</f>
        <v>0</v>
      </c>
      <c r="E26" s="9">
        <f>School!G12</f>
        <v>0</v>
      </c>
      <c r="F26" s="9">
        <f>School!H12</f>
        <v>0</v>
      </c>
      <c r="H26" s="12" t="s">
        <v>302</v>
      </c>
      <c r="I26" s="12">
        <f>School!K12</f>
        <v>0</v>
      </c>
      <c r="J26" s="12">
        <f>School!N12</f>
        <v>0</v>
      </c>
      <c r="K26" s="12">
        <f>School!P12</f>
        <v>0</v>
      </c>
      <c r="L26" s="12">
        <f>School!Q12</f>
        <v>0</v>
      </c>
      <c r="M26" s="9"/>
      <c r="N26" s="12" t="s">
        <v>302</v>
      </c>
      <c r="O26" s="7">
        <v>81</v>
      </c>
      <c r="P26" s="7">
        <v>82</v>
      </c>
      <c r="Q26" s="7"/>
      <c r="R26" s="7">
        <v>80</v>
      </c>
      <c r="T26" s="9"/>
      <c r="AA26">
        <f>SchoolCoeffcients!B34</f>
        <v>47</v>
      </c>
      <c r="AB26" t="str">
        <f>SchoolCoeffcients!C34</f>
        <v>sr-chun5</v>
      </c>
      <c r="AC26" s="56">
        <f>SchoolCoeffcients!E34</f>
        <v>1.3756219999999999</v>
      </c>
      <c r="AD26" s="57">
        <f si="0" t="shared"/>
        <v>1.3756219999999999</v>
      </c>
      <c r="AE26">
        <f si="1" t="shared"/>
        <v>0</v>
      </c>
    </row>
    <row ht="14.65" r="27" spans="2:31" thickBot="1" x14ac:dyDescent="0.5">
      <c r="B27" s="43" t="s">
        <v>19</v>
      </c>
      <c r="C27" s="43">
        <f>SUM(C18:C26)</f>
        <v>3797.0673167244813</v>
      </c>
      <c r="D27" s="43">
        <f ref="D27:F27" si="4" t="shared">SUM(D18:D26)</f>
        <v>49171.155836645587</v>
      </c>
      <c r="E27" s="43">
        <f si="4" t="shared"/>
        <v>9228.3058268685218</v>
      </c>
      <c r="F27" s="43">
        <f si="4" t="shared"/>
        <v>231924.00000000006</v>
      </c>
      <c r="H27" s="83" t="s">
        <v>19</v>
      </c>
      <c r="I27" s="83">
        <f>SUM(I18:I26)</f>
        <v>6227</v>
      </c>
      <c r="J27" s="83">
        <f ref="J27:L27" si="5" t="shared">SUM(J18:J26)</f>
        <v>48217</v>
      </c>
      <c r="K27" s="83">
        <f si="5" t="shared"/>
        <v>13097</v>
      </c>
      <c r="L27" s="83">
        <f si="5" t="shared"/>
        <v>222352</v>
      </c>
      <c r="AA27">
        <f>SchoolCoeffcients!B35</f>
        <v>50</v>
      </c>
      <c r="AB27" t="str">
        <f>SchoolCoeffcients!C35</f>
        <v>da-const</v>
      </c>
      <c r="AC27" s="56">
        <f>SchoolCoeffcients!E35</f>
        <v>2.0285543951160001</v>
      </c>
      <c r="AD27" s="57">
        <f si="0" t="shared"/>
        <v>2.0204329603936246</v>
      </c>
      <c r="AE27">
        <f si="1" t="shared"/>
        <v>1</v>
      </c>
    </row>
    <row r="28" spans="2:31" x14ac:dyDescent="0.45">
      <c r="F28" s="9"/>
      <c r="AA28">
        <f>SchoolCoeffcients!B36</f>
        <v>52</v>
      </c>
      <c r="AB28" t="str">
        <f>SchoolCoeffcients!C36</f>
        <v>da-carsltd</v>
      </c>
      <c r="AC28" s="56">
        <f>SchoolCoeffcients!E36</f>
        <v>-1.3029204471110001</v>
      </c>
      <c r="AD28" s="57">
        <f si="0" t="shared"/>
        <v>-1.3029204471110001</v>
      </c>
      <c r="AE28">
        <f si="1" t="shared"/>
        <v>0</v>
      </c>
    </row>
    <row ht="14.65" r="29" spans="2:31" thickBot="1" x14ac:dyDescent="0.5">
      <c r="B29" s="37" t="s">
        <v>267</v>
      </c>
      <c r="H29" s="37" t="s">
        <v>268</v>
      </c>
      <c r="N29" s="23" t="s">
        <v>257</v>
      </c>
      <c r="T29" t="s">
        <v>270</v>
      </c>
      <c r="AA29">
        <f>SchoolCoeffcients!B37</f>
        <v>54</v>
      </c>
      <c r="AB29" t="str">
        <f>SchoolCoeffcients!C37</f>
        <v>da-incu25</v>
      </c>
      <c r="AC29" s="56">
        <f>SchoolCoeffcients!E37</f>
        <v>-0.78347800000000001</v>
      </c>
      <c r="AD29" s="57">
        <f si="0" t="shared"/>
        <v>-0.78347800000000001</v>
      </c>
      <c r="AE29">
        <f si="1" t="shared"/>
        <v>0</v>
      </c>
    </row>
    <row r="30" spans="2:31" x14ac:dyDescent="0.4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>
        <f>SchoolCoeffcients!B38</f>
        <v>56</v>
      </c>
      <c r="AB30" t="str">
        <f>SchoolCoeffcients!C38</f>
        <v>da-inco75</v>
      </c>
      <c r="AC30" s="56">
        <f>SchoolCoeffcients!E38</f>
        <v>0.308033</v>
      </c>
      <c r="AD30" s="57">
        <f si="0" t="shared"/>
        <v>0.308033</v>
      </c>
      <c r="AE30">
        <f si="1" t="shared"/>
        <v>0</v>
      </c>
    </row>
    <row r="31" spans="2:31" x14ac:dyDescent="0.45">
      <c r="B31" s="9" t="s">
        <v>1</v>
      </c>
      <c r="C31" s="35">
        <f ref="C31:C39" si="6" t="shared">$C18/C$27</f>
        <v>0</v>
      </c>
      <c r="D31" s="35">
        <f ref="D31:D39" si="7" t="shared">$D18/D$27</f>
        <v>5.6645700672119874E-2</v>
      </c>
      <c r="E31" s="35">
        <f ref="E31:E40" si="8" t="shared">$E18/E$27</f>
        <v>1.9301201335453443E-2</v>
      </c>
      <c r="F31" s="35">
        <f ref="F31:F40" si="9" t="shared">$F18/F$27</f>
        <v>9.5193200595935529E-2</v>
      </c>
      <c r="H31" s="9" t="s">
        <v>1</v>
      </c>
      <c r="I31" s="26">
        <f ref="I31:I39" si="10" t="shared">$I18/I$27</f>
        <v>0</v>
      </c>
      <c r="J31" s="26">
        <f ref="J31:J39" si="11" t="shared">$J18/J$27</f>
        <v>5.5976108011697119E-2</v>
      </c>
      <c r="K31" s="26">
        <f ref="K31:K39" si="12" t="shared">$K18/K$27</f>
        <v>6.2915171413300761E-2</v>
      </c>
      <c r="L31" s="26">
        <f ref="L31:L40" si="13" t="shared">$L18/L$27</f>
        <v>9.5969453838958052E-2</v>
      </c>
      <c r="M31" s="26"/>
      <c r="N31" s="9" t="s">
        <v>1</v>
      </c>
      <c r="O31" s="40" t="str">
        <f ref="O31:R38" si="14" t="shared">IF(O18="","-",C31/I31)</f>
        <v>-</v>
      </c>
      <c r="P31" s="40">
        <f si="14" t="shared"/>
        <v>1.0119621153418317</v>
      </c>
      <c r="Q31" s="40" t="str">
        <f si="14" t="shared"/>
        <v>-</v>
      </c>
      <c r="R31" s="40">
        <f si="14" t="shared"/>
        <v>0.99191145503104439</v>
      </c>
      <c r="T31">
        <v>10</v>
      </c>
      <c r="U31" t="str">
        <f>VLOOKUP(T31,$AA$3:$AB$48,2,FALSE)</f>
        <v>sb-const</v>
      </c>
      <c r="V31" s="30">
        <f>R89</f>
        <v>0.2546155692715884</v>
      </c>
      <c r="AA31">
        <f>SchoolCoeffcients!B39</f>
        <v>59</v>
      </c>
      <c r="AB31" t="str">
        <f>SchoolCoeffcients!C39</f>
        <v>da-ch1617</v>
      </c>
      <c r="AC31" s="56">
        <f>SchoolCoeffcients!E39</f>
        <v>-1.5646739999999999</v>
      </c>
      <c r="AD31" s="57">
        <f si="0" t="shared"/>
        <v>-1.5646739999999999</v>
      </c>
      <c r="AE31">
        <f si="1" t="shared"/>
        <v>0</v>
      </c>
    </row>
    <row r="32" spans="2:31" x14ac:dyDescent="0.45">
      <c r="B32" s="9" t="s">
        <v>2</v>
      </c>
      <c r="C32" s="35">
        <f si="6" t="shared"/>
        <v>8.353395161868582E-2</v>
      </c>
      <c r="D32" s="35">
        <f si="7" t="shared"/>
        <v>0.15057841510175818</v>
      </c>
      <c r="E32" s="35">
        <f si="8" t="shared"/>
        <v>0.12970988132738784</v>
      </c>
      <c r="F32" s="35">
        <f si="9" t="shared"/>
        <v>0.15278925143640434</v>
      </c>
      <c r="H32" s="9" t="s">
        <v>2</v>
      </c>
      <c r="I32" s="26">
        <f si="10" t="shared"/>
        <v>9.5230448048819652E-2</v>
      </c>
      <c r="J32" s="26">
        <f si="11" t="shared"/>
        <v>0.15191737354045254</v>
      </c>
      <c r="K32" s="26">
        <f si="12" t="shared"/>
        <v>0.15797510880354279</v>
      </c>
      <c r="L32" s="26">
        <f si="13" t="shared"/>
        <v>0.15036518673094912</v>
      </c>
      <c r="M32" s="26"/>
      <c r="N32" s="9" t="s">
        <v>2</v>
      </c>
      <c r="O32" s="62">
        <f>IF(O19="","-",(C32+C33)/(I32+I33))</f>
        <v>0.90327986646053038</v>
      </c>
      <c r="P32" s="41">
        <f si="14" t="shared"/>
        <v>0.99118627180361418</v>
      </c>
      <c r="Q32" s="41" t="str">
        <f si="14" t="shared"/>
        <v>-</v>
      </c>
      <c r="R32" s="41">
        <f si="14" t="shared"/>
        <v>1.0161211830886936</v>
      </c>
      <c r="T32">
        <v>11</v>
      </c>
      <c r="U32" t="str">
        <f ref="U32:U53" si="15" t="shared">VLOOKUP(T32,$AA$3:$AB$48,2,FALSE)</f>
        <v>sb-nocars</v>
      </c>
      <c r="V32" s="30">
        <f>O89</f>
        <v>4.1584704850000001E-2</v>
      </c>
      <c r="AA32">
        <f>SchoolCoeffcients!B40</f>
        <v>60</v>
      </c>
      <c r="AB32" t="str">
        <f>SchoolCoeffcients!C40</f>
        <v>bi-const</v>
      </c>
      <c r="AC32" s="56">
        <f>SchoolCoeffcients!E40</f>
        <v>-4.8401055297960003</v>
      </c>
      <c r="AD32" s="57">
        <f si="0" t="shared"/>
        <v>-4.7001421850018792</v>
      </c>
      <c r="AE32">
        <f si="1" t="shared"/>
        <v>1</v>
      </c>
    </row>
    <row r="33" spans="2:31" x14ac:dyDescent="0.45">
      <c r="B33" s="9" t="s">
        <v>3</v>
      </c>
      <c r="C33" s="35">
        <f si="6" t="shared"/>
        <v>9.5758470887370939E-2</v>
      </c>
      <c r="D33" s="35">
        <f si="7" t="shared"/>
        <v>0.25916054883019785</v>
      </c>
      <c r="E33" s="35">
        <f si="8" t="shared"/>
        <v>7.4047152839334954E-2</v>
      </c>
      <c r="F33" s="35">
        <f si="9" t="shared"/>
        <v>0.32124552279075702</v>
      </c>
      <c r="H33" s="9" t="s">
        <v>3</v>
      </c>
      <c r="I33" s="26">
        <f si="10" t="shared"/>
        <v>0.1032599967881805</v>
      </c>
      <c r="J33" s="26">
        <f si="11" t="shared"/>
        <v>0.25497231266980525</v>
      </c>
      <c r="K33" s="26">
        <f si="12" t="shared"/>
        <v>0.25647094754523936</v>
      </c>
      <c r="L33" s="26">
        <f si="13" t="shared"/>
        <v>0.32053230913146724</v>
      </c>
      <c r="M33" s="26"/>
      <c r="N33" s="9" t="s">
        <v>3</v>
      </c>
      <c r="O33" s="41">
        <f si="14" t="shared"/>
        <v>0.92735302988438395</v>
      </c>
      <c r="P33" s="41">
        <f si="14" t="shared"/>
        <v>1.016426239055283</v>
      </c>
      <c r="Q33" s="41" t="str">
        <f si="14" t="shared"/>
        <v>-</v>
      </c>
      <c r="R33" s="41">
        <f si="14" t="shared"/>
        <v>1.0022250913214408</v>
      </c>
      <c r="T33">
        <v>13</v>
      </c>
      <c r="U33" t="str">
        <f si="15" t="shared"/>
        <v>sb-carsltd</v>
      </c>
      <c r="V33" s="30">
        <f>P89</f>
        <v>0.136483612798</v>
      </c>
      <c r="AA33">
        <f>SchoolCoeffcients!B41</f>
        <v>61</v>
      </c>
      <c r="AB33" t="str">
        <f>SchoolCoeffcients!C41</f>
        <v>bi-male</v>
      </c>
      <c r="AC33" s="56">
        <f>SchoolCoeffcients!E41</f>
        <v>0.16084100000000001</v>
      </c>
      <c r="AD33" s="57">
        <f si="0" t="shared"/>
        <v>0.16084100000000001</v>
      </c>
      <c r="AE33">
        <f si="1" t="shared"/>
        <v>0</v>
      </c>
    </row>
    <row r="34" spans="2:31" x14ac:dyDescent="0.45">
      <c r="B34" s="9" t="s">
        <v>4</v>
      </c>
      <c r="C34" s="35">
        <f si="6" t="shared"/>
        <v>0</v>
      </c>
      <c r="D34" s="35">
        <f si="7" t="shared"/>
        <v>0</v>
      </c>
      <c r="E34" s="35">
        <f si="8" t="shared"/>
        <v>0</v>
      </c>
      <c r="F34" s="35">
        <f si="9" t="shared"/>
        <v>0</v>
      </c>
      <c r="H34" s="9" t="s">
        <v>4</v>
      </c>
      <c r="I34" s="26">
        <f si="10" t="shared"/>
        <v>0</v>
      </c>
      <c r="J34" s="26">
        <f si="11" t="shared"/>
        <v>0</v>
      </c>
      <c r="K34" s="26">
        <f si="12" t="shared"/>
        <v>0</v>
      </c>
      <c r="L34" s="26">
        <f si="13" t="shared"/>
        <v>0</v>
      </c>
      <c r="M34" s="26"/>
      <c r="N34" s="9" t="s">
        <v>4</v>
      </c>
      <c r="O34" s="41" t="str">
        <f si="14" t="shared"/>
        <v>-</v>
      </c>
      <c r="P34" s="41" t="str">
        <f si="14" t="shared"/>
        <v>-</v>
      </c>
      <c r="Q34" s="41" t="str">
        <f si="14" t="shared"/>
        <v>-</v>
      </c>
      <c r="R34" s="41" t="str">
        <f si="14" t="shared"/>
        <v>-</v>
      </c>
      <c r="T34">
        <v>20</v>
      </c>
      <c r="U34" t="str">
        <f si="15" t="shared"/>
        <v>wt-const</v>
      </c>
      <c r="V34" s="30">
        <f>R86</f>
        <v>-3.0160983819738818</v>
      </c>
      <c r="AA34">
        <f>SchoolCoeffcients!B42</f>
        <v>67</v>
      </c>
      <c r="AB34" t="str">
        <f>SchoolCoeffcients!C42</f>
        <v>bi-nocars</v>
      </c>
      <c r="AC34" s="56">
        <f>SchoolCoeffcients!E42</f>
        <v>0.34279116217299999</v>
      </c>
      <c r="AD34" s="57">
        <f si="0" t="shared"/>
        <v>0.34279116217299999</v>
      </c>
      <c r="AE34">
        <f si="1" t="shared"/>
        <v>0</v>
      </c>
    </row>
    <row r="35" spans="2:31" x14ac:dyDescent="0.45">
      <c r="B35" s="9" t="s">
        <v>5</v>
      </c>
      <c r="C35" s="35">
        <f si="6" t="shared"/>
        <v>8.1241387040172294E-2</v>
      </c>
      <c r="D35" s="35">
        <f si="7" t="shared"/>
        <v>0</v>
      </c>
      <c r="E35" s="35">
        <f si="8" t="shared"/>
        <v>2.3635916435514444E-2</v>
      </c>
      <c r="F35" s="35">
        <f si="9" t="shared"/>
        <v>4.0276826047439497E-3</v>
      </c>
      <c r="H35" s="9" t="s">
        <v>5</v>
      </c>
      <c r="I35" s="26">
        <f si="10" t="shared"/>
        <v>7.4995985225630321E-2</v>
      </c>
      <c r="J35" s="26">
        <f si="11" t="shared"/>
        <v>2.7376236597050833E-3</v>
      </c>
      <c r="K35" s="26">
        <f si="12" t="shared"/>
        <v>2.137894174238375E-3</v>
      </c>
      <c r="L35" s="26">
        <f si="13" t="shared"/>
        <v>4.2320284953587103E-3</v>
      </c>
      <c r="M35" s="26"/>
      <c r="N35" s="9" t="s">
        <v>5</v>
      </c>
      <c r="O35" s="41">
        <f si="14" t="shared"/>
        <v>1.0832764820110339</v>
      </c>
      <c r="P35" s="41">
        <f si="14" t="shared"/>
        <v>0</v>
      </c>
      <c r="Q35" s="41" t="str">
        <f si="14" t="shared"/>
        <v>-</v>
      </c>
      <c r="R35" s="41">
        <f si="14" t="shared"/>
        <v>0.95171443414455548</v>
      </c>
      <c r="T35">
        <v>21</v>
      </c>
      <c r="U35" t="str">
        <f si="15" t="shared"/>
        <v>wt-nocars</v>
      </c>
      <c r="V35" s="30">
        <f>O86</f>
        <v>1.248911465712</v>
      </c>
      <c r="AA35">
        <f>SchoolCoeffcients!B43</f>
        <v>68</v>
      </c>
      <c r="AB35" t="str">
        <f>SchoolCoeffcients!C43</f>
        <v>bi-carsltd</v>
      </c>
      <c r="AC35" s="56">
        <f>SchoolCoeffcients!E43</f>
        <v>1.1077283945259999</v>
      </c>
      <c r="AD35" s="57">
        <f si="0" t="shared"/>
        <v>1.1077283945259999</v>
      </c>
      <c r="AE35">
        <f si="1" t="shared"/>
        <v>0</v>
      </c>
    </row>
    <row r="36" spans="2:31" x14ac:dyDescent="0.45">
      <c r="B36" s="9" t="s">
        <v>6</v>
      </c>
      <c r="C36" s="81">
        <f si="6" t="shared"/>
        <v>9.8942122681100527E-3</v>
      </c>
      <c r="D36" s="81">
        <f si="7" t="shared"/>
        <v>5.7694730452001793E-3</v>
      </c>
      <c r="E36" s="81">
        <f si="8" t="shared"/>
        <v>2.3690018973387409E-2</v>
      </c>
      <c r="F36" s="81">
        <f si="9" t="shared"/>
        <v>2.0329973779865912E-3</v>
      </c>
      <c r="H36" s="9" t="s">
        <v>6</v>
      </c>
      <c r="I36" s="13">
        <f si="10" t="shared"/>
        <v>6.9054119158503289E-3</v>
      </c>
      <c r="J36" s="13">
        <f si="11" t="shared"/>
        <v>3.546467013708858E-3</v>
      </c>
      <c r="K36" s="13">
        <f si="12" t="shared"/>
        <v>3.4359013514545316E-3</v>
      </c>
      <c r="L36" s="13">
        <f si="13" t="shared"/>
        <v>1.7674677988054977E-3</v>
      </c>
      <c r="M36" s="26"/>
      <c r="N36" s="9" t="s">
        <v>6</v>
      </c>
      <c r="O36" s="41">
        <f si="14" t="shared"/>
        <v>1.4328199951981697</v>
      </c>
      <c r="P36" s="41">
        <f si="14" t="shared"/>
        <v>1.6268227007041931</v>
      </c>
      <c r="Q36" s="41" t="str">
        <f si="14" t="shared"/>
        <v>-</v>
      </c>
      <c r="R36" s="41">
        <f>IF(R23="","-",F36/L36)</f>
        <v>1.1502316361070597</v>
      </c>
      <c r="T36">
        <v>22</v>
      </c>
      <c r="U36" t="str">
        <f si="15" t="shared"/>
        <v>wt-carsltd</v>
      </c>
      <c r="V36" s="30">
        <f>P86</f>
        <v>-0.53922482139799999</v>
      </c>
      <c r="AA36">
        <f>SchoolCoeffcients!B44</f>
        <v>69</v>
      </c>
      <c r="AB36" t="str">
        <f>SchoolCoeffcients!C44</f>
        <v>bi-univtr</v>
      </c>
      <c r="AC36" s="56">
        <f>SchoolCoeffcients!E44</f>
        <v>0.51493599999999995</v>
      </c>
      <c r="AD36" s="57">
        <f si="0" t="shared"/>
        <v>0.51493599999999995</v>
      </c>
      <c r="AE36">
        <f si="1" t="shared"/>
        <v>0</v>
      </c>
    </row>
    <row r="37" spans="2:31" x14ac:dyDescent="0.45">
      <c r="B37" s="9" t="s">
        <v>7</v>
      </c>
      <c r="C37" s="35">
        <f si="6" t="shared"/>
        <v>3.9911390365309683E-2</v>
      </c>
      <c r="D37" s="35">
        <f si="7" t="shared"/>
        <v>4.5051827759511921E-2</v>
      </c>
      <c r="E37" s="35">
        <f si="8" t="shared"/>
        <v>1.7372031673886332E-2</v>
      </c>
      <c r="F37" s="35">
        <f si="9" t="shared"/>
        <v>2.3417373490584731E-2</v>
      </c>
      <c r="H37" s="9" t="s">
        <v>7</v>
      </c>
      <c r="I37" s="26">
        <f si="10" t="shared"/>
        <v>5.0746748032760559E-2</v>
      </c>
      <c r="J37" s="26">
        <f si="11" t="shared"/>
        <v>4.6829956239500592E-2</v>
      </c>
      <c r="K37" s="26">
        <f si="12" t="shared"/>
        <v>4.8866152554020006E-2</v>
      </c>
      <c r="L37" s="26">
        <f si="13" t="shared"/>
        <v>2.3719148017557746E-2</v>
      </c>
      <c r="M37" s="26"/>
      <c r="N37" s="9" t="s">
        <v>7</v>
      </c>
      <c r="O37" s="41">
        <f si="14" t="shared"/>
        <v>0.78648173355944118</v>
      </c>
      <c r="P37" s="41">
        <f si="14" t="shared"/>
        <v>0.96203010588148197</v>
      </c>
      <c r="Q37" s="41" t="str">
        <f si="14" t="shared"/>
        <v>-</v>
      </c>
      <c r="R37" s="41">
        <f>IF(R24="","-",F37/L37)</f>
        <v>0.98727717678773153</v>
      </c>
      <c r="T37">
        <v>30</v>
      </c>
      <c r="U37" t="str">
        <f si="15" t="shared"/>
        <v>s3-const</v>
      </c>
      <c r="V37" s="30">
        <f>R84</f>
        <v>0.19898982390079478</v>
      </c>
      <c r="AA37">
        <f>SchoolCoeffcients!B45</f>
        <v>70</v>
      </c>
      <c r="AB37" t="str">
        <f>SchoolCoeffcients!C45</f>
        <v>wk-const</v>
      </c>
      <c r="AC37" s="56">
        <f>SchoolCoeffcients!E45</f>
        <v>0.64006882872199999</v>
      </c>
      <c r="AD37" s="57">
        <f si="0" t="shared"/>
        <v>0.62726437729449736</v>
      </c>
      <c r="AE37">
        <f si="1" t="shared"/>
        <v>1</v>
      </c>
    </row>
    <row r="38" spans="2:31" x14ac:dyDescent="0.45">
      <c r="B38" s="9" t="s">
        <v>8</v>
      </c>
      <c r="C38" s="98">
        <f si="6" t="shared"/>
        <v>0.68966058782035122</v>
      </c>
      <c r="D38" s="98">
        <f si="7" t="shared"/>
        <v>0.48279403459121206</v>
      </c>
      <c r="E38" s="98">
        <f si="8" t="shared"/>
        <v>0.71224379741503552</v>
      </c>
      <c r="F38" s="98">
        <f si="9" t="shared"/>
        <v>0.40129397170358783</v>
      </c>
      <c r="H38" s="9" t="s">
        <v>8</v>
      </c>
      <c r="I38" s="26">
        <f si="10" t="shared"/>
        <v>0.66886140998875865</v>
      </c>
      <c r="J38" s="26">
        <f si="11" t="shared"/>
        <v>0.48402015886513056</v>
      </c>
      <c r="K38" s="26">
        <f si="12" t="shared"/>
        <v>0.46819882415820419</v>
      </c>
      <c r="L38" s="26">
        <f si="13" t="shared"/>
        <v>0.40341440598690365</v>
      </c>
      <c r="M38" s="26"/>
      <c r="N38" s="9" t="s">
        <v>8</v>
      </c>
      <c r="O38" s="41">
        <f si="14" t="shared"/>
        <v>1.0310963938432958</v>
      </c>
      <c r="P38" s="41">
        <f si="14" t="shared"/>
        <v>0.9974667908940128</v>
      </c>
      <c r="Q38" s="41" t="str">
        <f si="14" t="shared"/>
        <v>-</v>
      </c>
      <c r="R38" s="41">
        <f si="14" t="shared"/>
        <v>0.99474378145190812</v>
      </c>
      <c r="T38">
        <v>35</v>
      </c>
      <c r="U38" t="str">
        <f si="15" t="shared"/>
        <v>s3-carsltd</v>
      </c>
      <c r="V38" s="30">
        <f>P84</f>
        <v>-0.29743268940200002</v>
      </c>
      <c r="AA38">
        <f>SchoolCoeffcients!B46</f>
        <v>77</v>
      </c>
      <c r="AB38" t="str">
        <f>SchoolCoeffcients!C46</f>
        <v>wk-nocars</v>
      </c>
      <c r="AC38" s="56">
        <f>SchoolCoeffcients!E46</f>
        <v>0.35644784254099998</v>
      </c>
      <c r="AD38" s="57">
        <f si="0" t="shared"/>
        <v>0.35644784254099998</v>
      </c>
      <c r="AE38">
        <f si="1" t="shared"/>
        <v>0</v>
      </c>
    </row>
    <row r="39" spans="2:31" x14ac:dyDescent="0.45">
      <c r="B39" s="9" t="s">
        <v>302</v>
      </c>
      <c r="C39" s="35">
        <f si="6" t="shared"/>
        <v>0</v>
      </c>
      <c r="D39" s="35">
        <f si="7" t="shared"/>
        <v>0</v>
      </c>
      <c r="E39" s="35">
        <f si="8" t="shared"/>
        <v>0</v>
      </c>
      <c r="F39" s="35">
        <f si="9" t="shared"/>
        <v>0</v>
      </c>
      <c r="H39" s="9" t="s">
        <v>302</v>
      </c>
      <c r="I39" s="26">
        <f si="10" t="shared"/>
        <v>0</v>
      </c>
      <c r="J39" s="26">
        <f si="11" t="shared"/>
        <v>0</v>
      </c>
      <c r="K39" s="26">
        <f si="12" t="shared"/>
        <v>0</v>
      </c>
      <c r="L39" s="26">
        <f si="13" t="shared"/>
        <v>0</v>
      </c>
      <c r="N39" s="12" t="s">
        <v>302</v>
      </c>
      <c r="O39" s="42">
        <f>IFERROR(IF(O26="","-",C39/I39),1)</f>
        <v>1</v>
      </c>
      <c r="P39" s="42">
        <f ref="P39:R39" si="16" t="shared">IFERROR(IF(P26="","-",D39/J39),1)</f>
        <v>1</v>
      </c>
      <c r="Q39" s="42" t="str">
        <f si="16" t="shared"/>
        <v>-</v>
      </c>
      <c r="R39" s="42">
        <f si="16" t="shared"/>
        <v>1</v>
      </c>
      <c r="T39">
        <v>36</v>
      </c>
      <c r="U39" t="str">
        <f si="15" t="shared"/>
        <v>s3-nocars</v>
      </c>
      <c r="V39" s="30">
        <f>O84</f>
        <v>-0.11098246734599999</v>
      </c>
      <c r="AA39">
        <f>SchoolCoeffcients!B47</f>
        <v>78</v>
      </c>
      <c r="AB39" t="str">
        <f>SchoolCoeffcients!C47</f>
        <v>wk-carsltd</v>
      </c>
      <c r="AC39" s="56">
        <f>SchoolCoeffcients!E47</f>
        <v>3.0129279167159999</v>
      </c>
      <c r="AD39" s="57">
        <f si="0" t="shared"/>
        <v>3.0129279167159999</v>
      </c>
      <c r="AE39">
        <f si="1" t="shared"/>
        <v>0</v>
      </c>
    </row>
    <row ht="14.65" r="40" spans="2:31" thickBot="1" x14ac:dyDescent="0.5">
      <c r="B40" s="43" t="s">
        <v>19</v>
      </c>
      <c r="C40" s="44">
        <f>SUM(C31:C38)</f>
        <v>1</v>
      </c>
      <c r="D40" s="44">
        <f>SUM(D31:D38)</f>
        <v>1</v>
      </c>
      <c r="E40" s="44">
        <f si="8" t="shared"/>
        <v>1</v>
      </c>
      <c r="F40" s="44">
        <f si="9" t="shared"/>
        <v>1</v>
      </c>
      <c r="H40" s="43" t="s">
        <v>19</v>
      </c>
      <c r="I40" s="45">
        <f>SUM(I31:I38)</f>
        <v>1</v>
      </c>
      <c r="J40" s="45">
        <f>SUM(J31:J38)</f>
        <v>1</v>
      </c>
      <c r="K40" s="45">
        <f>SUM(K31:K38)</f>
        <v>1</v>
      </c>
      <c r="L40" s="45">
        <f si="13" t="shared"/>
        <v>1</v>
      </c>
      <c r="M40" s="26"/>
      <c r="N40" s="9" t="s">
        <v>272</v>
      </c>
      <c r="T40">
        <v>40</v>
      </c>
      <c r="U40" t="str">
        <f si="15" t="shared"/>
        <v>s2-const</v>
      </c>
      <c r="V40" s="30">
        <f>R83</f>
        <v>-0.68947350494077453</v>
      </c>
      <c r="AA40">
        <f>SchoolCoeffcients!B48</f>
        <v>79</v>
      </c>
      <c r="AB40" t="str">
        <f>SchoolCoeffcients!C48</f>
        <v>wk-univtr</v>
      </c>
      <c r="AC40" s="56">
        <f>SchoolCoeffcients!E48</f>
        <v>-7.3790000000000001E-3</v>
      </c>
      <c r="AD40" s="57">
        <f si="0" t="shared"/>
        <v>-7.3790000000000001E-3</v>
      </c>
      <c r="AE40">
        <f si="1" t="shared"/>
        <v>0</v>
      </c>
    </row>
    <row r="41" spans="2:31" x14ac:dyDescent="0.45">
      <c r="T41">
        <v>41</v>
      </c>
      <c r="U41" t="str">
        <f si="15" t="shared"/>
        <v>sr-nocars</v>
      </c>
      <c r="V41" s="30">
        <f>O83</f>
        <v>-2.0074555463160002</v>
      </c>
      <c r="AA41">
        <f>SchoolCoeffcients!B49</f>
        <v>122</v>
      </c>
      <c r="AB41" t="str">
        <f>SchoolCoeffcients!C49</f>
        <v>tr-ologts</v>
      </c>
      <c r="AC41" s="56">
        <f>SchoolCoeffcients!E49</f>
        <v>0.41910900000000001</v>
      </c>
      <c r="AD41" s="57">
        <f si="0" t="shared"/>
        <v>0.41910900000000001</v>
      </c>
      <c r="AE41">
        <f si="1" t="shared"/>
        <v>0</v>
      </c>
    </row>
    <row ht="14.65" r="42" spans="2:31" thickBot="1" x14ac:dyDescent="0.5">
      <c r="N42" s="23" t="s">
        <v>269</v>
      </c>
      <c r="T42">
        <v>42</v>
      </c>
      <c r="U42" t="str">
        <f si="15" t="shared"/>
        <v>s2-carsltd</v>
      </c>
      <c r="V42" s="30">
        <f>P83</f>
        <v>-0.12690086735600001</v>
      </c>
      <c r="AA42">
        <f>SchoolCoeffcients!B50</f>
        <v>129</v>
      </c>
      <c r="AB42" t="str">
        <f>SchoolCoeffcients!C50</f>
        <v>tr-dmixed</v>
      </c>
      <c r="AC42" s="56">
        <f>SchoolCoeffcients!E50</f>
        <v>2.5894919999999999</v>
      </c>
      <c r="AD42" s="57">
        <f si="0" t="shared"/>
        <v>2.5894919999999999</v>
      </c>
      <c r="AE42">
        <f si="1" t="shared"/>
        <v>0</v>
      </c>
    </row>
    <row r="43" spans="2:31" x14ac:dyDescent="0.4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50</v>
      </c>
      <c r="U43" t="str">
        <f si="15" t="shared"/>
        <v>da-const</v>
      </c>
      <c r="V43" s="30">
        <f>R82</f>
        <v>2.0204329603936246</v>
      </c>
      <c r="AA43">
        <f>SchoolCoeffcients!B51</f>
        <v>131</v>
      </c>
      <c r="AB43" t="str">
        <f>SchoolCoeffcients!C51</f>
        <v>da-escsptr</v>
      </c>
      <c r="AC43" s="56">
        <f>SchoolCoeffcients!E51</f>
        <v>-1.7837479999999999</v>
      </c>
      <c r="AD43" s="57">
        <f si="0" t="shared"/>
        <v>-1.7837479999999999</v>
      </c>
      <c r="AE43">
        <f si="1" t="shared"/>
        <v>0</v>
      </c>
    </row>
    <row r="44" spans="2:31" x14ac:dyDescent="0.45">
      <c r="N44" s="9" t="s">
        <v>1</v>
      </c>
      <c r="O44" s="51" t="str">
        <f ref="O44:R52" si="17" t="shared">IF(O18="","-",IF(O31&gt;0,LN(O31),0))</f>
        <v>-</v>
      </c>
      <c r="P44" s="51">
        <f si="17" t="shared"/>
        <v>1.1891134731577834E-2</v>
      </c>
      <c r="Q44" s="51" t="str">
        <f si="17" t="shared"/>
        <v>-</v>
      </c>
      <c r="R44" s="51">
        <f si="17" t="shared"/>
        <v>-8.1214347223754479E-3</v>
      </c>
      <c r="T44">
        <v>52</v>
      </c>
      <c r="U44" t="str">
        <f si="15" t="shared"/>
        <v>da-carsltd</v>
      </c>
      <c r="V44" s="30">
        <f>P82</f>
        <v>-1.3029204471110001</v>
      </c>
      <c r="AA44">
        <f>SchoolCoeffcients!B52</f>
        <v>132</v>
      </c>
      <c r="AB44" t="str">
        <f>SchoolCoeffcients!C52</f>
        <v>da-othsptr</v>
      </c>
      <c r="AC44" s="56">
        <f>SchoolCoeffcients!E52</f>
        <v>0.219607</v>
      </c>
      <c r="AD44" s="57">
        <f si="0" t="shared"/>
        <v>0.219607</v>
      </c>
      <c r="AE44">
        <f si="1" t="shared"/>
        <v>0</v>
      </c>
    </row>
    <row r="45" spans="2:31" x14ac:dyDescent="0.45">
      <c r="B45" s="23"/>
      <c r="N45" s="9" t="s">
        <v>2</v>
      </c>
      <c r="O45" s="52">
        <f si="17" t="shared"/>
        <v>-0.10172284394828089</v>
      </c>
      <c r="P45" s="52">
        <f si="17" t="shared"/>
        <v>-8.8527988401815444E-3</v>
      </c>
      <c r="Q45" s="52" t="str">
        <f si="17" t="shared"/>
        <v>-</v>
      </c>
      <c r="R45" s="52">
        <f si="17" t="shared"/>
        <v>1.5992616737225504E-2</v>
      </c>
      <c r="T45">
        <v>60</v>
      </c>
      <c r="U45" t="str">
        <f si="15" t="shared"/>
        <v>bi-const</v>
      </c>
      <c r="V45" s="30">
        <f>R87</f>
        <v>-4.7001421850018792</v>
      </c>
      <c r="AA45">
        <f>SchoolCoeffcients!B53</f>
        <v>133</v>
      </c>
      <c r="AB45" t="str">
        <f>SchoolCoeffcients!C53</f>
        <v>sr-escsptr</v>
      </c>
      <c r="AC45" s="56">
        <f>SchoolCoeffcients!E53</f>
        <v>1.288421</v>
      </c>
      <c r="AD45" s="57">
        <f si="0" t="shared"/>
        <v>1.288421</v>
      </c>
      <c r="AE45">
        <f si="1" t="shared"/>
        <v>0</v>
      </c>
    </row>
    <row r="46" spans="2:31" x14ac:dyDescent="0.45">
      <c r="C46" s="11"/>
      <c r="D46" s="11"/>
      <c r="E46" s="11"/>
      <c r="N46" s="9" t="s">
        <v>3</v>
      </c>
      <c r="O46" s="52">
        <f si="17" t="shared"/>
        <v>-7.5420955402074594E-2</v>
      </c>
      <c r="P46" s="52">
        <f si="17" t="shared"/>
        <v>1.6292787808814196E-2</v>
      </c>
      <c r="Q46" s="52" t="str">
        <f si="17" t="shared"/>
        <v>-</v>
      </c>
      <c r="R46" s="52">
        <f si="17" t="shared"/>
        <v>2.2226194717947685E-3</v>
      </c>
      <c r="T46">
        <v>67</v>
      </c>
      <c r="U46" t="str">
        <f si="15" t="shared"/>
        <v>bi-nocars</v>
      </c>
      <c r="V46" s="30">
        <f>O87</f>
        <v>0.34279116217299999</v>
      </c>
      <c r="AA46">
        <f>SchoolCoeffcients!B54</f>
        <v>134</v>
      </c>
      <c r="AB46" t="str">
        <f>SchoolCoeffcients!C54</f>
        <v>sr-othsptr</v>
      </c>
      <c r="AC46" s="56">
        <f>SchoolCoeffcients!E54</f>
        <v>0.221358</v>
      </c>
      <c r="AD46" s="57">
        <f si="0" t="shared"/>
        <v>0.221358</v>
      </c>
      <c r="AE46">
        <f si="1" t="shared"/>
        <v>0</v>
      </c>
    </row>
    <row r="47" spans="2:31" x14ac:dyDescent="0.45">
      <c r="B47" s="9"/>
      <c r="C47" s="11"/>
      <c r="D47" s="11"/>
      <c r="E47" s="11"/>
      <c r="N47" s="9" t="s">
        <v>4</v>
      </c>
      <c r="O47" s="52" t="str">
        <f si="17" t="shared"/>
        <v>-</v>
      </c>
      <c r="P47" s="52" t="str">
        <f si="17" t="shared"/>
        <v>-</v>
      </c>
      <c r="Q47" s="52" t="str">
        <f si="17" t="shared"/>
        <v>-</v>
      </c>
      <c r="R47" s="52" t="str">
        <f si="17" t="shared"/>
        <v>-</v>
      </c>
      <c r="T47">
        <v>68</v>
      </c>
      <c r="U47" t="str">
        <f si="15" t="shared"/>
        <v>bi-carsltd</v>
      </c>
      <c r="V47" s="30">
        <f>P87</f>
        <v>1.1077283945259999</v>
      </c>
      <c r="AA47">
        <f>SchoolCoeffcients!B55</f>
        <v>161</v>
      </c>
      <c r="AB47" t="str">
        <f>SchoolCoeffcients!C55</f>
        <v>bi-class1</v>
      </c>
      <c r="AC47" s="56">
        <f>SchoolCoeffcients!E55</f>
        <v>1.0776410000000001</v>
      </c>
      <c r="AD47" s="57">
        <f si="0" t="shared"/>
        <v>1.0776410000000001</v>
      </c>
      <c r="AE47">
        <f si="1" t="shared"/>
        <v>0</v>
      </c>
    </row>
    <row r="48" spans="2:31" x14ac:dyDescent="0.45">
      <c r="B48" s="9"/>
      <c r="C48" s="11"/>
      <c r="D48" s="11"/>
      <c r="E48" s="11"/>
      <c r="N48" s="9" t="s">
        <v>5</v>
      </c>
      <c r="O48" s="52">
        <f si="17" t="shared"/>
        <v>7.9990228152849438E-2</v>
      </c>
      <c r="P48" s="52">
        <f si="17" t="shared"/>
        <v>0</v>
      </c>
      <c r="Q48" s="52" t="str">
        <f si="17" t="shared"/>
        <v>-</v>
      </c>
      <c r="R48" s="52">
        <f si="17" t="shared"/>
        <v>-4.9490253322881636E-2</v>
      </c>
      <c r="T48">
        <v>70</v>
      </c>
      <c r="U48" t="str">
        <f si="15" t="shared"/>
        <v>wk-const</v>
      </c>
      <c r="V48" s="30">
        <f>R88</f>
        <v>0.62726437729449736</v>
      </c>
      <c r="AA48">
        <f>SchoolCoeffcients!B56</f>
        <v>162</v>
      </c>
      <c r="AB48" t="str">
        <f>SchoolCoeffcients!C56</f>
        <v>bi-class2</v>
      </c>
      <c r="AC48" s="56">
        <f>SchoolCoeffcients!E56</f>
        <v>0.88180499999999995</v>
      </c>
      <c r="AD48" s="57">
        <f si="0" t="shared"/>
        <v>0.88180499999999995</v>
      </c>
      <c r="AE48">
        <f si="1" t="shared"/>
        <v>0</v>
      </c>
    </row>
    <row r="49" spans="2:31" x14ac:dyDescent="0.45">
      <c r="B49" s="9"/>
      <c r="C49" s="11"/>
      <c r="D49" s="11"/>
      <c r="E49" s="11"/>
      <c r="N49" s="9" t="s">
        <v>6</v>
      </c>
      <c r="O49" s="52">
        <f si="17" t="shared"/>
        <v>0.35964452699792948</v>
      </c>
      <c r="P49" s="52">
        <f si="17" t="shared"/>
        <v>0.4866288491607243</v>
      </c>
      <c r="Q49" s="52" t="str">
        <f si="17" t="shared"/>
        <v>-</v>
      </c>
      <c r="R49" s="52">
        <f si="17" t="shared"/>
        <v>0.1399633447941209</v>
      </c>
      <c r="T49">
        <v>77</v>
      </c>
      <c r="U49" t="str">
        <f si="15" t="shared"/>
        <v>wk-nocars</v>
      </c>
      <c r="V49" s="30">
        <f>O88</f>
        <v>0.35644784254099998</v>
      </c>
      <c r="AA49">
        <f>SchoolCoeffcients!B57</f>
        <v>163</v>
      </c>
      <c r="AB49" t="str">
        <f>SchoolCoeffcients!C57</f>
        <v>bi-gauntl</v>
      </c>
      <c r="AC49" s="56">
        <f>SchoolCoeffcients!E57</f>
        <v>-1.1532750000000001</v>
      </c>
      <c r="AD49" s="57">
        <f si="0" t="shared"/>
        <v>-1.1532750000000001</v>
      </c>
      <c r="AE49">
        <f si="1" t="shared"/>
        <v>0</v>
      </c>
    </row>
    <row r="50" spans="2:31" x14ac:dyDescent="0.45">
      <c r="B50" s="9"/>
      <c r="C50" s="11"/>
      <c r="D50" s="11"/>
      <c r="E50" s="11"/>
      <c r="N50" s="9" t="s">
        <v>7</v>
      </c>
      <c r="O50" s="52">
        <f si="17" t="shared"/>
        <v>-0.24018578172561114</v>
      </c>
      <c r="P50" s="52">
        <f si="17" t="shared"/>
        <v>-3.8709533711016236E-2</v>
      </c>
      <c r="Q50" s="52" t="str">
        <f si="17" t="shared"/>
        <v>-</v>
      </c>
      <c r="R50" s="52">
        <f si="17" t="shared"/>
        <v>-1.2804451427502587E-2</v>
      </c>
      <c r="T50">
        <v>78</v>
      </c>
      <c r="U50" t="str">
        <f si="15" t="shared"/>
        <v>wk-carsltd</v>
      </c>
      <c r="V50" s="30">
        <f>P88</f>
        <v>3.0129279167159999</v>
      </c>
      <c r="AA50">
        <f>SchoolCoeffcients!B58</f>
        <v>164</v>
      </c>
      <c r="AB50" t="str">
        <f>SchoolCoeffcients!C58</f>
        <v>bi-omixed</v>
      </c>
      <c r="AC50" s="56">
        <f>SchoolCoeffcients!E58</f>
        <v>0.935832</v>
      </c>
      <c r="AD50" s="57">
        <f si="0" t="shared"/>
        <v>0.935832</v>
      </c>
      <c r="AE50">
        <f si="1" t="shared"/>
        <v>0</v>
      </c>
    </row>
    <row r="51" spans="2:31" x14ac:dyDescent="0.45">
      <c r="B51" s="9"/>
      <c r="C51" s="11"/>
      <c r="D51" s="11"/>
      <c r="E51" s="11"/>
      <c r="N51" s="9" t="s">
        <v>8</v>
      </c>
      <c r="O51" s="52">
        <f si="17" t="shared"/>
        <v>3.0622696147705644E-2</v>
      </c>
      <c r="P51" s="52">
        <f si="17" t="shared"/>
        <v>-2.5364231091499494E-3</v>
      </c>
      <c r="Q51" s="52" t="str">
        <f si="17" t="shared"/>
        <v>-</v>
      </c>
      <c r="R51" s="52">
        <f si="17" t="shared"/>
        <v>-5.2700810624116048E-3</v>
      </c>
      <c r="T51">
        <v>80</v>
      </c>
      <c r="U51" t="e">
        <f si="15" t="shared"/>
        <v>#N/A</v>
      </c>
      <c r="V51" s="30" t="e">
        <f>R90</f>
        <v>#VALUE!</v>
      </c>
      <c r="AA51">
        <f>SchoolCoeffcients!B59</f>
        <v>168</v>
      </c>
      <c r="AB51" t="str">
        <f>SchoolCoeffcients!C59</f>
        <v>bi-dempdn</v>
      </c>
      <c r="AC51" s="56">
        <f>SchoolCoeffcients!E59</f>
        <v>1.7699999999999999E-4</v>
      </c>
      <c r="AD51" s="57">
        <f si="0" t="shared"/>
        <v>1.7699999999999999E-4</v>
      </c>
      <c r="AE51">
        <f si="1" t="shared"/>
        <v>0</v>
      </c>
    </row>
    <row r="52" spans="2:31" x14ac:dyDescent="0.45">
      <c r="B52" s="9"/>
      <c r="C52" s="11"/>
      <c r="D52" s="11"/>
      <c r="E52" s="11"/>
      <c r="N52" s="12" t="s">
        <v>302</v>
      </c>
      <c r="O52" s="53">
        <f si="17" t="shared"/>
        <v>0</v>
      </c>
      <c r="P52" s="53">
        <f si="17" t="shared"/>
        <v>0</v>
      </c>
      <c r="Q52" s="53" t="str">
        <f si="17" t="shared"/>
        <v>-</v>
      </c>
      <c r="R52" s="53">
        <f si="17" t="shared"/>
        <v>0</v>
      </c>
      <c r="T52">
        <v>81</v>
      </c>
      <c r="U52" t="e">
        <f si="15" t="shared"/>
        <v>#N/A</v>
      </c>
      <c r="V52" s="30" t="e">
        <f>O90</f>
        <v>#VALUE!</v>
      </c>
      <c r="AA52">
        <f>SchoolCoeffcients!B60</f>
        <v>169</v>
      </c>
      <c r="AB52" t="str">
        <f>SchoolCoeffcients!C60</f>
        <v>bi-dmixed</v>
      </c>
      <c r="AC52" s="56">
        <f>SchoolCoeffcients!E60</f>
        <v>0.21170900000000001</v>
      </c>
      <c r="AD52" s="57">
        <f si="0" t="shared"/>
        <v>0.21170900000000001</v>
      </c>
      <c r="AE52">
        <f si="1" t="shared"/>
        <v>0</v>
      </c>
    </row>
    <row r="53" spans="2:31" x14ac:dyDescent="0.45">
      <c r="B53" s="9"/>
      <c r="C53" s="11"/>
      <c r="D53" s="11"/>
      <c r="E53" s="11"/>
      <c r="T53" s="6">
        <v>82</v>
      </c>
      <c r="U53" s="6" t="e">
        <f si="15" t="shared"/>
        <v>#N/A</v>
      </c>
      <c r="V53" s="55" t="e">
        <f>P90</f>
        <v>#VALUE!</v>
      </c>
      <c r="AA53">
        <f>SchoolCoeffcients!B61</f>
        <v>179</v>
      </c>
      <c r="AB53" t="str">
        <f>SchoolCoeffcients!C61</f>
        <v>wk-dmixed</v>
      </c>
      <c r="AC53" s="56">
        <f>SchoolCoeffcients!E61</f>
        <v>0.187281</v>
      </c>
      <c r="AD53" s="57">
        <f si="0" t="shared"/>
        <v>0.187281</v>
      </c>
      <c r="AE53">
        <f si="1" t="shared"/>
        <v>0</v>
      </c>
    </row>
    <row r="54" spans="2:31" x14ac:dyDescent="0.45">
      <c r="B54" s="9"/>
      <c r="P54" t="s">
        <v>259</v>
      </c>
      <c r="AA54">
        <f>SchoolCoeffcients!B62</f>
        <v>99</v>
      </c>
      <c r="AB54" t="str">
        <f>SchoolCoeffcients!C62</f>
        <v>modenest</v>
      </c>
      <c r="AC54" s="56">
        <f>SchoolCoeffcients!E62</f>
        <v>1</v>
      </c>
      <c r="AD54" s="57">
        <f si="0" t="shared"/>
        <v>1</v>
      </c>
      <c r="AE54">
        <f si="1" t="shared"/>
        <v>0</v>
      </c>
    </row>
    <row ht="14.65" r="55" spans="2:31" thickBot="1" x14ac:dyDescent="0.5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A55">
        <f>SchoolCoeffcients!B63</f>
        <v>-1</v>
      </c>
      <c r="AB55">
        <f>SchoolCoeffcients!C63</f>
        <v>0</v>
      </c>
      <c r="AC55" s="56">
        <f>SchoolCoeffcients!E63</f>
        <v>0</v>
      </c>
      <c r="AD55" s="57">
        <f si="0" t="shared"/>
        <v>0</v>
      </c>
      <c r="AE55">
        <f si="1" t="shared"/>
        <v>0</v>
      </c>
    </row>
    <row r="56" spans="2:31" x14ac:dyDescent="0.4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39" t="str">
        <f>Q43</f>
        <v>cars &lt; workers</v>
      </c>
      <c r="R56" s="39" t="str">
        <f>R43</f>
        <v>constant</v>
      </c>
      <c r="AC56" s="56"/>
      <c r="AD56" s="57"/>
    </row>
    <row r="57" spans="2:31" x14ac:dyDescent="0.45">
      <c r="B57" s="9"/>
      <c r="C57" s="11"/>
      <c r="D57" s="11"/>
      <c r="E57" s="11"/>
      <c r="N57" s="9" t="s">
        <v>1</v>
      </c>
      <c r="O57" s="47" t="str">
        <f>IF(O18="","-",IF($R18="",$O$55*O44,$O$55*(O44)))</f>
        <v>-</v>
      </c>
      <c r="P57" s="47">
        <f ref="P57:P65" si="18" t="shared">IF(P18="","-",IF($R18="",$P$55*P44,$P$55*(P44)))</f>
        <v>0</v>
      </c>
      <c r="Q57" s="48" t="str">
        <f ref="Q57:Q65" si="19" t="shared">IF(Q18="","-",IF($R18="",$Q$55*Q44,$Q$55*(Q44)))</f>
        <v>-</v>
      </c>
      <c r="R57" s="47">
        <f ref="R57:R65" si="20" t="shared">IF(R18="","-",$R$55*R44)</f>
        <v>-8.1214347223754479E-3</v>
      </c>
      <c r="AC57" s="56"/>
      <c r="AD57" s="57"/>
    </row>
    <row r="58" spans="2:31" x14ac:dyDescent="0.4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>
        <f si="18" t="shared"/>
        <v>0</v>
      </c>
      <c r="Q58" s="48" t="str">
        <f si="19" t="shared"/>
        <v>-</v>
      </c>
      <c r="R58" s="48">
        <f si="20" t="shared"/>
        <v>1.5992616737225504E-2</v>
      </c>
      <c r="AC58" s="56"/>
      <c r="AD58" s="57"/>
    </row>
    <row r="59" spans="2:31" x14ac:dyDescent="0.45">
      <c r="B59" s="9"/>
      <c r="C59" s="46"/>
      <c r="D59" s="46"/>
      <c r="E59" s="46"/>
      <c r="N59" s="9" t="s">
        <v>3</v>
      </c>
      <c r="O59" s="61">
        <f>IF(O20="","-",IF($R20="",$O$55*O46,$O$55*(O46-O58)))</f>
        <v>0</v>
      </c>
      <c r="P59" s="63">
        <f si="18" t="shared"/>
        <v>0</v>
      </c>
      <c r="Q59" s="48" t="str">
        <f si="19" t="shared"/>
        <v>-</v>
      </c>
      <c r="R59" s="48">
        <f si="20" t="shared"/>
        <v>2.2226194717947685E-3</v>
      </c>
      <c r="AC59" s="56"/>
      <c r="AD59" s="57"/>
    </row>
    <row r="60" spans="2:31" x14ac:dyDescent="0.45">
      <c r="B60" s="9"/>
      <c r="C60" s="11"/>
      <c r="D60" s="11"/>
      <c r="E60" s="11"/>
      <c r="N60" s="9" t="s">
        <v>4</v>
      </c>
      <c r="O60" s="47" t="str">
        <f ref="O60:O65" si="21" t="shared">IF(O21="","-",IF($R21="",$O$55*O47,$O$55*(O47)))</f>
        <v>-</v>
      </c>
      <c r="P60" s="47" t="str">
        <f si="18" t="shared"/>
        <v>-</v>
      </c>
      <c r="Q60" s="48" t="str">
        <f si="19" t="shared"/>
        <v>-</v>
      </c>
      <c r="R60" s="48" t="str">
        <f si="20" t="shared"/>
        <v>-</v>
      </c>
      <c r="AC60" s="56"/>
      <c r="AD60" s="57"/>
    </row>
    <row r="61" spans="2:31" x14ac:dyDescent="0.45">
      <c r="B61" s="9"/>
      <c r="C61" s="11"/>
      <c r="D61" s="11"/>
      <c r="E61" s="11"/>
      <c r="N61" s="9" t="s">
        <v>5</v>
      </c>
      <c r="O61" s="48">
        <f si="21" t="shared"/>
        <v>0</v>
      </c>
      <c r="P61" s="48">
        <f si="18" t="shared"/>
        <v>0</v>
      </c>
      <c r="Q61" s="48" t="str">
        <f si="19" t="shared"/>
        <v>-</v>
      </c>
      <c r="R61" s="48">
        <f si="20" t="shared"/>
        <v>-4.9490253322881636E-2</v>
      </c>
      <c r="AC61" s="56"/>
      <c r="AD61" s="57"/>
    </row>
    <row r="62" spans="2:31" x14ac:dyDescent="0.45">
      <c r="B62" s="9"/>
      <c r="C62" s="11"/>
      <c r="D62" s="11"/>
      <c r="E62" s="11"/>
      <c r="N62" s="9" t="s">
        <v>6</v>
      </c>
      <c r="O62" s="48">
        <f si="21" t="shared"/>
        <v>0</v>
      </c>
      <c r="P62" s="48">
        <f si="18" t="shared"/>
        <v>0</v>
      </c>
      <c r="Q62" s="48" t="str">
        <f si="19" t="shared"/>
        <v>-</v>
      </c>
      <c r="R62" s="48">
        <f si="20" t="shared"/>
        <v>0.1399633447941209</v>
      </c>
      <c r="AC62" s="56"/>
      <c r="AD62" s="57"/>
    </row>
    <row r="63" spans="2:31" x14ac:dyDescent="0.45">
      <c r="B63" s="9"/>
      <c r="C63" s="11"/>
      <c r="D63" s="11"/>
      <c r="E63" s="11"/>
      <c r="N63" s="9" t="s">
        <v>7</v>
      </c>
      <c r="O63" s="48">
        <f si="21" t="shared"/>
        <v>0</v>
      </c>
      <c r="P63" s="48">
        <f si="18" t="shared"/>
        <v>0</v>
      </c>
      <c r="Q63" s="48" t="str">
        <f si="19" t="shared"/>
        <v>-</v>
      </c>
      <c r="R63" s="48">
        <f si="20" t="shared"/>
        <v>-1.2804451427502587E-2</v>
      </c>
      <c r="AC63" s="56"/>
      <c r="AD63" s="57"/>
    </row>
    <row r="64" spans="2:31" x14ac:dyDescent="0.45">
      <c r="B64" s="9"/>
      <c r="C64" s="11"/>
      <c r="D64" s="11"/>
      <c r="E64" s="11"/>
      <c r="N64" s="9" t="s">
        <v>8</v>
      </c>
      <c r="O64" s="48">
        <f si="21" t="shared"/>
        <v>0</v>
      </c>
      <c r="P64" s="48">
        <f si="18" t="shared"/>
        <v>0</v>
      </c>
      <c r="Q64" s="48" t="str">
        <f si="19" t="shared"/>
        <v>-</v>
      </c>
      <c r="R64" s="48">
        <f si="20" t="shared"/>
        <v>-5.2700810624116048E-3</v>
      </c>
      <c r="AC64" s="56"/>
      <c r="AD64" s="57"/>
    </row>
    <row r="65" spans="2:30" x14ac:dyDescent="0.45">
      <c r="B65" s="9"/>
      <c r="C65" s="11"/>
      <c r="D65" s="11"/>
      <c r="E65" s="11"/>
      <c r="N65" s="12" t="s">
        <v>302</v>
      </c>
      <c r="O65" s="49">
        <f si="21" t="shared"/>
        <v>0</v>
      </c>
      <c r="P65" s="49">
        <f si="18" t="shared"/>
        <v>0</v>
      </c>
      <c r="Q65" s="49" t="str">
        <f si="19" t="shared"/>
        <v>-</v>
      </c>
      <c r="R65" s="49">
        <f si="20" t="shared"/>
        <v>0</v>
      </c>
      <c r="AC65" s="56"/>
      <c r="AD65" s="57"/>
    </row>
    <row r="66" spans="2:30" x14ac:dyDescent="0.45">
      <c r="N66" s="9" t="s">
        <v>273</v>
      </c>
      <c r="AC66" s="56"/>
      <c r="AD66" s="57"/>
    </row>
    <row r="67" spans="2:30" x14ac:dyDescent="0.45">
      <c r="B67" s="23"/>
      <c r="AC67" s="56"/>
      <c r="AD67" s="57"/>
    </row>
    <row ht="14.65" r="68" spans="2:30" thickBot="1" x14ac:dyDescent="0.5">
      <c r="C68" s="11"/>
      <c r="D68" s="11"/>
      <c r="E68" s="11"/>
      <c r="N68" s="37" t="s">
        <v>212</v>
      </c>
      <c r="AC68" s="56"/>
      <c r="AD68" s="57"/>
    </row>
    <row r="69" spans="2:30" x14ac:dyDescent="0.4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  <c r="AC69" s="56"/>
      <c r="AD69" s="57"/>
    </row>
    <row r="70" spans="2:30" x14ac:dyDescent="0.45">
      <c r="B70" s="9"/>
      <c r="C70" s="46"/>
      <c r="D70" s="11"/>
      <c r="E70" s="11"/>
      <c r="N70" s="9" t="s">
        <v>1</v>
      </c>
      <c r="O70" s="47" t="str">
        <f ref="O70:R78" si="22" t="shared">IFERROR(VLOOKUP(O18,$AA$3:$AC$48,3,FALSE),"-")</f>
        <v>-</v>
      </c>
      <c r="P70" s="47">
        <f si="22" t="shared"/>
        <v>-1.3029204471110001</v>
      </c>
      <c r="Q70" s="47" t="str">
        <f si="22" t="shared"/>
        <v>-</v>
      </c>
      <c r="R70" s="47">
        <f si="22" t="shared"/>
        <v>2.0285543951160001</v>
      </c>
      <c r="AC70" s="56"/>
      <c r="AD70" s="57"/>
    </row>
    <row r="71" spans="2:30" x14ac:dyDescent="0.45">
      <c r="B71" s="9"/>
      <c r="C71" s="46"/>
      <c r="D71" s="11"/>
      <c r="E71" s="11"/>
      <c r="N71" s="9" t="s">
        <v>2</v>
      </c>
      <c r="O71" s="48">
        <f si="22" t="shared"/>
        <v>-2.0074555463160002</v>
      </c>
      <c r="P71" s="48">
        <f si="22" t="shared"/>
        <v>-0.12690086735600001</v>
      </c>
      <c r="Q71" s="48" t="str">
        <f si="22" t="shared"/>
        <v>-</v>
      </c>
      <c r="R71" s="48">
        <f si="22" t="shared"/>
        <v>-0.70546612167800005</v>
      </c>
    </row>
    <row r="72" spans="2:30" x14ac:dyDescent="0.45">
      <c r="B72" s="9"/>
      <c r="C72" s="11"/>
      <c r="D72" s="11"/>
      <c r="E72" s="11"/>
      <c r="N72" s="9" t="s">
        <v>3</v>
      </c>
      <c r="O72" s="48">
        <f si="22" t="shared"/>
        <v>-0.11098246734599999</v>
      </c>
      <c r="P72" s="48">
        <f si="22" t="shared"/>
        <v>-0.29743268940200002</v>
      </c>
      <c r="Q72" s="48" t="str">
        <f si="22" t="shared"/>
        <v>-</v>
      </c>
      <c r="R72" s="48">
        <f si="22" t="shared"/>
        <v>0.196767204429</v>
      </c>
    </row>
    <row r="73" spans="2:30" x14ac:dyDescent="0.45">
      <c r="B73" s="9"/>
      <c r="C73" s="11"/>
      <c r="D73" s="11"/>
      <c r="E73" s="11"/>
      <c r="N73" s="9" t="s">
        <v>4</v>
      </c>
      <c r="O73" s="48" t="str">
        <f si="22" t="shared"/>
        <v>-</v>
      </c>
      <c r="P73" s="48" t="str">
        <f si="22" t="shared"/>
        <v>-</v>
      </c>
      <c r="Q73" s="48" t="str">
        <f si="22" t="shared"/>
        <v>-</v>
      </c>
      <c r="R73" s="48" t="str">
        <f si="22" t="shared"/>
        <v>-</v>
      </c>
    </row>
    <row r="74" spans="2:30" x14ac:dyDescent="0.45">
      <c r="B74" s="9"/>
      <c r="C74" s="11"/>
      <c r="D74" s="11"/>
      <c r="E74" s="11"/>
      <c r="N74" s="9" t="s">
        <v>5</v>
      </c>
      <c r="O74" s="48">
        <f si="22" t="shared"/>
        <v>1.248911465712</v>
      </c>
      <c r="P74" s="48">
        <f si="22" t="shared"/>
        <v>-0.53922482139799999</v>
      </c>
      <c r="Q74" s="48" t="str">
        <f si="22" t="shared"/>
        <v>-</v>
      </c>
      <c r="R74" s="48">
        <f si="22" t="shared"/>
        <v>-2.966608128651</v>
      </c>
    </row>
    <row r="75" spans="2:30" x14ac:dyDescent="0.45">
      <c r="B75" s="9"/>
      <c r="C75" s="11"/>
      <c r="D75" s="11"/>
      <c r="E75" s="11"/>
      <c r="N75" s="9" t="s">
        <v>6</v>
      </c>
      <c r="O75" s="48">
        <f si="22" t="shared"/>
        <v>0.34279116217299999</v>
      </c>
      <c r="P75" s="48">
        <f si="22" t="shared"/>
        <v>1.1077283945259999</v>
      </c>
      <c r="Q75" s="48" t="str">
        <f si="22" t="shared"/>
        <v>-</v>
      </c>
      <c r="R75" s="48">
        <f si="22" t="shared"/>
        <v>-4.8401055297960003</v>
      </c>
    </row>
    <row r="76" spans="2:30" x14ac:dyDescent="0.45">
      <c r="B76" s="9"/>
      <c r="C76" s="11"/>
      <c r="D76" s="11"/>
      <c r="E76" s="11"/>
      <c r="N76" s="9" t="s">
        <v>7</v>
      </c>
      <c r="O76" s="48">
        <f si="22" t="shared"/>
        <v>0.35644784254099998</v>
      </c>
      <c r="P76" s="48">
        <f si="22" t="shared"/>
        <v>3.0129279167159999</v>
      </c>
      <c r="Q76" s="48" t="str">
        <f si="22" t="shared"/>
        <v>-</v>
      </c>
      <c r="R76" s="48">
        <f si="22" t="shared"/>
        <v>0.64006882872199999</v>
      </c>
    </row>
    <row r="77" spans="2:30" x14ac:dyDescent="0.45">
      <c r="B77" s="9"/>
      <c r="N77" s="9" t="s">
        <v>8</v>
      </c>
      <c r="O77" s="48">
        <f si="22" t="shared"/>
        <v>4.1584704850000001E-2</v>
      </c>
      <c r="P77" s="48">
        <f si="22" t="shared"/>
        <v>0.136483612798</v>
      </c>
      <c r="Q77" s="48" t="str">
        <f si="22" t="shared"/>
        <v>-</v>
      </c>
      <c r="R77" s="48">
        <f si="22" t="shared"/>
        <v>0.25988565033400002</v>
      </c>
    </row>
    <row r="78" spans="2:30" x14ac:dyDescent="0.45">
      <c r="N78" s="12" t="s">
        <v>302</v>
      </c>
      <c r="O78" s="49" t="str">
        <f si="22" t="shared"/>
        <v>-</v>
      </c>
      <c r="P78" s="49" t="str">
        <f si="22" t="shared"/>
        <v>-</v>
      </c>
      <c r="Q78" s="49" t="str">
        <f si="22" t="shared"/>
        <v>-</v>
      </c>
      <c r="R78" s="49" t="str">
        <f si="22" t="shared"/>
        <v>-</v>
      </c>
    </row>
    <row ht="14.65" r="80" spans="2:30" thickBot="1" x14ac:dyDescent="0.5">
      <c r="H80" s="5" t="s">
        <v>235</v>
      </c>
      <c r="N80" s="37" t="s">
        <v>213</v>
      </c>
    </row>
    <row r="81" spans="8:18" x14ac:dyDescent="0.45">
      <c r="H81" s="99" t="s">
        <v>0</v>
      </c>
      <c r="I81" s="64" t="s">
        <v>252</v>
      </c>
      <c r="J81" s="64" t="s">
        <v>247</v>
      </c>
      <c r="K81" s="64" t="s">
        <v>250</v>
      </c>
      <c r="L81" s="64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45">
      <c r="H82" s="9" t="s">
        <v>1</v>
      </c>
      <c r="I82" s="11" t="str">
        <f ref="I82:I90" si="23" t="shared">IF(ISBLANK(O18),"",O18)</f>
        <v/>
      </c>
      <c r="J82" s="11">
        <f ref="J82:J90" si="24" t="shared">IF(ISBLANK(P18),"",P18)</f>
        <v>52</v>
      </c>
      <c r="K82" s="11" t="str">
        <f ref="K82:K90" si="25" t="shared">IF(ISBLANK(Q18),"",Q18)</f>
        <v/>
      </c>
      <c r="L82" s="11">
        <f ref="L82:L90" si="26" t="shared">IF(ISBLANK(R18),"",R18)</f>
        <v>50</v>
      </c>
      <c r="N82" s="9" t="s">
        <v>1</v>
      </c>
      <c r="O82" s="48" t="str">
        <f ref="O82:R90" si="27" t="shared">IF(O18="","-",O57+O70)</f>
        <v>-</v>
      </c>
      <c r="P82" s="48">
        <f si="27" t="shared"/>
        <v>-1.3029204471110001</v>
      </c>
      <c r="Q82" s="48" t="str">
        <f si="27" t="shared"/>
        <v>-</v>
      </c>
      <c r="R82" s="48">
        <f si="27" t="shared"/>
        <v>2.0204329603936246</v>
      </c>
    </row>
    <row r="83" spans="8:18" x14ac:dyDescent="0.45">
      <c r="H83" s="9" t="s">
        <v>2</v>
      </c>
      <c r="I83" s="11">
        <f si="23" t="shared"/>
        <v>41</v>
      </c>
      <c r="J83" s="11">
        <f si="24" t="shared"/>
        <v>42</v>
      </c>
      <c r="K83" s="11" t="str">
        <f si="25" t="shared"/>
        <v/>
      </c>
      <c r="L83" s="11">
        <f si="26" t="shared"/>
        <v>40</v>
      </c>
      <c r="N83" s="9" t="s">
        <v>2</v>
      </c>
      <c r="O83" s="48">
        <f si="27" t="shared"/>
        <v>-2.0074555463160002</v>
      </c>
      <c r="P83" s="48">
        <f si="27" t="shared"/>
        <v>-0.12690086735600001</v>
      </c>
      <c r="Q83" s="48" t="str">
        <f si="27" t="shared"/>
        <v>-</v>
      </c>
      <c r="R83" s="48">
        <f si="27" t="shared"/>
        <v>-0.68947350494077453</v>
      </c>
    </row>
    <row r="84" spans="8:18" x14ac:dyDescent="0.45">
      <c r="H84" s="9" t="s">
        <v>3</v>
      </c>
      <c r="I84" s="11">
        <f si="23" t="shared"/>
        <v>36</v>
      </c>
      <c r="J84" s="11">
        <f si="24" t="shared"/>
        <v>35</v>
      </c>
      <c r="K84" s="11" t="str">
        <f si="25" t="shared"/>
        <v/>
      </c>
      <c r="L84" s="11">
        <f si="26" t="shared"/>
        <v>30</v>
      </c>
      <c r="N84" s="9" t="s">
        <v>3</v>
      </c>
      <c r="O84" s="48">
        <f si="27" t="shared"/>
        <v>-0.11098246734599999</v>
      </c>
      <c r="P84" s="48">
        <f si="27" t="shared"/>
        <v>-0.29743268940200002</v>
      </c>
      <c r="Q84" s="48" t="str">
        <f si="27" t="shared"/>
        <v>-</v>
      </c>
      <c r="R84" s="48">
        <f si="27" t="shared"/>
        <v>0.19898982390079478</v>
      </c>
    </row>
    <row r="85" spans="8:18" x14ac:dyDescent="0.45">
      <c r="H85" s="9" t="s">
        <v>4</v>
      </c>
      <c r="I85" s="11" t="str">
        <f si="23" t="shared"/>
        <v/>
      </c>
      <c r="J85" s="11" t="str">
        <f si="24" t="shared"/>
        <v/>
      </c>
      <c r="K85" s="11" t="str">
        <f si="25" t="shared"/>
        <v/>
      </c>
      <c r="L85" s="11" t="str">
        <f si="26" t="shared"/>
        <v/>
      </c>
      <c r="N85" s="9" t="s">
        <v>4</v>
      </c>
      <c r="O85" s="48" t="str">
        <f si="27" t="shared"/>
        <v>-</v>
      </c>
      <c r="P85" s="48" t="str">
        <f si="27" t="shared"/>
        <v>-</v>
      </c>
      <c r="Q85" s="48" t="str">
        <f si="27" t="shared"/>
        <v>-</v>
      </c>
      <c r="R85" s="48" t="str">
        <f si="27" t="shared"/>
        <v>-</v>
      </c>
    </row>
    <row r="86" spans="8:18" x14ac:dyDescent="0.45">
      <c r="H86" s="9" t="s">
        <v>5</v>
      </c>
      <c r="I86" s="11">
        <f si="23" t="shared"/>
        <v>21</v>
      </c>
      <c r="J86" s="11">
        <f si="24" t="shared"/>
        <v>22</v>
      </c>
      <c r="K86" s="11" t="str">
        <f si="25" t="shared"/>
        <v/>
      </c>
      <c r="L86" s="11">
        <f si="26" t="shared"/>
        <v>20</v>
      </c>
      <c r="N86" s="9" t="s">
        <v>5</v>
      </c>
      <c r="O86" s="48">
        <f si="27" t="shared"/>
        <v>1.248911465712</v>
      </c>
      <c r="P86" s="48">
        <f si="27" t="shared"/>
        <v>-0.53922482139799999</v>
      </c>
      <c r="Q86" s="48" t="str">
        <f si="27" t="shared"/>
        <v>-</v>
      </c>
      <c r="R86" s="48">
        <f si="27" t="shared"/>
        <v>-3.0160983819738818</v>
      </c>
    </row>
    <row r="87" spans="8:18" x14ac:dyDescent="0.45">
      <c r="H87" s="9" t="s">
        <v>6</v>
      </c>
      <c r="I87" s="11">
        <f si="23" t="shared"/>
        <v>67</v>
      </c>
      <c r="J87" s="11">
        <f si="24" t="shared"/>
        <v>68</v>
      </c>
      <c r="K87" s="11" t="str">
        <f si="25" t="shared"/>
        <v/>
      </c>
      <c r="L87" s="11">
        <f si="26" t="shared"/>
        <v>60</v>
      </c>
      <c r="N87" s="9" t="s">
        <v>6</v>
      </c>
      <c r="O87" s="48">
        <f si="27" t="shared"/>
        <v>0.34279116217299999</v>
      </c>
      <c r="P87" s="48">
        <f si="27" t="shared"/>
        <v>1.1077283945259999</v>
      </c>
      <c r="Q87" s="48" t="str">
        <f si="27" t="shared"/>
        <v>-</v>
      </c>
      <c r="R87" s="48">
        <f si="27" t="shared"/>
        <v>-4.7001421850018792</v>
      </c>
    </row>
    <row r="88" spans="8:18" x14ac:dyDescent="0.45">
      <c r="H88" s="9" t="s">
        <v>7</v>
      </c>
      <c r="I88" s="11">
        <f si="23" t="shared"/>
        <v>77</v>
      </c>
      <c r="J88" s="11">
        <f si="24" t="shared"/>
        <v>78</v>
      </c>
      <c r="K88" s="11" t="str">
        <f si="25" t="shared"/>
        <v/>
      </c>
      <c r="L88" s="11">
        <f si="26" t="shared"/>
        <v>70</v>
      </c>
      <c r="N88" s="9" t="s">
        <v>7</v>
      </c>
      <c r="O88" s="48">
        <f si="27" t="shared"/>
        <v>0.35644784254099998</v>
      </c>
      <c r="P88" s="48">
        <f si="27" t="shared"/>
        <v>3.0129279167159999</v>
      </c>
      <c r="Q88" s="48" t="str">
        <f si="27" t="shared"/>
        <v>-</v>
      </c>
      <c r="R88" s="48">
        <f si="27" t="shared"/>
        <v>0.62726437729449736</v>
      </c>
    </row>
    <row r="89" spans="8:18" x14ac:dyDescent="0.45">
      <c r="H89" s="9" t="s">
        <v>8</v>
      </c>
      <c r="I89" s="11">
        <f si="23" t="shared"/>
        <v>11</v>
      </c>
      <c r="J89" s="11">
        <f si="24" t="shared"/>
        <v>13</v>
      </c>
      <c r="K89" s="11" t="str">
        <f si="25" t="shared"/>
        <v/>
      </c>
      <c r="L89" s="11">
        <f si="26" t="shared"/>
        <v>10</v>
      </c>
      <c r="N89" s="9" t="s">
        <v>8</v>
      </c>
      <c r="O89" s="48">
        <f si="27" t="shared"/>
        <v>4.1584704850000001E-2</v>
      </c>
      <c r="P89" s="48">
        <f si="27" t="shared"/>
        <v>0.136483612798</v>
      </c>
      <c r="Q89" s="48" t="str">
        <f si="27" t="shared"/>
        <v>-</v>
      </c>
      <c r="R89" s="48">
        <f si="27" t="shared"/>
        <v>0.2546155692715884</v>
      </c>
    </row>
    <row r="90" spans="8:18" x14ac:dyDescent="0.45">
      <c r="H90" s="12" t="s">
        <v>302</v>
      </c>
      <c r="I90" s="7">
        <f si="23" t="shared"/>
        <v>81</v>
      </c>
      <c r="J90" s="7">
        <f si="24" t="shared"/>
        <v>82</v>
      </c>
      <c r="K90" s="7" t="str">
        <f si="25" t="shared"/>
        <v/>
      </c>
      <c r="L90" s="7">
        <f si="26" t="shared"/>
        <v>80</v>
      </c>
      <c r="N90" s="12" t="s">
        <v>302</v>
      </c>
      <c r="O90" s="49" t="e">
        <f si="27" t="shared"/>
        <v>#VALUE!</v>
      </c>
      <c r="P90" s="49" t="e">
        <f si="27" t="shared"/>
        <v>#VALUE!</v>
      </c>
      <c r="Q90" s="49" t="str">
        <f si="27" t="shared"/>
        <v>-</v>
      </c>
      <c r="R90" s="49" t="e">
        <f si="27" t="shared"/>
        <v>#VALUE!</v>
      </c>
    </row>
  </sheetData>
  <mergeCells count="2">
    <mergeCell ref="B15:F15"/>
    <mergeCell ref="H15:L15"/>
  </mergeCells>
  <conditionalFormatting sqref="AE3:AE70">
    <cfRule dxfId="15" operator="greaterThan" priority="4" type="cellIs">
      <formula>0</formula>
    </cfRule>
  </conditionalFormatting>
  <conditionalFormatting sqref="O32:P33 P31 O35:P39 R31:R33 R35:R39">
    <cfRule dxfId="14" operator="greaterThan" priority="3" type="cellIs">
      <formula>1.05</formula>
    </cfRule>
    <cfRule dxfId="13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D2FD83AF-A941-4965-A15C-3ACA6EAF6CFF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00B050"/>
  </sheetPr>
  <dimension ref="B1:AF86"/>
  <sheetViews>
    <sheetView topLeftCell="A19" workbookViewId="0">
      <selection activeCell="O55" sqref="O55"/>
    </sheetView>
  </sheetViews>
  <sheetFormatPr defaultRowHeight="14.25" x14ac:dyDescent="0.45"/>
  <cols>
    <col min="2" max="2" bestFit="true" customWidth="true" width="14.1328125" collapsed="true"/>
    <col min="4" max="4" bestFit="true" customWidth="true" width="11.73046875" collapsed="true"/>
    <col min="5" max="5" bestFit="true" customWidth="true" width="13.59765625" collapsed="true"/>
    <col min="6" max="6" bestFit="true" customWidth="true" width="9.1328125" collapsed="true"/>
    <col min="8" max="8" bestFit="true" customWidth="true" width="14.1328125" collapsed="true"/>
    <col min="10" max="10" bestFit="true" customWidth="true" width="11.73046875" collapsed="true"/>
    <col min="11" max="11" bestFit="true" customWidth="true" width="13.59765625" collapsed="true"/>
    <col min="12" max="12" bestFit="true" customWidth="true" width="7.59765625" collapsed="true"/>
    <col min="13" max="13" width="9.1328125" collapsed="true"/>
    <col min="14" max="14" bestFit="true" customWidth="true" width="14.1328125" collapsed="true"/>
    <col min="15" max="15" bestFit="true" customWidth="true" width="9.265625" collapsed="true"/>
    <col min="16" max="16" bestFit="true" customWidth="true" width="12.0" collapsed="true"/>
    <col min="17" max="17" bestFit="true" customWidth="true" width="13.86328125" collapsed="true"/>
    <col min="18" max="18" bestFit="true" customWidth="true" width="10.265625" collapsed="true"/>
    <col min="20" max="20" customWidth="true" width="5.59765625" collapsed="true"/>
    <col min="21" max="21" customWidth="true" width="12.86328125" collapsed="true"/>
    <col min="22" max="22" bestFit="true" customWidth="true" width="11.73046875" collapsed="true"/>
    <col min="23" max="23" bestFit="true" customWidth="true" width="13.59765625" collapsed="true"/>
    <col min="28" max="28" bestFit="true" customWidth="true" width="11.0" collapsed="true"/>
    <col min="29" max="30" bestFit="true" customWidth="true" width="16.3984375" collapsed="true"/>
  </cols>
  <sheetData>
    <row r="1" spans="2:31" x14ac:dyDescent="0.45">
      <c r="T1" s="23" t="s">
        <v>143</v>
      </c>
      <c r="U1" s="32"/>
      <c r="V1" s="32"/>
      <c r="W1" s="32"/>
      <c r="X1" s="32"/>
      <c r="AA1" s="23" t="s">
        <v>143</v>
      </c>
    </row>
    <row r="2" spans="2:31" x14ac:dyDescent="0.4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4.65" r="3" spans="2:31" thickBot="1" x14ac:dyDescent="0.5">
      <c r="B3" s="23" t="s">
        <v>279</v>
      </c>
      <c r="T3">
        <v>1</v>
      </c>
      <c r="U3" s="33" t="s">
        <v>244</v>
      </c>
      <c r="W3" s="32"/>
      <c r="X3" s="32"/>
      <c r="AA3">
        <f>EscortCoefficients!B11</f>
        <v>2</v>
      </c>
      <c r="AB3" t="str">
        <f>EscortCoefficients!C11</f>
        <v>timeutil</v>
      </c>
      <c r="AC3" s="56">
        <f>EscortCoefficients!E11</f>
        <v>3.3415951050000001</v>
      </c>
      <c r="AD3" s="57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4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284</v>
      </c>
      <c r="W4" s="32"/>
      <c r="X4" s="32"/>
      <c r="AA4">
        <f>EscortCoefficients!B12</f>
        <v>30</v>
      </c>
      <c r="AB4" t="str">
        <f>EscortCoefficients!C12</f>
        <v>s3-const</v>
      </c>
      <c r="AC4" s="56">
        <f>EscortCoefficients!E12</f>
        <v>-2.5112174031630001</v>
      </c>
      <c r="AD4" s="57">
        <f si="0" t="shared"/>
        <v>-2.5294772769919769</v>
      </c>
      <c r="AE4">
        <f ref="AE4:AE26" si="1" t="shared">IF(AC4=AD4,0,1)</f>
        <v>1</v>
      </c>
    </row>
    <row r="5" spans="2:31" x14ac:dyDescent="0.45">
      <c r="B5" s="9" t="s">
        <v>1</v>
      </c>
      <c r="C5" s="11"/>
      <c r="D5" s="11">
        <v>52</v>
      </c>
      <c r="E5" s="11"/>
      <c r="F5" s="11">
        <v>50</v>
      </c>
      <c r="T5">
        <v>3</v>
      </c>
      <c r="U5" s="32" t="s">
        <v>245</v>
      </c>
      <c r="V5" s="32"/>
      <c r="W5" s="32"/>
      <c r="X5" s="32"/>
      <c r="AA5">
        <f>EscortCoefficients!B13</f>
        <v>31</v>
      </c>
      <c r="AB5" t="str">
        <f>EscortCoefficients!C13</f>
        <v>s3-hhcu5</v>
      </c>
      <c r="AC5" s="56">
        <f>EscortCoefficients!E13</f>
        <v>1.166803974</v>
      </c>
      <c r="AD5" s="57">
        <f si="0" t="shared"/>
        <v>1.166803974</v>
      </c>
      <c r="AE5">
        <f si="1" t="shared"/>
        <v>0</v>
      </c>
    </row>
    <row r="6" spans="2:31" x14ac:dyDescent="0.4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>
        <f>EscortCoefficients!B14</f>
        <v>32</v>
      </c>
      <c r="AB6" t="str">
        <f>EscortCoefficients!C14</f>
        <v>s3-hh515</v>
      </c>
      <c r="AC6" s="56">
        <f>EscortCoefficients!E14</f>
        <v>0.48228420700000002</v>
      </c>
      <c r="AD6" s="57">
        <f si="0" t="shared"/>
        <v>0.48228420700000002</v>
      </c>
      <c r="AE6">
        <f si="1" t="shared"/>
        <v>0</v>
      </c>
    </row>
    <row r="7" spans="2:31" x14ac:dyDescent="0.45">
      <c r="B7" s="9" t="s">
        <v>3</v>
      </c>
      <c r="C7" s="11" t="s">
        <v>254</v>
      </c>
      <c r="D7" s="11">
        <v>37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>
        <f>EscortCoefficients!B15</f>
        <v>33</v>
      </c>
      <c r="AB7" t="str">
        <f>EscortCoefficients!C15</f>
        <v>s3-hhdas</v>
      </c>
      <c r="AC7" s="56">
        <f>EscortCoefficients!E15</f>
        <v>7.7733427999999993E-2</v>
      </c>
      <c r="AD7" s="57">
        <f si="0" t="shared"/>
        <v>7.7733427999999993E-2</v>
      </c>
      <c r="AE7">
        <f si="1" t="shared"/>
        <v>0</v>
      </c>
    </row>
    <row r="8" spans="2:31" x14ac:dyDescent="0.4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EscortCoefficients!B16</f>
        <v>36</v>
      </c>
      <c r="AB8" t="str">
        <f>EscortCoefficients!C16</f>
        <v>s3-nocars</v>
      </c>
      <c r="AC8" s="56">
        <f>EscortCoefficients!E16</f>
        <v>1.4574897382180001</v>
      </c>
      <c r="AD8" s="57">
        <f si="0" t="shared"/>
        <v>1.4574897382180001</v>
      </c>
      <c r="AE8">
        <f si="1" t="shared"/>
        <v>0</v>
      </c>
    </row>
    <row r="9" spans="2:31" x14ac:dyDescent="0.45">
      <c r="B9" s="9" t="s">
        <v>5</v>
      </c>
      <c r="C9" s="11"/>
      <c r="D9" s="11"/>
      <c r="E9" s="11"/>
      <c r="F9" s="11"/>
      <c r="T9" s="32"/>
      <c r="U9" s="34" t="s">
        <v>239</v>
      </c>
      <c r="V9" s="32"/>
      <c r="W9" s="32"/>
      <c r="X9" s="32"/>
      <c r="AA9">
        <f>EscortCoefficients!B17</f>
        <v>37</v>
      </c>
      <c r="AB9" t="str">
        <f>EscortCoefficients!C17</f>
        <v>s3-carsltd</v>
      </c>
      <c r="AC9" s="56">
        <f>EscortCoefficients!E17</f>
        <v>-0.271572152663</v>
      </c>
      <c r="AD9" s="57">
        <f si="0" t="shared"/>
        <v>-0.271572152663</v>
      </c>
      <c r="AE9">
        <f si="1" t="shared"/>
        <v>0</v>
      </c>
    </row>
    <row r="10" spans="2:31" x14ac:dyDescent="0.4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EscortCoefficients!B18</f>
        <v>40</v>
      </c>
      <c r="AB10" t="str">
        <f>EscortCoefficients!C18</f>
        <v>s2-const</v>
      </c>
      <c r="AC10" s="56">
        <f>EscortCoefficients!E18</f>
        <v>-1.6429440483269999</v>
      </c>
      <c r="AD10" s="57">
        <f si="0" t="shared"/>
        <v>-1.6328647837770582</v>
      </c>
      <c r="AE10">
        <f si="1" t="shared"/>
        <v>1</v>
      </c>
    </row>
    <row r="11" spans="2:31" x14ac:dyDescent="0.4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EscortCoefficients!B19</f>
        <v>41</v>
      </c>
      <c r="AB11" t="str">
        <f>EscortCoefficients!C19</f>
        <v>sr-nocars</v>
      </c>
      <c r="AC11" s="56">
        <f>EscortCoefficients!E19</f>
        <v>-6.1146910156400001</v>
      </c>
      <c r="AD11" s="57">
        <f si="0" t="shared"/>
        <v>-6.1146910156400001</v>
      </c>
      <c r="AE11">
        <f si="1" t="shared"/>
        <v>0</v>
      </c>
    </row>
    <row r="12" spans="2:31" x14ac:dyDescent="0.4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EscortCoefficients!B20</f>
        <v>42</v>
      </c>
      <c r="AB12" t="str">
        <f>EscortCoefficients!C20</f>
        <v>sr-carsltd</v>
      </c>
      <c r="AC12" s="56">
        <f>EscortCoefficients!E20</f>
        <v>0.121738261781</v>
      </c>
      <c r="AD12" s="57">
        <f si="0" t="shared"/>
        <v>0.121738261781</v>
      </c>
      <c r="AE12">
        <f si="1" t="shared"/>
        <v>0</v>
      </c>
    </row>
    <row r="13" spans="2:31" x14ac:dyDescent="0.45">
      <c r="C13" s="25"/>
      <c r="D13" s="25"/>
      <c r="T13" s="32">
        <v>4</v>
      </c>
      <c r="U13" s="32" t="s">
        <v>242</v>
      </c>
      <c r="V13" s="32"/>
      <c r="W13" s="32"/>
      <c r="X13" s="32"/>
      <c r="AA13">
        <f>EscortCoefficients!B21</f>
        <v>50</v>
      </c>
      <c r="AB13" t="str">
        <f>EscortCoefficients!C21</f>
        <v>da-const</v>
      </c>
      <c r="AC13" s="56">
        <f>EscortCoefficients!E21</f>
        <v>-9.42291722515</v>
      </c>
      <c r="AD13" s="57">
        <f si="0" t="shared"/>
        <v>-9.3364133918616155</v>
      </c>
      <c r="AE13">
        <f si="1" t="shared"/>
        <v>1</v>
      </c>
    </row>
    <row r="14" spans="2:31" x14ac:dyDescent="0.45">
      <c r="B14" s="37" t="s">
        <v>303</v>
      </c>
      <c r="T14" s="32">
        <v>5</v>
      </c>
      <c r="U14" s="33" t="s">
        <v>285</v>
      </c>
      <c r="V14" s="32"/>
      <c r="W14" s="32"/>
      <c r="X14" s="32"/>
      <c r="AA14">
        <f>EscortCoefficients!B22</f>
        <v>52</v>
      </c>
      <c r="AB14" t="str">
        <f>EscortCoefficients!C22</f>
        <v>da-carsltd</v>
      </c>
      <c r="AC14" s="56">
        <f>EscortCoefficients!E22</f>
        <v>-1.2907770727600001</v>
      </c>
      <c r="AD14" s="57">
        <f si="0" t="shared"/>
        <v>-1.2907770727600001</v>
      </c>
      <c r="AE14">
        <f si="1" t="shared"/>
        <v>0</v>
      </c>
    </row>
    <row r="15" spans="2:31" x14ac:dyDescent="0.45">
      <c r="B15" s="106" t="s">
        <v>293</v>
      </c>
      <c r="C15" s="106"/>
      <c r="D15" s="106"/>
      <c r="E15" s="106"/>
      <c r="F15" s="106"/>
      <c r="H15" s="105" t="s">
        <v>33</v>
      </c>
      <c r="I15" s="105"/>
      <c r="J15" s="105"/>
      <c r="K15" s="105"/>
      <c r="L15" s="105"/>
      <c r="T15" s="32">
        <v>6</v>
      </c>
      <c r="U15" s="32" t="s">
        <v>246</v>
      </c>
      <c r="V15" s="32"/>
      <c r="W15" s="32"/>
      <c r="X15" s="32"/>
      <c r="AA15">
        <f>EscortCoefficients!B23</f>
        <v>60</v>
      </c>
      <c r="AB15" t="str">
        <f>EscortCoefficients!C23</f>
        <v>bi-const</v>
      </c>
      <c r="AC15" s="56">
        <f>EscortCoefficients!E23</f>
        <v>-15</v>
      </c>
      <c r="AD15" s="57">
        <f si="0" t="shared"/>
        <v>-15</v>
      </c>
      <c r="AE15">
        <f si="1" t="shared"/>
        <v>0</v>
      </c>
    </row>
    <row ht="14.65" r="16" spans="2:31" thickBot="1" x14ac:dyDescent="0.5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EscortCoefficients!B24</f>
        <v>67</v>
      </c>
      <c r="AB16" t="str">
        <f>EscortCoefficients!C24</f>
        <v>bi-nocars</v>
      </c>
      <c r="AC16" s="56">
        <f>EscortCoefficients!E24</f>
        <v>0</v>
      </c>
      <c r="AD16" s="57">
        <f si="0" t="shared"/>
        <v>0</v>
      </c>
      <c r="AE16">
        <f si="1" t="shared"/>
        <v>0</v>
      </c>
    </row>
    <row r="17" spans="2:31" x14ac:dyDescent="0.4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EscortCoefficients!B25</f>
        <v>68</v>
      </c>
      <c r="AB17" t="str">
        <f>EscortCoefficients!C25</f>
        <v>bi-carsltd</v>
      </c>
      <c r="AC17" s="56">
        <f>EscortCoefficients!E25</f>
        <v>0</v>
      </c>
      <c r="AD17" s="57">
        <f si="0" t="shared"/>
        <v>0</v>
      </c>
      <c r="AE17">
        <f si="1" t="shared"/>
        <v>0</v>
      </c>
    </row>
    <row r="18" spans="2:31" x14ac:dyDescent="0.45">
      <c r="B18" s="9" t="s">
        <v>1</v>
      </c>
      <c r="C18" s="9">
        <f>Escort!B4</f>
        <v>0</v>
      </c>
      <c r="D18" s="9">
        <f>Escort!E4</f>
        <v>263.8604105844941</v>
      </c>
      <c r="E18" s="9">
        <f>Escort!G4</f>
        <v>0</v>
      </c>
      <c r="F18" s="9">
        <f>Escort!H4</f>
        <v>4767.8428029311453</v>
      </c>
      <c r="H18" s="9" t="s">
        <v>1</v>
      </c>
      <c r="I18" s="9">
        <f>Escort!K4</f>
        <v>0</v>
      </c>
      <c r="J18" s="9">
        <f>Escort!N4</f>
        <v>198</v>
      </c>
      <c r="K18" s="9">
        <f>Escort!P4</f>
        <v>18</v>
      </c>
      <c r="L18" s="9">
        <f>Escort!Q4</f>
        <v>3697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EscortCoefficients!B26</f>
        <v>70</v>
      </c>
      <c r="AB18" t="str">
        <f>EscortCoefficients!C26</f>
        <v>wk-const</v>
      </c>
      <c r="AC18" s="56">
        <f>EscortCoefficients!E26</f>
        <v>-7.2110841533E-2</v>
      </c>
      <c r="AD18" s="57">
        <f si="0" t="shared"/>
        <v>-1.618250526075949E-2</v>
      </c>
      <c r="AE18">
        <f si="1" t="shared"/>
        <v>1</v>
      </c>
    </row>
    <row r="19" spans="2:31" x14ac:dyDescent="0.45">
      <c r="B19" s="9" t="s">
        <v>2</v>
      </c>
      <c r="C19" s="9">
        <f>Escort!B5</f>
        <v>15.417904371327699</v>
      </c>
      <c r="D19" s="9">
        <f>Escort!E5</f>
        <v>19879.233904230307</v>
      </c>
      <c r="E19" s="9">
        <f>Escort!G5</f>
        <v>5436.1460464664042</v>
      </c>
      <c r="F19" s="9">
        <f>Escort!H5</f>
        <v>103692.27273317946</v>
      </c>
      <c r="H19" s="9" t="s">
        <v>2</v>
      </c>
      <c r="I19" s="9">
        <f>Escort!K5</f>
        <v>718</v>
      </c>
      <c r="J19" s="9">
        <f>Escort!N5</f>
        <v>22660</v>
      </c>
      <c r="K19" s="9">
        <f>Escort!P5</f>
        <v>5712</v>
      </c>
      <c r="L19" s="9">
        <f>Escort!Q5</f>
        <v>86789</v>
      </c>
      <c r="M19" s="9"/>
      <c r="N19" s="9" t="s">
        <v>2</v>
      </c>
      <c r="O19" s="11">
        <f ref="O19:O25" si="3" t="shared">IF(ISBLANK(C6),"",C6)</f>
        <v>41</v>
      </c>
      <c r="P19" s="11">
        <f si="2" t="shared"/>
        <v>42</v>
      </c>
      <c r="Q19" s="11" t="str">
        <f si="2" t="shared"/>
        <v/>
      </c>
      <c r="R19" s="11">
        <f si="2" t="shared"/>
        <v>40</v>
      </c>
      <c r="T19" s="9"/>
      <c r="AA19">
        <f>EscortCoefficients!B27</f>
        <v>73</v>
      </c>
      <c r="AB19" t="str">
        <f>EscortCoefficients!C27</f>
        <v>wk-ageo50</v>
      </c>
      <c r="AC19" s="56">
        <f>EscortCoefficients!E27</f>
        <v>-2.3805019629999999</v>
      </c>
      <c r="AD19" s="57">
        <f si="0" t="shared"/>
        <v>-2.3805019629999999</v>
      </c>
      <c r="AE19">
        <f si="1" t="shared"/>
        <v>0</v>
      </c>
    </row>
    <row r="20" spans="2:31" x14ac:dyDescent="0.45">
      <c r="B20" s="9" t="s">
        <v>3</v>
      </c>
      <c r="C20" s="9">
        <f>Escort!B6</f>
        <v>1174.1784958036037</v>
      </c>
      <c r="D20" s="9">
        <f>Escort!E6</f>
        <v>16263.460776700704</v>
      </c>
      <c r="E20" s="9">
        <f>Escort!G6</f>
        <v>2137.0711531387465</v>
      </c>
      <c r="F20" s="9">
        <f>Escort!H6</f>
        <v>97773.06088199075</v>
      </c>
      <c r="H20" s="9" t="s">
        <v>3</v>
      </c>
      <c r="I20" s="9">
        <f>Escort!K6</f>
        <v>5857</v>
      </c>
      <c r="J20" s="9">
        <f>Escort!N6</f>
        <v>17471</v>
      </c>
      <c r="K20" s="9">
        <f>Escort!P6</f>
        <v>4313</v>
      </c>
      <c r="L20" s="9">
        <f>Escort!Q6</f>
        <v>84187</v>
      </c>
      <c r="M20" s="9"/>
      <c r="N20" s="9" t="s">
        <v>3</v>
      </c>
      <c r="O20" s="11">
        <v>36</v>
      </c>
      <c r="P20" s="11">
        <v>37</v>
      </c>
      <c r="Q20" s="11" t="str">
        <f si="2" t="shared"/>
        <v/>
      </c>
      <c r="R20" s="11">
        <f si="2" t="shared"/>
        <v>30</v>
      </c>
      <c r="T20" s="9"/>
      <c r="AA20">
        <f>EscortCoefficients!B28</f>
        <v>76</v>
      </c>
      <c r="AB20" t="str">
        <f>EscortCoefficients!C28</f>
        <v>wk-dintd</v>
      </c>
      <c r="AC20" s="56">
        <f>EscortCoefficients!E28</f>
        <v>1.5103600000000001E-3</v>
      </c>
      <c r="AD20" s="57">
        <f si="0" t="shared"/>
        <v>1.5103600000000001E-3</v>
      </c>
      <c r="AE20">
        <f si="1" t="shared"/>
        <v>0</v>
      </c>
    </row>
    <row r="21" spans="2:31" x14ac:dyDescent="0.4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Escort!K7</f>
        <v>0</v>
      </c>
      <c r="J21" s="9">
        <f>Escort!N7</f>
        <v>0</v>
      </c>
      <c r="K21" s="9">
        <f>Escort!P7</f>
        <v>0</v>
      </c>
      <c r="L21" s="9">
        <f>Escort!Q7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EscortCoefficients!B29</f>
        <v>77</v>
      </c>
      <c r="AB21" t="str">
        <f>EscortCoefficients!C29</f>
        <v>wk-nocars</v>
      </c>
      <c r="AC21" s="56">
        <f>EscortCoefficients!E29</f>
        <v>1.2149093918210001</v>
      </c>
      <c r="AD21" s="57">
        <f si="0" t="shared"/>
        <v>1.2149093918210001</v>
      </c>
      <c r="AE21">
        <f si="1" t="shared"/>
        <v>0</v>
      </c>
    </row>
    <row r="22" spans="2:31" x14ac:dyDescent="0.45">
      <c r="B22" s="9" t="s">
        <v>5</v>
      </c>
      <c r="C22" s="9">
        <f>Escort!B8</f>
        <v>314.27354323051009</v>
      </c>
      <c r="D22" s="9">
        <f>Escort!E8</f>
        <v>0</v>
      </c>
      <c r="E22" s="9">
        <f>Escort!G8</f>
        <v>0</v>
      </c>
      <c r="F22" s="9">
        <f>Escort!H8</f>
        <v>596.65074156725905</v>
      </c>
      <c r="H22" s="9" t="s">
        <v>5</v>
      </c>
      <c r="I22" s="9">
        <f>Escort!K8</f>
        <v>0</v>
      </c>
      <c r="J22" s="9">
        <f>Escort!N8</f>
        <v>0</v>
      </c>
      <c r="K22" s="9">
        <f>Escort!P8</f>
        <v>0</v>
      </c>
      <c r="L22" s="9">
        <f>Escort!Q8</f>
        <v>0</v>
      </c>
      <c r="M22" s="9"/>
      <c r="N22" s="9" t="s">
        <v>5</v>
      </c>
      <c r="O22" s="11" t="str">
        <f si="3" t="shared"/>
        <v/>
      </c>
      <c r="P22" s="11" t="str">
        <f si="2" t="shared"/>
        <v/>
      </c>
      <c r="Q22" s="11" t="str">
        <f si="2" t="shared"/>
        <v/>
      </c>
      <c r="R22" s="11" t="str">
        <f si="2" t="shared"/>
        <v/>
      </c>
      <c r="T22" s="9"/>
      <c r="AA22">
        <f>EscortCoefficients!B30</f>
        <v>78</v>
      </c>
      <c r="AB22" t="str">
        <f>EscortCoefficients!C30</f>
        <v>wk-carsltd</v>
      </c>
      <c r="AC22" s="56">
        <f>EscortCoefficients!E30</f>
        <v>1.650016479871</v>
      </c>
      <c r="AD22" s="57">
        <f si="0" t="shared"/>
        <v>1.650016479871</v>
      </c>
      <c r="AE22">
        <f si="1" t="shared"/>
        <v>0</v>
      </c>
    </row>
    <row r="23" spans="2:31" x14ac:dyDescent="0.45">
      <c r="B23" s="9" t="s">
        <v>6</v>
      </c>
      <c r="C23" s="9">
        <f>Escort!B9</f>
        <v>0</v>
      </c>
      <c r="D23" s="9">
        <f>Escort!E9</f>
        <v>0</v>
      </c>
      <c r="E23" s="9">
        <f>Escort!G9</f>
        <v>0</v>
      </c>
      <c r="F23" s="9">
        <f>Escort!H9</f>
        <v>0</v>
      </c>
      <c r="H23" s="9" t="s">
        <v>6</v>
      </c>
      <c r="I23" s="9">
        <f>Escort!K9</f>
        <v>420</v>
      </c>
      <c r="J23" s="9">
        <f>Escort!N9</f>
        <v>17</v>
      </c>
      <c r="K23" s="9">
        <f>Escort!P9</f>
        <v>2</v>
      </c>
      <c r="L23" s="9">
        <f>Escort!Q9</f>
        <v>443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EscortCoefficients!B31</f>
        <v>81</v>
      </c>
      <c r="AB23" t="str">
        <f>EscortCoefficients!C31</f>
        <v>wk-hhcu5</v>
      </c>
      <c r="AC23" s="56">
        <f>EscortCoefficients!E31</f>
        <v>0.91500335799999999</v>
      </c>
      <c r="AD23" s="57">
        <f si="0" t="shared"/>
        <v>0.91500335799999999</v>
      </c>
      <c r="AE23">
        <f si="1" t="shared"/>
        <v>0</v>
      </c>
    </row>
    <row r="24" spans="2:31" x14ac:dyDescent="0.45">
      <c r="B24" s="9" t="s">
        <v>7</v>
      </c>
      <c r="C24" s="9">
        <f>Escort!B10</f>
        <v>221.6585137474386</v>
      </c>
      <c r="D24" s="9">
        <f>Escort!E10</f>
        <v>1529.3922988341812</v>
      </c>
      <c r="E24" s="9">
        <f>Escort!G10</f>
        <v>129.91072957316419</v>
      </c>
      <c r="F24" s="9">
        <f>Escort!H10</f>
        <v>5406.0302374397561</v>
      </c>
      <c r="H24" s="9" t="s">
        <v>7</v>
      </c>
      <c r="I24" s="9">
        <f>Escort!K10</f>
        <v>1001</v>
      </c>
      <c r="J24" s="9">
        <f>Escort!N10</f>
        <v>1285</v>
      </c>
      <c r="K24" s="9">
        <f>Escort!P10</f>
        <v>369</v>
      </c>
      <c r="L24" s="9">
        <f>Escort!Q10</f>
        <v>4322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EscortCoefficients!B32</f>
        <v>82</v>
      </c>
      <c r="AB24" t="str">
        <f>EscortCoefficients!C32</f>
        <v>wk-hh515</v>
      </c>
      <c r="AC24" s="56">
        <f>EscortCoefficients!E32</f>
        <v>-2.7232830999999999E-2</v>
      </c>
      <c r="AD24" s="57">
        <f si="0" t="shared"/>
        <v>-2.7232830999999999E-2</v>
      </c>
      <c r="AE24">
        <f si="1" t="shared"/>
        <v>0</v>
      </c>
    </row>
    <row r="25" spans="2:31" x14ac:dyDescent="0.45">
      <c r="B25" s="12" t="s">
        <v>8</v>
      </c>
      <c r="C25" s="9">
        <v>0</v>
      </c>
      <c r="D25" s="9">
        <v>0</v>
      </c>
      <c r="E25" s="9">
        <v>0</v>
      </c>
      <c r="F25" s="9">
        <v>0</v>
      </c>
      <c r="H25" s="12" t="s">
        <v>8</v>
      </c>
      <c r="I25" s="9">
        <f>Escort!K11</f>
        <v>0</v>
      </c>
      <c r="J25" s="9">
        <f>Escort!N11</f>
        <v>0</v>
      </c>
      <c r="K25" s="9">
        <f>Escort!P11</f>
        <v>0</v>
      </c>
      <c r="L25" s="9">
        <f>Escort!Q11</f>
        <v>0</v>
      </c>
      <c r="M25" s="9"/>
      <c r="N25" s="12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9"/>
      <c r="AA25">
        <f>EscortCoefficients!B33</f>
        <v>83</v>
      </c>
      <c r="AB25" t="str">
        <f>EscortCoefficients!C33</f>
        <v>wk-hhdas</v>
      </c>
      <c r="AC25" s="56">
        <f>EscortCoefficients!E33</f>
        <v>-1.4154841929999999</v>
      </c>
      <c r="AD25" s="57">
        <f si="0" t="shared"/>
        <v>-1.4154841929999999</v>
      </c>
      <c r="AE25">
        <f si="1" t="shared"/>
        <v>0</v>
      </c>
    </row>
    <row ht="14.65" r="26" spans="2:31" thickBot="1" x14ac:dyDescent="0.5">
      <c r="B26" s="43" t="s">
        <v>19</v>
      </c>
      <c r="C26" s="43">
        <f>SUM(C18:C25)</f>
        <v>1725.52845715288</v>
      </c>
      <c r="D26" s="43">
        <f ref="D26:F26" si="4" t="shared">SUM(D18:D25)</f>
        <v>37935.947390349684</v>
      </c>
      <c r="E26" s="43">
        <f si="4" t="shared"/>
        <v>7703.1279291783158</v>
      </c>
      <c r="F26" s="43">
        <f si="4" t="shared"/>
        <v>212235.85739710837</v>
      </c>
      <c r="H26" s="43" t="s">
        <v>19</v>
      </c>
      <c r="I26" s="43">
        <f>SUM(I18:I25)</f>
        <v>7996</v>
      </c>
      <c r="J26" s="43">
        <f ref="J26:L26" si="5" t="shared">SUM(J18:J25)</f>
        <v>41631</v>
      </c>
      <c r="K26" s="43">
        <f si="5" t="shared"/>
        <v>10414</v>
      </c>
      <c r="L26" s="43">
        <f si="5" t="shared"/>
        <v>179438</v>
      </c>
      <c r="M26" s="9"/>
      <c r="T26" s="9"/>
      <c r="AA26">
        <f>EscortCoefficients!B34</f>
        <v>-1</v>
      </c>
      <c r="AB26">
        <f>EscortCoefficients!C34</f>
        <v>0</v>
      </c>
      <c r="AC26" s="56">
        <f>EscortCoefficients!E34</f>
        <v>0</v>
      </c>
      <c r="AD26" s="57">
        <f ref="AD26" si="6" t="shared">_xlfn.IFNA(VLOOKUP(AA26,$T$31:$V$44,3,FALSE),AC26)</f>
        <v>0</v>
      </c>
      <c r="AE26">
        <f si="1" t="shared"/>
        <v>0</v>
      </c>
    </row>
    <row r="27" spans="2:31" x14ac:dyDescent="0.45">
      <c r="AC27" s="56"/>
      <c r="AD27" s="56"/>
    </row>
    <row r="28" spans="2:31" x14ac:dyDescent="0.45">
      <c r="F28" s="9"/>
      <c r="AC28" s="56"/>
      <c r="AD28" s="56"/>
    </row>
    <row ht="14.65" r="29" spans="2:31" thickBot="1" x14ac:dyDescent="0.5">
      <c r="B29" s="37" t="s">
        <v>267</v>
      </c>
      <c r="H29" s="37" t="s">
        <v>268</v>
      </c>
      <c r="N29" s="23" t="s">
        <v>257</v>
      </c>
      <c r="T29" t="s">
        <v>270</v>
      </c>
      <c r="AC29" s="56"/>
      <c r="AD29" s="56"/>
    </row>
    <row r="30" spans="2:31" x14ac:dyDescent="0.4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C30" s="56"/>
      <c r="AD30" s="56"/>
    </row>
    <row r="31" spans="2:31" x14ac:dyDescent="0.45">
      <c r="B31" s="9" t="s">
        <v>1</v>
      </c>
      <c r="C31" s="35">
        <f>$C18/C$26</f>
        <v>0</v>
      </c>
      <c r="D31" s="35">
        <f>$D18/D$26</f>
        <v>6.9554190348654924E-3</v>
      </c>
      <c r="E31" s="35">
        <f>$E18/E$26</f>
        <v>0</v>
      </c>
      <c r="F31" s="35">
        <f>$F18/F$26</f>
        <v>2.246483163309286E-2</v>
      </c>
      <c r="H31" s="9" t="s">
        <v>1</v>
      </c>
      <c r="I31" s="26">
        <f>$I18/I$26</f>
        <v>0</v>
      </c>
      <c r="J31" s="26">
        <f>$J18/J$26</f>
        <v>4.7560711969445845E-3</v>
      </c>
      <c r="K31" s="26">
        <f>$K18/K$26</f>
        <v>1.7284424812752065E-3</v>
      </c>
      <c r="L31" s="26">
        <f>$L18/L$26</f>
        <v>2.0603216709949954E-2</v>
      </c>
      <c r="M31" s="26"/>
      <c r="N31" s="9" t="s">
        <v>1</v>
      </c>
      <c r="O31" s="40" t="str">
        <f ref="O31:R38" si="7" t="shared">IF(O18="","-",C31/I31)</f>
        <v>-</v>
      </c>
      <c r="P31" s="40">
        <f si="7" t="shared"/>
        <v>1.4624295446489157</v>
      </c>
      <c r="Q31" s="40" t="str">
        <f si="7" t="shared"/>
        <v>-</v>
      </c>
      <c r="R31" s="40">
        <f si="7" t="shared"/>
        <v>1.0903555473570239</v>
      </c>
      <c r="T31">
        <v>30</v>
      </c>
      <c r="U31" t="str">
        <f ref="U31:U44" si="8" t="shared">VLOOKUP(T31,$AA$3:$AB$48,2,FALSE)</f>
        <v>s3-const</v>
      </c>
      <c r="V31" s="30">
        <f>R81</f>
        <v>-2.5294772769919769</v>
      </c>
      <c r="AC31" s="56"/>
      <c r="AD31" s="56"/>
    </row>
    <row r="32" spans="2:31" x14ac:dyDescent="0.45">
      <c r="B32" s="9" t="s">
        <v>2</v>
      </c>
      <c r="C32" s="35">
        <f ref="C32:C38" si="9" t="shared">$C19/C$26</f>
        <v>8.9351782680925605E-3</v>
      </c>
      <c r="D32" s="35">
        <f ref="D32:D38" si="10" t="shared">$D19/D$26</f>
        <v>0.52402102153081531</v>
      </c>
      <c r="E32" s="35">
        <f ref="E32:E39" si="11" t="shared">$E19/E$26</f>
        <v>0.70570631780306836</v>
      </c>
      <c r="F32" s="35">
        <f ref="F32:F39" si="12" t="shared">$F19/F$26</f>
        <v>0.4885709418044466</v>
      </c>
      <c r="H32" s="9" t="s">
        <v>2</v>
      </c>
      <c r="I32" s="26">
        <f ref="I32:I38" si="13" t="shared">$I19/I$26</f>
        <v>8.9794897448724362E-2</v>
      </c>
      <c r="J32" s="26">
        <f ref="J32:J38" si="14" t="shared">$J19/J$26</f>
        <v>0.54430592587254689</v>
      </c>
      <c r="K32" s="26">
        <f ref="K32:K38" si="15" t="shared">$K19/K$26</f>
        <v>0.54849241405799887</v>
      </c>
      <c r="L32" s="26">
        <f ref="L32:L39" si="16" t="shared">$L19/L$26</f>
        <v>0.48367124020553059</v>
      </c>
      <c r="M32" s="26"/>
      <c r="N32" s="9" t="s">
        <v>2</v>
      </c>
      <c r="O32" s="59">
        <f>IF(O19="","-",(C32+C33)/(I32+I33))</f>
        <v>0.83840632032640106</v>
      </c>
      <c r="P32" s="60">
        <f>IF(P19="","-",(D32)/(J32))</f>
        <v>0.96273253077446486</v>
      </c>
      <c r="Q32" s="41" t="str">
        <f si="7" t="shared"/>
        <v>-</v>
      </c>
      <c r="R32" s="41">
        <f si="7" t="shared"/>
        <v>1.0101302314291707</v>
      </c>
      <c r="T32">
        <v>36</v>
      </c>
      <c r="U32" t="str">
        <f si="8" t="shared"/>
        <v>s3-nocars</v>
      </c>
      <c r="V32" s="30">
        <f>O81</f>
        <v>1.4574897382180001</v>
      </c>
      <c r="AC32" s="56"/>
      <c r="AD32" s="56"/>
    </row>
    <row r="33" spans="2:30" x14ac:dyDescent="0.45">
      <c r="B33" s="9" t="s">
        <v>3</v>
      </c>
      <c r="C33" s="35">
        <f si="9" t="shared"/>
        <v>0.68047472119990238</v>
      </c>
      <c r="D33" s="35">
        <f si="10" t="shared"/>
        <v>0.42870843870997871</v>
      </c>
      <c r="E33" s="35">
        <f si="11" t="shared"/>
        <v>0.27742900972004308</v>
      </c>
      <c r="F33" s="35">
        <f si="12" t="shared"/>
        <v>0.46068115954153027</v>
      </c>
      <c r="H33" s="9" t="s">
        <v>3</v>
      </c>
      <c r="I33" s="26">
        <f si="13" t="shared"/>
        <v>0.73249124562281143</v>
      </c>
      <c r="J33" s="26">
        <f si="14" t="shared"/>
        <v>0.41966323172635778</v>
      </c>
      <c r="K33" s="26">
        <f si="15" t="shared"/>
        <v>0.41415402342999807</v>
      </c>
      <c r="L33" s="26">
        <f si="16" t="shared"/>
        <v>0.46917040983515196</v>
      </c>
      <c r="M33" s="26"/>
      <c r="N33" s="9" t="s">
        <v>3</v>
      </c>
      <c r="O33" s="41">
        <f si="7" t="shared"/>
        <v>0.92898683126420001</v>
      </c>
      <c r="P33" s="41">
        <f si="7" t="shared"/>
        <v>1.021553489321454</v>
      </c>
      <c r="Q33" s="41" t="str">
        <f si="7" t="shared"/>
        <v>-</v>
      </c>
      <c r="R33" s="41">
        <f si="7" t="shared"/>
        <v>0.98190582757210865</v>
      </c>
      <c r="T33">
        <v>37</v>
      </c>
      <c r="U33" t="str">
        <f si="8" t="shared"/>
        <v>s3-carsltd</v>
      </c>
      <c r="V33" s="30">
        <f>P81</f>
        <v>-0.271572152663</v>
      </c>
      <c r="AC33" s="56"/>
      <c r="AD33" s="56"/>
    </row>
    <row r="34" spans="2:30" x14ac:dyDescent="0.45">
      <c r="B34" s="9" t="s">
        <v>4</v>
      </c>
      <c r="C34" s="35">
        <f si="9" t="shared"/>
        <v>0</v>
      </c>
      <c r="D34" s="35">
        <f si="10" t="shared"/>
        <v>0</v>
      </c>
      <c r="E34" s="35">
        <f si="11" t="shared"/>
        <v>0</v>
      </c>
      <c r="F34" s="35">
        <f si="12" t="shared"/>
        <v>0</v>
      </c>
      <c r="H34" s="9" t="s">
        <v>4</v>
      </c>
      <c r="I34" s="26">
        <f si="13" t="shared"/>
        <v>0</v>
      </c>
      <c r="J34" s="26">
        <f si="14" t="shared"/>
        <v>0</v>
      </c>
      <c r="K34" s="26">
        <f si="15" t="shared"/>
        <v>0</v>
      </c>
      <c r="L34" s="26">
        <f si="16" t="shared"/>
        <v>0</v>
      </c>
      <c r="M34" s="26"/>
      <c r="N34" s="9" t="s">
        <v>4</v>
      </c>
      <c r="O34" s="41" t="str">
        <f si="7" t="shared"/>
        <v>-</v>
      </c>
      <c r="P34" s="41" t="str">
        <f si="7" t="shared"/>
        <v>-</v>
      </c>
      <c r="Q34" s="41" t="str">
        <f si="7" t="shared"/>
        <v>-</v>
      </c>
      <c r="R34" s="41" t="str">
        <f si="7" t="shared"/>
        <v>-</v>
      </c>
      <c r="T34">
        <v>40</v>
      </c>
      <c r="U34" t="str">
        <f si="8" t="shared"/>
        <v>s2-const</v>
      </c>
      <c r="V34" s="30">
        <f>R80</f>
        <v>-1.6328647837770582</v>
      </c>
      <c r="AC34" s="56"/>
      <c r="AD34" s="56"/>
    </row>
    <row r="35" spans="2:30" x14ac:dyDescent="0.45">
      <c r="B35" s="9" t="s">
        <v>5</v>
      </c>
      <c r="C35" s="35">
        <f si="9" t="shared"/>
        <v>0.18213176486759369</v>
      </c>
      <c r="D35" s="35">
        <f si="10" t="shared"/>
        <v>0</v>
      </c>
      <c r="E35" s="35">
        <f si="11" t="shared"/>
        <v>0</v>
      </c>
      <c r="F35" s="35">
        <f si="12" t="shared"/>
        <v>2.8112626626088121E-3</v>
      </c>
      <c r="H35" s="9" t="s">
        <v>5</v>
      </c>
      <c r="I35" s="26">
        <f si="13" t="shared"/>
        <v>0</v>
      </c>
      <c r="J35" s="26">
        <f si="14" t="shared"/>
        <v>0</v>
      </c>
      <c r="K35" s="26">
        <f si="15" t="shared"/>
        <v>0</v>
      </c>
      <c r="L35" s="26">
        <f si="16" t="shared"/>
        <v>0</v>
      </c>
      <c r="M35" s="26"/>
      <c r="N35" s="9" t="s">
        <v>5</v>
      </c>
      <c r="O35" s="41" t="str">
        <f si="7" t="shared"/>
        <v>-</v>
      </c>
      <c r="P35" s="41" t="str">
        <f si="7" t="shared"/>
        <v>-</v>
      </c>
      <c r="Q35" s="41" t="str">
        <f si="7" t="shared"/>
        <v>-</v>
      </c>
      <c r="R35" s="41" t="str">
        <f si="7" t="shared"/>
        <v>-</v>
      </c>
      <c r="T35">
        <v>41</v>
      </c>
      <c r="U35" t="str">
        <f si="8" t="shared"/>
        <v>sr-nocars</v>
      </c>
      <c r="V35" s="30">
        <f>O80</f>
        <v>-6.1146910156400001</v>
      </c>
      <c r="AC35" s="56"/>
      <c r="AD35" s="56"/>
    </row>
    <row r="36" spans="2:30" x14ac:dyDescent="0.45">
      <c r="B36" s="9" t="s">
        <v>6</v>
      </c>
      <c r="C36" s="35">
        <f si="9" t="shared"/>
        <v>0</v>
      </c>
      <c r="D36" s="35">
        <f si="10" t="shared"/>
        <v>0</v>
      </c>
      <c r="E36" s="35">
        <f si="11" t="shared"/>
        <v>0</v>
      </c>
      <c r="F36" s="35">
        <f si="12" t="shared"/>
        <v>0</v>
      </c>
      <c r="H36" s="9" t="s">
        <v>6</v>
      </c>
      <c r="I36" s="26">
        <f si="13" t="shared"/>
        <v>5.2526263131565783E-2</v>
      </c>
      <c r="J36" s="26">
        <f si="14" t="shared"/>
        <v>4.0834954721241385E-4</v>
      </c>
      <c r="K36" s="26">
        <f si="15" t="shared"/>
        <v>1.9204916458613405E-4</v>
      </c>
      <c r="L36" s="26">
        <f si="16" t="shared"/>
        <v>2.4688193136347932E-3</v>
      </c>
      <c r="M36" s="26"/>
      <c r="N36" s="9" t="s">
        <v>6</v>
      </c>
      <c r="O36" s="41">
        <f si="7" t="shared"/>
        <v>0</v>
      </c>
      <c r="P36" s="41">
        <f>IFERROR(IF(P23="","-",D36/J36),0)</f>
        <v>0</v>
      </c>
      <c r="Q36" s="41" t="str">
        <f si="7" t="shared"/>
        <v>-</v>
      </c>
      <c r="R36" s="41">
        <f si="7" t="shared"/>
        <v>0</v>
      </c>
      <c r="T36">
        <v>42</v>
      </c>
      <c r="U36" t="str">
        <f si="8" t="shared"/>
        <v>sr-carsltd</v>
      </c>
      <c r="V36" s="30">
        <f>P80</f>
        <v>0.121738261781</v>
      </c>
      <c r="AC36" s="56"/>
      <c r="AD36" s="56"/>
    </row>
    <row r="37" spans="2:30" x14ac:dyDescent="0.45">
      <c r="B37" s="9" t="s">
        <v>7</v>
      </c>
      <c r="C37" s="35">
        <f si="9" t="shared"/>
        <v>0.12845833566441142</v>
      </c>
      <c r="D37" s="35">
        <f si="10" t="shared"/>
        <v>4.0315120724340597E-2</v>
      </c>
      <c r="E37" s="35">
        <f si="11" t="shared"/>
        <v>1.6864672476888439E-2</v>
      </c>
      <c r="F37" s="35">
        <f si="12" t="shared"/>
        <v>2.5471804358321457E-2</v>
      </c>
      <c r="H37" s="9" t="s">
        <v>7</v>
      </c>
      <c r="I37" s="26">
        <f si="13" t="shared"/>
        <v>0.12518759379689845</v>
      </c>
      <c r="J37" s="26">
        <f si="14" t="shared"/>
        <v>3.0866421656938339E-2</v>
      </c>
      <c r="K37" s="26">
        <f si="15" t="shared"/>
        <v>3.5433070866141732E-2</v>
      </c>
      <c r="L37" s="26">
        <f si="16" t="shared"/>
        <v>2.4086313935732677E-2</v>
      </c>
      <c r="M37" s="26"/>
      <c r="N37" s="9" t="s">
        <v>7</v>
      </c>
      <c r="O37" s="41">
        <f si="7" t="shared"/>
        <v>1.0261267252473862</v>
      </c>
      <c r="P37" s="41">
        <f si="7" t="shared"/>
        <v>1.3061157905642207</v>
      </c>
      <c r="Q37" s="41" t="str">
        <f si="7" t="shared"/>
        <v>-</v>
      </c>
      <c r="R37" s="41">
        <f>IF(R24="","-",F37/L37)</f>
        <v>1.0575218950598069</v>
      </c>
      <c r="T37">
        <v>50</v>
      </c>
      <c r="U37" t="str">
        <f si="8" t="shared"/>
        <v>da-const</v>
      </c>
      <c r="V37" s="30">
        <f>R79</f>
        <v>-9.3364133918616155</v>
      </c>
      <c r="AC37" s="56"/>
      <c r="AD37" s="56"/>
    </row>
    <row r="38" spans="2:30" x14ac:dyDescent="0.45">
      <c r="B38" s="12" t="s">
        <v>8</v>
      </c>
      <c r="C38" s="35">
        <f si="9" t="shared"/>
        <v>0</v>
      </c>
      <c r="D38" s="35">
        <f si="10" t="shared"/>
        <v>0</v>
      </c>
      <c r="E38" s="35">
        <f si="11" t="shared"/>
        <v>0</v>
      </c>
      <c r="F38" s="35">
        <f si="12" t="shared"/>
        <v>0</v>
      </c>
      <c r="H38" s="12" t="s">
        <v>8</v>
      </c>
      <c r="I38" s="26">
        <f si="13" t="shared"/>
        <v>0</v>
      </c>
      <c r="J38" s="26">
        <f si="14" t="shared"/>
        <v>0</v>
      </c>
      <c r="K38" s="26">
        <f si="15" t="shared"/>
        <v>0</v>
      </c>
      <c r="L38" s="26">
        <f si="16" t="shared"/>
        <v>0</v>
      </c>
      <c r="M38" s="26"/>
      <c r="N38" s="12" t="s">
        <v>8</v>
      </c>
      <c r="O38" s="42" t="str">
        <f si="7" t="shared"/>
        <v>-</v>
      </c>
      <c r="P38" s="42" t="str">
        <f si="7" t="shared"/>
        <v>-</v>
      </c>
      <c r="Q38" s="42" t="str">
        <f si="7" t="shared"/>
        <v>-</v>
      </c>
      <c r="R38" s="42" t="str">
        <f si="7" t="shared"/>
        <v>-</v>
      </c>
      <c r="T38">
        <v>52</v>
      </c>
      <c r="U38" t="str">
        <f si="8" t="shared"/>
        <v>da-carsltd</v>
      </c>
      <c r="V38" s="30">
        <f>P79</f>
        <v>-1.2907770727600001</v>
      </c>
      <c r="AC38" s="56"/>
      <c r="AD38" s="56"/>
    </row>
    <row ht="14.65" r="39" spans="2:30" thickBot="1" x14ac:dyDescent="0.5">
      <c r="B39" s="43" t="s">
        <v>19</v>
      </c>
      <c r="C39" s="44">
        <f>SUM(C31:C38)</f>
        <v>1</v>
      </c>
      <c r="D39" s="44">
        <f ref="D39" si="17" t="shared">SUM(D31:D38)</f>
        <v>1.0000000000000002</v>
      </c>
      <c r="E39" s="44">
        <f si="11" t="shared"/>
        <v>1</v>
      </c>
      <c r="F39" s="44">
        <f si="12" t="shared"/>
        <v>1</v>
      </c>
      <c r="H39" s="43" t="s">
        <v>19</v>
      </c>
      <c r="I39" s="45">
        <f>SUM(I31:I38)</f>
        <v>1</v>
      </c>
      <c r="J39" s="45">
        <f ref="J39:K39" si="18" t="shared">SUM(J31:J38)</f>
        <v>0.99999999999999989</v>
      </c>
      <c r="K39" s="45">
        <f si="18" t="shared"/>
        <v>1</v>
      </c>
      <c r="L39" s="45">
        <f si="16" t="shared"/>
        <v>1</v>
      </c>
      <c r="M39" s="26"/>
      <c r="N39" s="9" t="s">
        <v>272</v>
      </c>
      <c r="T39">
        <v>60</v>
      </c>
      <c r="U39" t="str">
        <f si="8" t="shared"/>
        <v>bi-const</v>
      </c>
      <c r="V39" s="30">
        <f>R84</f>
        <v>-15</v>
      </c>
      <c r="AC39" s="56"/>
      <c r="AD39" s="56"/>
    </row>
    <row r="40" spans="2:30" x14ac:dyDescent="0.45">
      <c r="T40">
        <v>67</v>
      </c>
      <c r="U40" t="str">
        <f si="8" t="shared"/>
        <v>bi-nocars</v>
      </c>
      <c r="V40" s="30">
        <f>O84</f>
        <v>0</v>
      </c>
      <c r="AC40" s="56"/>
      <c r="AD40" s="56"/>
    </row>
    <row r="41" spans="2:30" x14ac:dyDescent="0.45">
      <c r="T41">
        <v>68</v>
      </c>
      <c r="U41" t="str">
        <f si="8" t="shared"/>
        <v>bi-carsltd</v>
      </c>
      <c r="V41" s="30">
        <f>P84</f>
        <v>0</v>
      </c>
      <c r="AC41" s="56"/>
      <c r="AD41" s="56"/>
    </row>
    <row ht="14.65" r="42" spans="2:30" thickBot="1" x14ac:dyDescent="0.5">
      <c r="N42" s="23" t="s">
        <v>269</v>
      </c>
      <c r="T42">
        <v>70</v>
      </c>
      <c r="U42" t="str">
        <f si="8" t="shared"/>
        <v>wk-const</v>
      </c>
      <c r="V42" s="30">
        <f>R85</f>
        <v>-1.618250526075949E-2</v>
      </c>
      <c r="AC42" s="56"/>
      <c r="AD42" s="56"/>
    </row>
    <row r="43" spans="2:30" x14ac:dyDescent="0.4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77</v>
      </c>
      <c r="U43" t="str">
        <f si="8" t="shared"/>
        <v>wk-nocars</v>
      </c>
      <c r="V43" s="30">
        <f>O85</f>
        <v>1.2149093918210001</v>
      </c>
      <c r="AC43" s="56"/>
      <c r="AD43" s="56"/>
    </row>
    <row r="44" spans="2:30" x14ac:dyDescent="0.45">
      <c r="N44" s="9" t="s">
        <v>1</v>
      </c>
      <c r="O44" s="51" t="str">
        <f ref="O44:R51" si="19" t="shared">IF(O18="","-",IF(O31&gt;0,LN(O31),0))</f>
        <v>-</v>
      </c>
      <c r="P44" s="51">
        <f si="19" t="shared"/>
        <v>0.38009912436440924</v>
      </c>
      <c r="Q44" s="51" t="str">
        <f si="19" t="shared"/>
        <v>-</v>
      </c>
      <c r="R44" s="51">
        <f si="19" t="shared"/>
        <v>8.6503833288385165E-2</v>
      </c>
      <c r="T44" s="6">
        <v>78</v>
      </c>
      <c r="U44" s="6" t="str">
        <f si="8" t="shared"/>
        <v>wk-carsltd</v>
      </c>
      <c r="V44" s="55">
        <f>P85</f>
        <v>1.650016479871</v>
      </c>
      <c r="AC44" s="56"/>
      <c r="AD44" s="56"/>
    </row>
    <row r="45" spans="2:30" x14ac:dyDescent="0.45">
      <c r="B45" s="23"/>
      <c r="N45" s="9" t="s">
        <v>2</v>
      </c>
      <c r="O45" s="52">
        <f si="19" t="shared"/>
        <v>-0.17625242688652096</v>
      </c>
      <c r="P45" s="52">
        <f si="19" t="shared"/>
        <v>-3.797965158343429E-2</v>
      </c>
      <c r="Q45" s="52" t="str">
        <f si="19" t="shared"/>
        <v>-</v>
      </c>
      <c r="R45" s="52">
        <f si="19" t="shared"/>
        <v>1.0079264549941649E-2</v>
      </c>
      <c r="AC45" s="56"/>
      <c r="AD45" s="56"/>
    </row>
    <row r="46" spans="2:30" x14ac:dyDescent="0.45">
      <c r="C46" s="11"/>
      <c r="D46" s="11"/>
      <c r="E46" s="11"/>
      <c r="N46" s="9" t="s">
        <v>3</v>
      </c>
      <c r="O46" s="52">
        <f si="19" t="shared"/>
        <v>-7.3660715441856581E-2</v>
      </c>
      <c r="P46" s="52">
        <f si="19" t="shared"/>
        <v>2.1324497410692547E-2</v>
      </c>
      <c r="Q46" s="52" t="str">
        <f si="19" t="shared"/>
        <v>-</v>
      </c>
      <c r="R46" s="52">
        <f si="19" t="shared"/>
        <v>-1.8259873828976852E-2</v>
      </c>
      <c r="AC46" s="56"/>
      <c r="AD46" s="56"/>
    </row>
    <row r="47" spans="2:30" x14ac:dyDescent="0.45">
      <c r="B47" s="9"/>
      <c r="C47" s="11"/>
      <c r="D47" s="11"/>
      <c r="E47" s="11"/>
      <c r="N47" s="9" t="s">
        <v>4</v>
      </c>
      <c r="O47" s="52" t="str">
        <f si="19" t="shared"/>
        <v>-</v>
      </c>
      <c r="P47" s="52" t="str">
        <f si="19" t="shared"/>
        <v>-</v>
      </c>
      <c r="Q47" s="52" t="str">
        <f si="19" t="shared"/>
        <v>-</v>
      </c>
      <c r="R47" s="52" t="str">
        <f si="19" t="shared"/>
        <v>-</v>
      </c>
      <c r="AC47" s="56"/>
      <c r="AD47" s="56"/>
    </row>
    <row r="48" spans="2:30" x14ac:dyDescent="0.45">
      <c r="B48" s="9"/>
      <c r="C48" s="11"/>
      <c r="D48" s="11"/>
      <c r="E48" s="11"/>
      <c r="N48" s="9" t="s">
        <v>5</v>
      </c>
      <c r="O48" s="52" t="str">
        <f si="19" t="shared"/>
        <v>-</v>
      </c>
      <c r="P48" s="52" t="str">
        <f si="19" t="shared"/>
        <v>-</v>
      </c>
      <c r="Q48" s="52" t="str">
        <f si="19" t="shared"/>
        <v>-</v>
      </c>
      <c r="R48" s="52" t="str">
        <f si="19" t="shared"/>
        <v>-</v>
      </c>
      <c r="AC48" s="56"/>
      <c r="AD48" s="56"/>
    </row>
    <row r="49" spans="2:18" x14ac:dyDescent="0.45">
      <c r="B49" s="9"/>
      <c r="C49" s="11"/>
      <c r="D49" s="11"/>
      <c r="E49" s="11"/>
      <c r="N49" s="9" t="s">
        <v>6</v>
      </c>
      <c r="O49" s="52">
        <f si="19" t="shared"/>
        <v>0</v>
      </c>
      <c r="P49" s="52">
        <f si="19" t="shared"/>
        <v>0</v>
      </c>
      <c r="Q49" s="52" t="str">
        <f si="19" t="shared"/>
        <v>-</v>
      </c>
      <c r="R49" s="52">
        <f si="19" t="shared"/>
        <v>0</v>
      </c>
    </row>
    <row r="50" spans="2:18" x14ac:dyDescent="0.45">
      <c r="B50" s="9"/>
      <c r="C50" s="11"/>
      <c r="D50" s="11"/>
      <c r="E50" s="11"/>
      <c r="N50" s="9" t="s">
        <v>7</v>
      </c>
      <c r="O50" s="52">
        <f si="19" t="shared"/>
        <v>2.5791253007707134E-2</v>
      </c>
      <c r="P50" s="52">
        <f si="19" t="shared"/>
        <v>0.26705768738678259</v>
      </c>
      <c r="Q50" s="52" t="str">
        <f si="19" t="shared"/>
        <v>-</v>
      </c>
      <c r="R50" s="52">
        <f si="19" t="shared"/>
        <v>5.592833627224051E-2</v>
      </c>
    </row>
    <row r="51" spans="2:18" x14ac:dyDescent="0.45">
      <c r="B51" s="9"/>
      <c r="C51" s="11"/>
      <c r="D51" s="11"/>
      <c r="E51" s="11"/>
      <c r="N51" s="12" t="s">
        <v>8</v>
      </c>
      <c r="O51" s="53" t="str">
        <f si="19" t="shared"/>
        <v>-</v>
      </c>
      <c r="P51" s="53" t="str">
        <f si="19" t="shared"/>
        <v>-</v>
      </c>
      <c r="Q51" s="53" t="str">
        <f si="19" t="shared"/>
        <v>-</v>
      </c>
      <c r="R51" s="53" t="str">
        <f si="19" t="shared"/>
        <v>-</v>
      </c>
    </row>
    <row r="52" spans="2:18" x14ac:dyDescent="0.45">
      <c r="B52" s="9"/>
      <c r="C52" s="11"/>
      <c r="D52" s="11"/>
      <c r="E52" s="11"/>
    </row>
    <row r="53" spans="2:18" x14ac:dyDescent="0.45">
      <c r="B53" s="9"/>
      <c r="C53" s="11"/>
      <c r="D53" s="11"/>
      <c r="E53" s="11"/>
      <c r="P53" t="s">
        <v>259</v>
      </c>
    </row>
    <row ht="14.65" r="54" spans="2:18" thickBot="1" x14ac:dyDescent="0.5">
      <c r="B54" s="9"/>
      <c r="N54" s="23" t="s">
        <v>211</v>
      </c>
      <c r="O54" s="54">
        <v>0</v>
      </c>
      <c r="P54" s="54">
        <v>0</v>
      </c>
      <c r="Q54" s="54">
        <v>0</v>
      </c>
      <c r="R54" s="54">
        <v>1</v>
      </c>
    </row>
    <row r="55" spans="2:18" x14ac:dyDescent="0.45">
      <c r="B55" s="23"/>
      <c r="N55" s="2" t="s">
        <v>0</v>
      </c>
      <c r="O55" s="64" t="str">
        <f>O43</f>
        <v>nocars</v>
      </c>
      <c r="P55" s="64" t="str">
        <f>P43</f>
        <v>cars &lt; adults</v>
      </c>
      <c r="Q55" s="64" t="str">
        <f>Q43</f>
        <v>cars &lt; workers</v>
      </c>
      <c r="R55" s="64" t="str">
        <f>R43</f>
        <v>constant</v>
      </c>
    </row>
    <row r="56" spans="2:18" x14ac:dyDescent="0.45">
      <c r="C56" s="11"/>
      <c r="D56" s="11"/>
      <c r="E56" s="11"/>
      <c r="N56" s="9" t="s">
        <v>1</v>
      </c>
      <c r="O56" s="47" t="str">
        <f>IF(O18="","-",IF($R18="",$O$54*O44,$O$54*(O44)))</f>
        <v>-</v>
      </c>
      <c r="P56" s="47">
        <f ref="P56:P63" si="20" t="shared">IF(P18="","-",IF($R18="",$P$54*P44,$P$54*(P44)))</f>
        <v>0</v>
      </c>
      <c r="Q56" s="47" t="str">
        <f ref="Q56:Q63" si="21" t="shared">IF(Q18="","-",IF($R18="",$Q$54*Q44,$Q$54*(Q44)))</f>
        <v>-</v>
      </c>
      <c r="R56" s="47">
        <f ref="R56:R63" si="22" t="shared">IF(R18="","-",$R$54*R44)</f>
        <v>8.6503833288385165E-2</v>
      </c>
    </row>
    <row r="57" spans="2:18" x14ac:dyDescent="0.45">
      <c r="B57" s="9"/>
      <c r="C57" s="11"/>
      <c r="D57" s="11"/>
      <c r="E57" s="11"/>
      <c r="N57" s="9" t="s">
        <v>2</v>
      </c>
      <c r="O57" s="48">
        <f>IF(O19="","-",IF($R19="",$O$54*O45,$O$54*(O45)))</f>
        <v>0</v>
      </c>
      <c r="P57" s="48">
        <f si="20" t="shared"/>
        <v>0</v>
      </c>
      <c r="Q57" s="48" t="str">
        <f si="21" t="shared"/>
        <v>-</v>
      </c>
      <c r="R57" s="48">
        <f si="22" t="shared"/>
        <v>1.0079264549941649E-2</v>
      </c>
    </row>
    <row r="58" spans="2:18" x14ac:dyDescent="0.45">
      <c r="B58" s="9"/>
      <c r="C58" s="46"/>
      <c r="D58" s="46"/>
      <c r="E58" s="46"/>
      <c r="N58" s="9" t="s">
        <v>3</v>
      </c>
      <c r="O58" s="48">
        <f>IF(O20="","-",IF($R20="",$O$54*O46,$O$54*(O46-O57)))</f>
        <v>0</v>
      </c>
      <c r="P58" s="48">
        <f si="20" t="shared"/>
        <v>0</v>
      </c>
      <c r="Q58" s="48" t="str">
        <f si="21" t="shared"/>
        <v>-</v>
      </c>
      <c r="R58" s="48">
        <f si="22" t="shared"/>
        <v>-1.8259873828976852E-2</v>
      </c>
    </row>
    <row r="59" spans="2:18" x14ac:dyDescent="0.45">
      <c r="B59" s="9"/>
      <c r="C59" s="46"/>
      <c r="D59" s="46"/>
      <c r="E59" s="46"/>
      <c r="N59" s="9" t="s">
        <v>4</v>
      </c>
      <c r="O59" s="48" t="str">
        <f>IF(O21="","-",IF($R21="",$O$54*O47,$O$54*(O47)))</f>
        <v>-</v>
      </c>
      <c r="P59" s="48" t="str">
        <f si="20" t="shared"/>
        <v>-</v>
      </c>
      <c r="Q59" s="48" t="str">
        <f si="21" t="shared"/>
        <v>-</v>
      </c>
      <c r="R59" s="48" t="str">
        <f si="22" t="shared"/>
        <v>-</v>
      </c>
    </row>
    <row r="60" spans="2:18" x14ac:dyDescent="0.45">
      <c r="B60" s="9"/>
      <c r="C60" s="11"/>
      <c r="D60" s="11"/>
      <c r="E60" s="11"/>
      <c r="N60" s="9" t="s">
        <v>5</v>
      </c>
      <c r="O60" s="48" t="str">
        <f>IF(O22="","-",IF($R22="",$O$54*O48,$O$54*(O48)))</f>
        <v>-</v>
      </c>
      <c r="P60" s="48" t="str">
        <f si="20" t="shared"/>
        <v>-</v>
      </c>
      <c r="Q60" s="48" t="str">
        <f si="21" t="shared"/>
        <v>-</v>
      </c>
      <c r="R60" s="48" t="str">
        <f si="22" t="shared"/>
        <v>-</v>
      </c>
    </row>
    <row r="61" spans="2:18" x14ac:dyDescent="0.45">
      <c r="B61" s="9"/>
      <c r="C61" s="11"/>
      <c r="D61" s="11"/>
      <c r="E61" s="11"/>
      <c r="N61" s="9" t="s">
        <v>6</v>
      </c>
      <c r="O61" s="48">
        <f>IF(O23="","-",IF($R23="",$O$54*O49,$O$54*(O49)))</f>
        <v>0</v>
      </c>
      <c r="P61" s="48">
        <f si="20" t="shared"/>
        <v>0</v>
      </c>
      <c r="Q61" s="48" t="str">
        <f si="21" t="shared"/>
        <v>-</v>
      </c>
      <c r="R61" s="48">
        <f si="22" t="shared"/>
        <v>0</v>
      </c>
    </row>
    <row r="62" spans="2:18" x14ac:dyDescent="0.45">
      <c r="B62" s="9"/>
      <c r="C62" s="11"/>
      <c r="D62" s="11"/>
      <c r="E62" s="11"/>
      <c r="N62" s="9" t="s">
        <v>7</v>
      </c>
      <c r="O62" s="48">
        <f>IF(O24="","-",IF($R24="",$O$54*O50,$O$54*(O50)))</f>
        <v>0</v>
      </c>
      <c r="P62" s="48">
        <f si="20" t="shared"/>
        <v>0</v>
      </c>
      <c r="Q62" s="48" t="str">
        <f si="21" t="shared"/>
        <v>-</v>
      </c>
      <c r="R62" s="48">
        <f si="22" t="shared"/>
        <v>5.592833627224051E-2</v>
      </c>
    </row>
    <row r="63" spans="2:18" x14ac:dyDescent="0.45">
      <c r="B63" s="9"/>
      <c r="C63" s="11"/>
      <c r="D63" s="11"/>
      <c r="E63" s="11"/>
      <c r="N63" s="12" t="s">
        <v>8</v>
      </c>
      <c r="O63" s="49" t="str">
        <f>IF(O25="","-",IF($R25="",$O$54*O51,$O$54*(O51)))</f>
        <v>-</v>
      </c>
      <c r="P63" s="49" t="str">
        <f si="20" t="shared"/>
        <v>-</v>
      </c>
      <c r="Q63" s="49" t="str">
        <f si="21" t="shared"/>
        <v>-</v>
      </c>
      <c r="R63" s="49" t="str">
        <f si="22" t="shared"/>
        <v>-</v>
      </c>
    </row>
    <row r="64" spans="2:18" x14ac:dyDescent="0.45">
      <c r="B64" s="9"/>
      <c r="C64" s="11"/>
      <c r="D64" s="11"/>
      <c r="E64" s="11"/>
      <c r="N64" s="9" t="s">
        <v>273</v>
      </c>
    </row>
    <row r="65" spans="2:18" x14ac:dyDescent="0.45">
      <c r="B65" s="9"/>
      <c r="C65" s="11"/>
      <c r="D65" s="11"/>
      <c r="E65" s="11"/>
    </row>
    <row ht="14.65" r="66" spans="2:18" thickBot="1" x14ac:dyDescent="0.5">
      <c r="N66" s="37" t="s">
        <v>212</v>
      </c>
    </row>
    <row r="67" spans="2:18" x14ac:dyDescent="0.45">
      <c r="B67" s="23"/>
      <c r="N67" s="2" t="s">
        <v>0</v>
      </c>
      <c r="O67" s="39" t="str">
        <f>O43</f>
        <v>nocars</v>
      </c>
      <c r="P67" s="39" t="str">
        <f>P43</f>
        <v>cars &lt; adults</v>
      </c>
      <c r="Q67" s="39" t="str">
        <f>Q43</f>
        <v>cars &lt; workers</v>
      </c>
      <c r="R67" s="39" t="str">
        <f>R43</f>
        <v>constant</v>
      </c>
    </row>
    <row r="68" spans="2:18" x14ac:dyDescent="0.45">
      <c r="C68" s="11"/>
      <c r="D68" s="11"/>
      <c r="E68" s="11"/>
      <c r="N68" s="9" t="s">
        <v>1</v>
      </c>
      <c r="O68" s="47" t="str">
        <f ref="O68:R75" si="23" t="shared">IFERROR(VLOOKUP(O18,$AA$3:$AC$48,3,FALSE),"-")</f>
        <v>-</v>
      </c>
      <c r="P68" s="47">
        <f si="23" t="shared"/>
        <v>-1.2907770727600001</v>
      </c>
      <c r="Q68" s="47" t="str">
        <f si="23" t="shared"/>
        <v>-</v>
      </c>
      <c r="R68" s="47">
        <f si="23" t="shared"/>
        <v>-9.42291722515</v>
      </c>
    </row>
    <row r="69" spans="2:18" x14ac:dyDescent="0.45">
      <c r="B69" s="9"/>
      <c r="C69" s="11"/>
      <c r="D69" s="11"/>
      <c r="E69" s="11"/>
      <c r="N69" s="9" t="s">
        <v>2</v>
      </c>
      <c r="O69" s="48">
        <f si="23" t="shared"/>
        <v>-6.1146910156400001</v>
      </c>
      <c r="P69" s="48">
        <f si="23" t="shared"/>
        <v>0.121738261781</v>
      </c>
      <c r="Q69" s="48" t="str">
        <f si="23" t="shared"/>
        <v>-</v>
      </c>
      <c r="R69" s="48">
        <f si="23" t="shared"/>
        <v>-1.6429440483269999</v>
      </c>
    </row>
    <row r="70" spans="2:18" x14ac:dyDescent="0.45">
      <c r="B70" s="9"/>
      <c r="C70" s="46"/>
      <c r="D70" s="11"/>
      <c r="E70" s="11"/>
      <c r="N70" s="9" t="s">
        <v>3</v>
      </c>
      <c r="O70" s="48">
        <f si="23" t="shared"/>
        <v>1.4574897382180001</v>
      </c>
      <c r="P70" s="48">
        <f si="23" t="shared"/>
        <v>-0.271572152663</v>
      </c>
      <c r="Q70" s="48" t="str">
        <f si="23" t="shared"/>
        <v>-</v>
      </c>
      <c r="R70" s="48">
        <f si="23" t="shared"/>
        <v>-2.5112174031630001</v>
      </c>
    </row>
    <row r="71" spans="2:18" x14ac:dyDescent="0.45">
      <c r="B71" s="9"/>
      <c r="C71" s="46"/>
      <c r="D71" s="11"/>
      <c r="E71" s="11"/>
      <c r="N71" s="9" t="s">
        <v>4</v>
      </c>
      <c r="O71" s="48" t="str">
        <f si="23" t="shared"/>
        <v>-</v>
      </c>
      <c r="P71" s="48" t="str">
        <f si="23" t="shared"/>
        <v>-</v>
      </c>
      <c r="Q71" s="48" t="str">
        <f si="23" t="shared"/>
        <v>-</v>
      </c>
      <c r="R71" s="48" t="str">
        <f si="23" t="shared"/>
        <v>-</v>
      </c>
    </row>
    <row r="72" spans="2:18" x14ac:dyDescent="0.45">
      <c r="B72" s="9"/>
      <c r="C72" s="11"/>
      <c r="D72" s="11"/>
      <c r="E72" s="11"/>
      <c r="N72" s="9" t="s">
        <v>5</v>
      </c>
      <c r="O72" s="48" t="str">
        <f si="23" t="shared"/>
        <v>-</v>
      </c>
      <c r="P72" s="48" t="str">
        <f si="23" t="shared"/>
        <v>-</v>
      </c>
      <c r="Q72" s="48" t="str">
        <f si="23" t="shared"/>
        <v>-</v>
      </c>
      <c r="R72" s="48" t="str">
        <f si="23" t="shared"/>
        <v>-</v>
      </c>
    </row>
    <row r="73" spans="2:18" x14ac:dyDescent="0.45">
      <c r="B73" s="9"/>
      <c r="C73" s="11"/>
      <c r="D73" s="11"/>
      <c r="E73" s="11"/>
      <c r="N73" s="9" t="s">
        <v>6</v>
      </c>
      <c r="O73" s="48">
        <f si="23" t="shared"/>
        <v>0</v>
      </c>
      <c r="P73" s="48">
        <f si="23" t="shared"/>
        <v>0</v>
      </c>
      <c r="Q73" s="48" t="str">
        <f si="23" t="shared"/>
        <v>-</v>
      </c>
      <c r="R73" s="48">
        <f si="23" t="shared"/>
        <v>-15</v>
      </c>
    </row>
    <row r="74" spans="2:18" x14ac:dyDescent="0.45">
      <c r="B74" s="9"/>
      <c r="C74" s="11"/>
      <c r="D74" s="11"/>
      <c r="E74" s="11"/>
      <c r="N74" s="9" t="s">
        <v>7</v>
      </c>
      <c r="O74" s="48">
        <f si="23" t="shared"/>
        <v>1.2149093918210001</v>
      </c>
      <c r="P74" s="48">
        <f si="23" t="shared"/>
        <v>1.650016479871</v>
      </c>
      <c r="Q74" s="48" t="str">
        <f si="23" t="shared"/>
        <v>-</v>
      </c>
      <c r="R74" s="48">
        <f si="23" t="shared"/>
        <v>-7.2110841533E-2</v>
      </c>
    </row>
    <row r="75" spans="2:18" x14ac:dyDescent="0.45">
      <c r="B75" s="9"/>
      <c r="C75" s="11"/>
      <c r="D75" s="11"/>
      <c r="E75" s="11"/>
      <c r="N75" s="12" t="s">
        <v>8</v>
      </c>
      <c r="O75" s="49" t="str">
        <f si="23" t="shared"/>
        <v>-</v>
      </c>
      <c r="P75" s="49" t="str">
        <f si="23" t="shared"/>
        <v>-</v>
      </c>
      <c r="Q75" s="49" t="str">
        <f si="23" t="shared"/>
        <v>-</v>
      </c>
      <c r="R75" s="49" t="str">
        <f si="23" t="shared"/>
        <v>-</v>
      </c>
    </row>
    <row r="76" spans="2:18" x14ac:dyDescent="0.45">
      <c r="B76" s="9"/>
      <c r="C76" s="11"/>
      <c r="D76" s="11"/>
      <c r="E76" s="11"/>
    </row>
    <row ht="14.65" r="77" spans="2:18" thickBot="1" x14ac:dyDescent="0.5">
      <c r="B77" s="9"/>
      <c r="H77" s="5" t="s">
        <v>235</v>
      </c>
      <c r="N77" s="37" t="s">
        <v>213</v>
      </c>
    </row>
    <row r="78" spans="2:18" x14ac:dyDescent="0.45">
      <c r="H78" s="38" t="s">
        <v>0</v>
      </c>
      <c r="I78" s="39" t="s">
        <v>252</v>
      </c>
      <c r="J78" s="39" t="s">
        <v>247</v>
      </c>
      <c r="K78" s="39" t="s">
        <v>250</v>
      </c>
      <c r="L78" s="39" t="s">
        <v>253</v>
      </c>
      <c r="N78" s="2" t="s">
        <v>0</v>
      </c>
      <c r="O78" s="39" t="str">
        <f>O67</f>
        <v>nocars</v>
      </c>
      <c r="P78" s="39" t="str">
        <f>P67</f>
        <v>cars &lt; adults</v>
      </c>
      <c r="Q78" s="39" t="str">
        <f>Q67</f>
        <v>cars &lt; workers</v>
      </c>
      <c r="R78" s="39" t="str">
        <f>R67</f>
        <v>constant</v>
      </c>
    </row>
    <row r="79" spans="2:18" x14ac:dyDescent="0.45">
      <c r="H79" s="9" t="s">
        <v>1</v>
      </c>
      <c r="I79" s="11" t="str">
        <f ref="I79:L86" si="24" t="shared">IF(ISBLANK(O18),"",O18)</f>
        <v/>
      </c>
      <c r="J79" s="11">
        <f si="24" t="shared"/>
        <v>52</v>
      </c>
      <c r="K79" s="11" t="str">
        <f si="24" t="shared"/>
        <v/>
      </c>
      <c r="L79" s="11">
        <f si="24" t="shared"/>
        <v>50</v>
      </c>
      <c r="N79" s="9" t="s">
        <v>1</v>
      </c>
      <c r="O79" s="48" t="str">
        <f ref="O79:R86" si="25" t="shared">IF(O18="","-",O56+O68)</f>
        <v>-</v>
      </c>
      <c r="P79" s="48">
        <f si="25" t="shared"/>
        <v>-1.2907770727600001</v>
      </c>
      <c r="Q79" s="48" t="str">
        <f si="25" t="shared"/>
        <v>-</v>
      </c>
      <c r="R79" s="48">
        <f si="25" t="shared"/>
        <v>-9.3364133918616155</v>
      </c>
    </row>
    <row r="80" spans="2:18" x14ac:dyDescent="0.45">
      <c r="H80" s="9" t="s">
        <v>2</v>
      </c>
      <c r="I80" s="11">
        <f si="24" t="shared"/>
        <v>41</v>
      </c>
      <c r="J80" s="11">
        <f si="24" t="shared"/>
        <v>42</v>
      </c>
      <c r="K80" s="11" t="str">
        <f si="24" t="shared"/>
        <v/>
      </c>
      <c r="L80" s="11">
        <f si="24" t="shared"/>
        <v>40</v>
      </c>
      <c r="N80" s="9" t="s">
        <v>2</v>
      </c>
      <c r="O80" s="48">
        <f si="25" t="shared"/>
        <v>-6.1146910156400001</v>
      </c>
      <c r="P80" s="48">
        <f si="25" t="shared"/>
        <v>0.121738261781</v>
      </c>
      <c r="Q80" s="48" t="str">
        <f si="25" t="shared"/>
        <v>-</v>
      </c>
      <c r="R80" s="48">
        <f si="25" t="shared"/>
        <v>-1.6328647837770582</v>
      </c>
    </row>
    <row r="81" spans="8:18" x14ac:dyDescent="0.45">
      <c r="H81" s="9" t="s">
        <v>3</v>
      </c>
      <c r="I81" s="11">
        <f si="24" t="shared"/>
        <v>36</v>
      </c>
      <c r="J81" s="11">
        <f si="24" t="shared"/>
        <v>37</v>
      </c>
      <c r="K81" s="11" t="str">
        <f si="24" t="shared"/>
        <v/>
      </c>
      <c r="L81" s="11">
        <f si="24" t="shared"/>
        <v>30</v>
      </c>
      <c r="N81" s="9" t="s">
        <v>3</v>
      </c>
      <c r="O81" s="48">
        <f si="25" t="shared"/>
        <v>1.4574897382180001</v>
      </c>
      <c r="P81" s="48">
        <f si="25" t="shared"/>
        <v>-0.271572152663</v>
      </c>
      <c r="Q81" s="48" t="str">
        <f si="25" t="shared"/>
        <v>-</v>
      </c>
      <c r="R81" s="48">
        <f si="25" t="shared"/>
        <v>-2.5294772769919769</v>
      </c>
    </row>
    <row r="82" spans="8:18" x14ac:dyDescent="0.45">
      <c r="H82" s="9" t="s">
        <v>4</v>
      </c>
      <c r="I82" s="11" t="str">
        <f si="24" t="shared"/>
        <v/>
      </c>
      <c r="J82" s="11" t="str">
        <f si="24" t="shared"/>
        <v/>
      </c>
      <c r="K82" s="11" t="str">
        <f si="24" t="shared"/>
        <v/>
      </c>
      <c r="L82" s="11" t="str">
        <f si="24" t="shared"/>
        <v/>
      </c>
      <c r="N82" s="9" t="s">
        <v>4</v>
      </c>
      <c r="O82" s="48" t="str">
        <f si="25" t="shared"/>
        <v>-</v>
      </c>
      <c r="P82" s="48" t="str">
        <f si="25" t="shared"/>
        <v>-</v>
      </c>
      <c r="Q82" s="48" t="str">
        <f si="25" t="shared"/>
        <v>-</v>
      </c>
      <c r="R82" s="48" t="str">
        <f si="25" t="shared"/>
        <v>-</v>
      </c>
    </row>
    <row r="83" spans="8:18" x14ac:dyDescent="0.45">
      <c r="H83" s="9" t="s">
        <v>5</v>
      </c>
      <c r="I83" s="11" t="str">
        <f si="24" t="shared"/>
        <v/>
      </c>
      <c r="J83" s="11" t="str">
        <f si="24" t="shared"/>
        <v/>
      </c>
      <c r="K83" s="11" t="str">
        <f si="24" t="shared"/>
        <v/>
      </c>
      <c r="L83" s="11" t="str">
        <f si="24" t="shared"/>
        <v/>
      </c>
      <c r="N83" s="9" t="s">
        <v>5</v>
      </c>
      <c r="O83" s="48" t="str">
        <f si="25" t="shared"/>
        <v>-</v>
      </c>
      <c r="P83" s="48" t="str">
        <f si="25" t="shared"/>
        <v>-</v>
      </c>
      <c r="Q83" s="48" t="str">
        <f si="25" t="shared"/>
        <v>-</v>
      </c>
      <c r="R83" s="48" t="str">
        <f si="25" t="shared"/>
        <v>-</v>
      </c>
    </row>
    <row r="84" spans="8:18" x14ac:dyDescent="0.45">
      <c r="H84" s="9" t="s">
        <v>6</v>
      </c>
      <c r="I84" s="11">
        <f si="24" t="shared"/>
        <v>67</v>
      </c>
      <c r="J84" s="11">
        <f si="24" t="shared"/>
        <v>68</v>
      </c>
      <c r="K84" s="11" t="str">
        <f si="24" t="shared"/>
        <v/>
      </c>
      <c r="L84" s="11">
        <f si="24" t="shared"/>
        <v>60</v>
      </c>
      <c r="N84" s="9" t="s">
        <v>6</v>
      </c>
      <c r="O84" s="48">
        <f si="25" t="shared"/>
        <v>0</v>
      </c>
      <c r="P84" s="48">
        <f si="25" t="shared"/>
        <v>0</v>
      </c>
      <c r="Q84" s="48" t="str">
        <f si="25" t="shared"/>
        <v>-</v>
      </c>
      <c r="R84" s="48">
        <f si="25" t="shared"/>
        <v>-15</v>
      </c>
    </row>
    <row r="85" spans="8:18" x14ac:dyDescent="0.45">
      <c r="H85" s="9" t="s">
        <v>7</v>
      </c>
      <c r="I85" s="11">
        <f si="24" t="shared"/>
        <v>77</v>
      </c>
      <c r="J85" s="11">
        <f si="24" t="shared"/>
        <v>78</v>
      </c>
      <c r="K85" s="11" t="str">
        <f si="24" t="shared"/>
        <v/>
      </c>
      <c r="L85" s="11">
        <f si="24" t="shared"/>
        <v>70</v>
      </c>
      <c r="N85" s="9" t="s">
        <v>7</v>
      </c>
      <c r="O85" s="48">
        <f si="25" t="shared"/>
        <v>1.2149093918210001</v>
      </c>
      <c r="P85" s="48">
        <f si="25" t="shared"/>
        <v>1.650016479871</v>
      </c>
      <c r="Q85" s="48" t="str">
        <f si="25" t="shared"/>
        <v>-</v>
      </c>
      <c r="R85" s="48">
        <f si="25" t="shared"/>
        <v>-1.618250526075949E-2</v>
      </c>
    </row>
    <row r="86" spans="8:18" x14ac:dyDescent="0.45">
      <c r="H86" s="12" t="s">
        <v>8</v>
      </c>
      <c r="I86" s="7" t="str">
        <f si="24" t="shared"/>
        <v/>
      </c>
      <c r="J86" s="7" t="str">
        <f si="24" t="shared"/>
        <v/>
      </c>
      <c r="K86" s="7" t="str">
        <f si="24" t="shared"/>
        <v/>
      </c>
      <c r="L86" s="7" t="str">
        <f si="24" t="shared"/>
        <v/>
      </c>
      <c r="N86" s="12" t="s">
        <v>8</v>
      </c>
      <c r="O86" s="49" t="str">
        <f si="25" t="shared"/>
        <v>-</v>
      </c>
      <c r="P86" s="49" t="str">
        <f si="25" t="shared"/>
        <v>-</v>
      </c>
      <c r="Q86" s="49" t="str">
        <f si="25" t="shared"/>
        <v>-</v>
      </c>
      <c r="R86" s="49" t="str">
        <f si="25" t="shared"/>
        <v>-</v>
      </c>
    </row>
  </sheetData>
  <mergeCells count="2">
    <mergeCell ref="B15:F15"/>
    <mergeCell ref="H15:L15"/>
  </mergeCells>
  <conditionalFormatting sqref="AE3:AE26">
    <cfRule dxfId="11" operator="greaterThan" priority="4" type="cellIs">
      <formula>0</formula>
    </cfRule>
  </conditionalFormatting>
  <conditionalFormatting sqref="O32:P33 R31:R33 R36:R37 O36:P37 P31">
    <cfRule dxfId="10" operator="greaterThan" priority="3" type="cellIs">
      <formula>1.05</formula>
    </cfRule>
    <cfRule dxfId="9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3513019F-FC76-440E-A982-88AED22651EF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B050"/>
  </sheetPr>
  <dimension ref="B1:AF90"/>
  <sheetViews>
    <sheetView topLeftCell="A51" workbookViewId="0" zoomScaleNormal="100">
      <selection activeCell="R55" sqref="R55"/>
    </sheetView>
  </sheetViews>
  <sheetFormatPr defaultRowHeight="14.25" x14ac:dyDescent="0.45"/>
  <cols>
    <col min="2" max="2" bestFit="true" customWidth="true" width="14.1328125" collapsed="true"/>
    <col min="4" max="4" bestFit="true" customWidth="true" width="11.73046875" collapsed="true"/>
    <col min="5" max="5" bestFit="true" customWidth="true" width="13.59765625" collapsed="true"/>
    <col min="6" max="6" bestFit="true" customWidth="true" width="9.1328125" collapsed="true"/>
    <col min="8" max="8" bestFit="true" customWidth="true" width="14.1328125" collapsed="true"/>
    <col min="10" max="10" bestFit="true" customWidth="true" width="11.73046875" collapsed="true"/>
    <col min="11" max="11" bestFit="true" customWidth="true" width="13.59765625" collapsed="true"/>
    <col min="12" max="12" bestFit="true" customWidth="true" width="9.1328125" collapsed="true"/>
    <col min="13" max="13" width="9.1328125" collapsed="true"/>
    <col min="14" max="14" bestFit="true" customWidth="true" width="14.1328125" collapsed="true"/>
    <col min="15" max="15" bestFit="true" customWidth="true" width="9.265625" collapsed="true"/>
    <col min="16" max="16" bestFit="true" customWidth="true" width="12.0" collapsed="true"/>
    <col min="17" max="17" bestFit="true" customWidth="true" width="13.86328125" collapsed="true"/>
    <col min="18" max="18" bestFit="true" customWidth="true" width="9.265625" collapsed="true"/>
    <col min="20" max="20" customWidth="true" width="5.59765625" collapsed="true"/>
    <col min="21" max="21" customWidth="true" width="12.86328125" collapsed="true"/>
    <col min="22" max="22" bestFit="true" customWidth="true" width="11.73046875" collapsed="true"/>
    <col min="23" max="23" bestFit="true" customWidth="true" width="13.59765625" collapsed="true"/>
    <col min="28" max="28" bestFit="true" customWidth="true" width="11.0" collapsed="true"/>
    <col min="29" max="30" bestFit="true" customWidth="true" width="15.3984375" collapsed="true"/>
  </cols>
  <sheetData>
    <row r="1" spans="2:31" x14ac:dyDescent="0.45">
      <c r="T1" s="23" t="s">
        <v>184</v>
      </c>
      <c r="U1" s="32"/>
      <c r="V1" s="32"/>
      <c r="W1" s="32"/>
      <c r="X1" s="32"/>
      <c r="AA1" s="23" t="s">
        <v>184</v>
      </c>
    </row>
    <row r="2" spans="2:31" x14ac:dyDescent="0.4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4.65" r="3" spans="2:31" thickBot="1" x14ac:dyDescent="0.5">
      <c r="B3" s="23" t="s">
        <v>280</v>
      </c>
      <c r="T3">
        <v>1</v>
      </c>
      <c r="U3" s="33" t="s">
        <v>244</v>
      </c>
      <c r="W3" s="32"/>
      <c r="X3" s="32"/>
      <c r="AA3">
        <f>OtherCoefficients!B11</f>
        <v>1</v>
      </c>
      <c r="AB3" t="str">
        <f>OtherCoefficients!C11</f>
        <v>costutil</v>
      </c>
      <c r="AC3" s="56">
        <f>OtherCoefficients!E11</f>
        <v>0.37910550300000001</v>
      </c>
      <c r="AD3" s="57">
        <f>_xlfn.IFNA(VLOOKUP(AA3,$T$31:$V$50,3,FALSE),AC3)</f>
        <v>0.37910550300000001</v>
      </c>
      <c r="AE3">
        <f>IF(AC3=AD3,0,1)</f>
        <v>0</v>
      </c>
    </row>
    <row r="4" spans="2:31" x14ac:dyDescent="0.4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281</v>
      </c>
      <c r="W4" s="32"/>
      <c r="X4" s="32"/>
      <c r="AA4">
        <f>OtherCoefficients!B12</f>
        <v>2</v>
      </c>
      <c r="AB4" t="str">
        <f>OtherCoefficients!C12</f>
        <v>timeutil</v>
      </c>
      <c r="AC4" s="56">
        <f>OtherCoefficients!E12</f>
        <v>2.0186908849999998</v>
      </c>
      <c r="AD4" s="57">
        <f ref="AD4:AD55" si="0" t="shared">_xlfn.IFNA(VLOOKUP(AA4,$T$31:$V$50,3,FALSE),AC4)</f>
        <v>2.0186908849999998</v>
      </c>
      <c r="AE4">
        <f ref="AE4:AE57" si="1" t="shared">IF(AC4=AD4,0,1)</f>
        <v>0</v>
      </c>
    </row>
    <row r="5" spans="2:31" x14ac:dyDescent="0.45">
      <c r="B5" s="9" t="s">
        <v>1</v>
      </c>
      <c r="C5" s="11"/>
      <c r="D5" s="11">
        <v>52</v>
      </c>
      <c r="E5" s="11"/>
      <c r="F5" s="11">
        <v>50</v>
      </c>
      <c r="J5" s="9"/>
      <c r="N5" s="9"/>
      <c r="P5" s="9"/>
      <c r="T5">
        <v>3</v>
      </c>
      <c r="U5" s="32" t="s">
        <v>245</v>
      </c>
      <c r="V5" s="32"/>
      <c r="W5" s="32"/>
      <c r="X5" s="32"/>
      <c r="AA5">
        <f>OtherCoefficients!B13</f>
        <v>20</v>
      </c>
      <c r="AB5" t="str">
        <f>OtherCoefficients!C13</f>
        <v>wt-const</v>
      </c>
      <c r="AC5" s="56">
        <f>OtherCoefficients!E13</f>
        <v>-7.0570794522</v>
      </c>
      <c r="AD5" s="57">
        <f si="0" t="shared"/>
        <v>-7.0984691177951884</v>
      </c>
      <c r="AE5">
        <f si="1" t="shared"/>
        <v>1</v>
      </c>
    </row>
    <row r="6" spans="2:31" x14ac:dyDescent="0.45">
      <c r="B6" s="9" t="s">
        <v>2</v>
      </c>
      <c r="C6" s="11">
        <v>41</v>
      </c>
      <c r="D6" s="11"/>
      <c r="E6" s="11">
        <v>43</v>
      </c>
      <c r="F6" s="11">
        <v>40</v>
      </c>
      <c r="T6">
        <v>4</v>
      </c>
      <c r="U6" s="32" t="s">
        <v>237</v>
      </c>
      <c r="V6" s="32"/>
      <c r="W6" s="32"/>
      <c r="X6" s="32"/>
      <c r="AA6">
        <f>OtherCoefficients!B14</f>
        <v>21</v>
      </c>
      <c r="AB6" t="str">
        <f>OtherCoefficients!C14</f>
        <v>wt-nocars</v>
      </c>
      <c r="AC6" s="56">
        <f>OtherCoefficients!E14</f>
        <v>4.0065310419979996</v>
      </c>
      <c r="AD6" s="57">
        <f si="0" t="shared"/>
        <v>4.0065310419979996</v>
      </c>
      <c r="AE6">
        <f si="1" t="shared"/>
        <v>0</v>
      </c>
    </row>
    <row r="7" spans="2:31" x14ac:dyDescent="0.45">
      <c r="B7" s="9" t="s">
        <v>3</v>
      </c>
      <c r="C7" s="11" t="s">
        <v>254</v>
      </c>
      <c r="E7" s="11" t="s">
        <v>276</v>
      </c>
      <c r="F7" s="11">
        <v>30</v>
      </c>
      <c r="T7" s="32">
        <v>5</v>
      </c>
      <c r="U7" s="32" t="s">
        <v>238</v>
      </c>
      <c r="V7" s="32"/>
      <c r="W7" s="32"/>
      <c r="X7" s="32"/>
      <c r="AA7">
        <f>OtherCoefficients!B15</f>
        <v>22</v>
      </c>
      <c r="AB7" t="str">
        <f>OtherCoefficients!C15</f>
        <v>wt-carsltd</v>
      </c>
      <c r="AC7" s="56">
        <f>OtherCoefficients!E15</f>
        <v>8.4805857060999995E-2</v>
      </c>
      <c r="AD7" s="57">
        <f si="0" t="shared"/>
        <v>8.4805857060999995E-2</v>
      </c>
      <c r="AE7">
        <f si="1" t="shared"/>
        <v>0</v>
      </c>
    </row>
    <row r="8" spans="2:31" x14ac:dyDescent="0.4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OtherCoefficients!B16</f>
        <v>30</v>
      </c>
      <c r="AB8" t="str">
        <f>OtherCoefficients!C16</f>
        <v>s3-const</v>
      </c>
      <c r="AC8" s="56">
        <f>OtherCoefficients!E16</f>
        <v>-3.4827609567670001</v>
      </c>
      <c r="AD8" s="57">
        <f si="0" t="shared"/>
        <v>-3.5008801353367178</v>
      </c>
      <c r="AE8">
        <f si="1" t="shared"/>
        <v>1</v>
      </c>
    </row>
    <row r="9" spans="2:31" x14ac:dyDescent="0.4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>
        <f>OtherCoefficients!B17</f>
        <v>31</v>
      </c>
      <c r="AB9" t="str">
        <f>OtherCoefficients!C17</f>
        <v>sr-hhcu5</v>
      </c>
      <c r="AC9" s="56">
        <f>OtherCoefficients!E17</f>
        <v>0.59818794900000005</v>
      </c>
      <c r="AD9" s="57">
        <f si="0" t="shared"/>
        <v>0.59818794900000005</v>
      </c>
      <c r="AE9">
        <f si="1" t="shared"/>
        <v>0</v>
      </c>
    </row>
    <row r="10" spans="2:31" x14ac:dyDescent="0.4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OtherCoefficients!B18</f>
        <v>32</v>
      </c>
      <c r="AB10" t="str">
        <f>OtherCoefficients!C18</f>
        <v>sr-hh515</v>
      </c>
      <c r="AC10" s="56">
        <f>OtherCoefficients!E18</f>
        <v>0.12634611800000001</v>
      </c>
      <c r="AD10" s="57">
        <f si="0" t="shared"/>
        <v>0.12634611800000001</v>
      </c>
      <c r="AE10">
        <f si="1" t="shared"/>
        <v>0</v>
      </c>
    </row>
    <row r="11" spans="2:31" x14ac:dyDescent="0.4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OtherCoefficients!B19</f>
        <v>34</v>
      </c>
      <c r="AB11" t="str">
        <f>OtherCoefficients!C19</f>
        <v>sr-hhnwa</v>
      </c>
      <c r="AC11" s="56">
        <f>OtherCoefficients!E19</f>
        <v>0.18245742700000001</v>
      </c>
      <c r="AD11" s="57">
        <f si="0" t="shared"/>
        <v>0.18245742700000001</v>
      </c>
      <c r="AE11">
        <f si="1" t="shared"/>
        <v>0</v>
      </c>
    </row>
    <row r="12" spans="2:31" x14ac:dyDescent="0.4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OtherCoefficients!B20</f>
        <v>35</v>
      </c>
      <c r="AB12" t="str">
        <f>OtherCoefficients!C20</f>
        <v>sr-lndist</v>
      </c>
      <c r="AC12" s="56">
        <f>OtherCoefficients!E20</f>
        <v>0.225107115</v>
      </c>
      <c r="AD12" s="57">
        <f si="0" t="shared"/>
        <v>0.225107115</v>
      </c>
      <c r="AE12">
        <f si="1" t="shared"/>
        <v>0</v>
      </c>
    </row>
    <row r="13" spans="2:31" x14ac:dyDescent="0.45">
      <c r="C13" s="25"/>
      <c r="D13" s="25"/>
      <c r="T13" s="32">
        <v>4</v>
      </c>
      <c r="U13" s="32" t="s">
        <v>242</v>
      </c>
      <c r="V13" s="32"/>
      <c r="W13" s="32"/>
      <c r="X13" s="32"/>
      <c r="AA13">
        <f>OtherCoefficients!B21</f>
        <v>36</v>
      </c>
      <c r="AB13" t="str">
        <f>OtherCoefficients!C21</f>
        <v>s3-nocars</v>
      </c>
      <c r="AC13" s="56">
        <f>OtherCoefficients!E21</f>
        <v>-0.31010245280999998</v>
      </c>
      <c r="AD13" s="57">
        <f si="0" t="shared"/>
        <v>-0.31010245280999998</v>
      </c>
      <c r="AE13">
        <f si="1" t="shared"/>
        <v>0</v>
      </c>
    </row>
    <row r="14" spans="2:31" x14ac:dyDescent="0.45">
      <c r="B14" s="37" t="s">
        <v>303</v>
      </c>
      <c r="T14" s="32">
        <v>5</v>
      </c>
      <c r="U14" s="33" t="s">
        <v>282</v>
      </c>
      <c r="V14" s="32"/>
      <c r="W14" s="32"/>
      <c r="X14" s="32"/>
      <c r="AA14">
        <f>OtherCoefficients!B22</f>
        <v>37</v>
      </c>
      <c r="AB14" t="str">
        <f>OtherCoefficients!C22</f>
        <v>s3-carsltw</v>
      </c>
      <c r="AC14" s="56">
        <f>OtherCoefficients!E22</f>
        <v>-2.5497656950660001</v>
      </c>
      <c r="AD14" s="57">
        <f si="0" t="shared"/>
        <v>-2.5497656950660001</v>
      </c>
      <c r="AE14">
        <f si="1" t="shared"/>
        <v>0</v>
      </c>
    </row>
    <row r="15" spans="2:31" x14ac:dyDescent="0.45">
      <c r="B15" s="106" t="s">
        <v>293</v>
      </c>
      <c r="C15" s="106"/>
      <c r="D15" s="106"/>
      <c r="E15" s="106"/>
      <c r="F15" s="106"/>
      <c r="H15" s="105" t="s">
        <v>33</v>
      </c>
      <c r="I15" s="105"/>
      <c r="J15" s="105"/>
      <c r="K15" s="105"/>
      <c r="L15" s="105"/>
      <c r="T15" s="32">
        <v>6</v>
      </c>
      <c r="U15" s="32" t="s">
        <v>246</v>
      </c>
      <c r="V15" s="32"/>
      <c r="W15" s="32"/>
      <c r="X15" s="32"/>
      <c r="AA15">
        <f>OtherCoefficients!B23</f>
        <v>38</v>
      </c>
      <c r="AB15" t="str">
        <f>OtherCoefficients!C23</f>
        <v>s3-onephh</v>
      </c>
      <c r="AC15" s="56">
        <f>OtherCoefficients!E23</f>
        <v>-3.644945651</v>
      </c>
      <c r="AD15" s="57">
        <f si="0" t="shared"/>
        <v>-3.644945651</v>
      </c>
      <c r="AE15">
        <f si="1" t="shared"/>
        <v>0</v>
      </c>
    </row>
    <row ht="14.65" r="16" spans="2:31" thickBot="1" x14ac:dyDescent="0.5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OtherCoefficients!B24</f>
        <v>39</v>
      </c>
      <c r="AB16" t="str">
        <f>OtherCoefficients!C24</f>
        <v>s3-twophh</v>
      </c>
      <c r="AC16" s="56">
        <f>OtherCoefficients!E24</f>
        <v>-2.0456438239999999</v>
      </c>
      <c r="AD16" s="57">
        <f si="0" t="shared"/>
        <v>-2.0456438239999999</v>
      </c>
      <c r="AE16">
        <f si="1" t="shared"/>
        <v>0</v>
      </c>
    </row>
    <row r="17" spans="2:31" x14ac:dyDescent="0.4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OtherCoefficients!B25</f>
        <v>40</v>
      </c>
      <c r="AB17" t="str">
        <f>OtherCoefficients!C25</f>
        <v>s2-const</v>
      </c>
      <c r="AC17" s="56">
        <f>OtherCoefficients!E25</f>
        <v>-3.5509530513579999</v>
      </c>
      <c r="AD17" s="57">
        <f si="0" t="shared"/>
        <v>-3.566739936357473</v>
      </c>
      <c r="AE17">
        <f si="1" t="shared"/>
        <v>1</v>
      </c>
    </row>
    <row r="18" spans="2:31" x14ac:dyDescent="0.45">
      <c r="B18" s="9" t="s">
        <v>1</v>
      </c>
      <c r="C18" s="9">
        <v>0</v>
      </c>
      <c r="D18" s="9">
        <v>37568.500754026558</v>
      </c>
      <c r="E18" s="9">
        <v>6305.8745292968133</v>
      </c>
      <c r="F18" s="9">
        <v>282564.02292050916</v>
      </c>
      <c r="H18" s="9" t="s">
        <v>1</v>
      </c>
      <c r="I18" s="9">
        <f>Personal_Business!K4+Shop!K4+Meal!K4+SocRec!K4</f>
        <v>0</v>
      </c>
      <c r="J18" s="9">
        <f>Personal_Business!N4+Shop!N4+Meal!N4+SocRec!N4</f>
        <v>38686</v>
      </c>
      <c r="K18" s="9">
        <f>Personal_Business!P4+Shop!P4+Meal!P4+SocRec!P4</f>
        <v>8780</v>
      </c>
      <c r="L18" s="9">
        <f>Personal_Business!Q4+Shop!Q4+Meal!Q4+SocRec!Q4</f>
        <v>271053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OtherCoefficients!B26</f>
        <v>41</v>
      </c>
      <c r="AB18" t="str">
        <f>OtherCoefficients!C26</f>
        <v>sr-nocars</v>
      </c>
      <c r="AC18" s="56">
        <f>OtherCoefficients!E26</f>
        <v>-1.239876410653</v>
      </c>
      <c r="AD18" s="57">
        <f si="0" t="shared"/>
        <v>-1.239876410653</v>
      </c>
      <c r="AE18">
        <f si="1" t="shared"/>
        <v>0</v>
      </c>
    </row>
    <row r="19" spans="2:31" x14ac:dyDescent="0.45">
      <c r="B19" s="9" t="s">
        <v>2</v>
      </c>
      <c r="C19" s="9">
        <v>7309.8292818811351</v>
      </c>
      <c r="D19" s="9">
        <v>58797.853669386823</v>
      </c>
      <c r="E19" s="9">
        <v>12190.705289548509</v>
      </c>
      <c r="F19" s="9">
        <v>233958.94061756233</v>
      </c>
      <c r="H19" s="9" t="s">
        <v>2</v>
      </c>
      <c r="I19" s="9">
        <f>Personal_Business!K5+Shop!K5+Meal!K5+SocRec!K5</f>
        <v>10172</v>
      </c>
      <c r="J19" s="9">
        <f>Personal_Business!N5+Shop!N5+Meal!N5+SocRec!N5</f>
        <v>52859</v>
      </c>
      <c r="K19" s="9">
        <f>Personal_Business!P5+Shop!P5+Meal!P5+SocRec!P5</f>
        <v>15047</v>
      </c>
      <c r="L19" s="9">
        <f>Personal_Business!Q5+Shop!Q5+Meal!Q5+SocRec!Q5</f>
        <v>225103</v>
      </c>
      <c r="M19" s="9"/>
      <c r="N19" s="9" t="s">
        <v>2</v>
      </c>
      <c r="O19" s="11">
        <f ref="O19:O25" si="3" t="shared">IF(ISBLANK(C6),"",C6)</f>
        <v>41</v>
      </c>
      <c r="P19" s="11" t="str">
        <f si="2" t="shared"/>
        <v/>
      </c>
      <c r="Q19" s="11">
        <f si="2" t="shared"/>
        <v>43</v>
      </c>
      <c r="R19" s="11">
        <f si="2" t="shared"/>
        <v>40</v>
      </c>
      <c r="T19" s="9"/>
      <c r="AA19">
        <f>OtherCoefficients!B27</f>
        <v>43</v>
      </c>
      <c r="AB19" t="str">
        <f>OtherCoefficients!C27</f>
        <v>sr-carsltw</v>
      </c>
      <c r="AC19" s="56">
        <f>OtherCoefficients!E27</f>
        <v>-0.18345831477899999</v>
      </c>
      <c r="AD19" s="57">
        <f si="0" t="shared"/>
        <v>-0.18345831477899999</v>
      </c>
      <c r="AE19">
        <f si="1" t="shared"/>
        <v>0</v>
      </c>
    </row>
    <row r="20" spans="2:31" x14ac:dyDescent="0.45">
      <c r="B20" s="9" t="s">
        <v>3</v>
      </c>
      <c r="C20" s="9">
        <v>3511.7898548939243</v>
      </c>
      <c r="D20" s="9">
        <v>21091.10313981503</v>
      </c>
      <c r="E20" s="9">
        <v>1563.1291922239807</v>
      </c>
      <c r="F20" s="9">
        <v>140305.71297491645</v>
      </c>
      <c r="H20" s="9" t="s">
        <v>3</v>
      </c>
      <c r="I20" s="9">
        <f>Personal_Business!K6+Shop!K6+Meal!K6+SocRec!K6</f>
        <v>5024</v>
      </c>
      <c r="J20" s="9">
        <f>Personal_Business!N6+Shop!N6+Meal!N6+SocRec!N6</f>
        <v>31198</v>
      </c>
      <c r="K20" s="9">
        <f>Personal_Business!P6+Shop!P6+Meal!P6+SocRec!P6</f>
        <v>2195</v>
      </c>
      <c r="L20" s="9">
        <f>Personal_Business!Q6+Shop!Q6+Meal!Q6+SocRec!Q6</f>
        <v>135310</v>
      </c>
      <c r="M20" s="9"/>
      <c r="N20" s="9" t="s">
        <v>3</v>
      </c>
      <c r="O20" s="11">
        <v>36</v>
      </c>
      <c r="P20" s="11"/>
      <c r="Q20" s="11">
        <v>37</v>
      </c>
      <c r="R20" s="11">
        <f si="2" t="shared"/>
        <v>30</v>
      </c>
      <c r="T20" s="9"/>
      <c r="AA20">
        <f>OtherCoefficients!B28</f>
        <v>48</v>
      </c>
      <c r="AB20" t="str">
        <f>OtherCoefficients!C28</f>
        <v>s2-onephh</v>
      </c>
      <c r="AC20" s="56">
        <f>OtherCoefficients!E28</f>
        <v>-2.1236838850000002</v>
      </c>
      <c r="AD20" s="57">
        <f si="0" t="shared"/>
        <v>-2.1236838850000002</v>
      </c>
      <c r="AE20">
        <f si="1" t="shared"/>
        <v>0</v>
      </c>
    </row>
    <row r="21" spans="2:31" x14ac:dyDescent="0.4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Personal_Business!K7+Shop!K7+Meal!K7+SocRec!K7</f>
        <v>0</v>
      </c>
      <c r="J21" s="9">
        <f>Personal_Business!N7+Shop!N7+Meal!N7+SocRec!N7</f>
        <v>0</v>
      </c>
      <c r="K21" s="9">
        <f>Personal_Business!P7+Shop!P7+Meal!P7+SocRec!P7</f>
        <v>0</v>
      </c>
      <c r="L21" s="9">
        <f>Personal_Business!Q7+Shop!Q7+Meal!Q7+SocRec!Q7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OtherCoefficients!B29</f>
        <v>50</v>
      </c>
      <c r="AB21" t="str">
        <f>OtherCoefficients!C29</f>
        <v>da-const</v>
      </c>
      <c r="AC21" s="56">
        <f>OtherCoefficients!E29</f>
        <v>-1.7840383030589999</v>
      </c>
      <c r="AD21" s="57">
        <f si="0" t="shared"/>
        <v>-1.7968219643364949</v>
      </c>
      <c r="AE21">
        <f si="1" t="shared"/>
        <v>1</v>
      </c>
    </row>
    <row r="22" spans="2:31" x14ac:dyDescent="0.45">
      <c r="B22" s="9" t="s">
        <v>5</v>
      </c>
      <c r="C22" s="9">
        <v>3990.4224743082113</v>
      </c>
      <c r="D22" s="9">
        <v>0</v>
      </c>
      <c r="E22" s="9">
        <v>531.2688898115922</v>
      </c>
      <c r="F22" s="9">
        <v>5062.3080165035417</v>
      </c>
      <c r="H22" s="9" t="s">
        <v>5</v>
      </c>
      <c r="I22" s="9">
        <f>Personal_Business!K8+Shop!K8+Meal!K8+SocRec!K8</f>
        <v>4275</v>
      </c>
      <c r="J22" s="9">
        <f>Personal_Business!N8+Shop!N8+Meal!N8+SocRec!N8</f>
        <v>196</v>
      </c>
      <c r="K22" s="9">
        <f>Personal_Business!P8+Shop!P8+Meal!P8+SocRec!P8</f>
        <v>66</v>
      </c>
      <c r="L22" s="9">
        <f>Personal_Business!Q8+Shop!Q8+Meal!Q8+SocRec!Q8</f>
        <v>4997</v>
      </c>
      <c r="M22" s="9"/>
      <c r="N22" s="9" t="s">
        <v>5</v>
      </c>
      <c r="O22" s="11">
        <f si="3" t="shared"/>
        <v>21</v>
      </c>
      <c r="P22" s="11">
        <f si="2" t="shared"/>
        <v>22</v>
      </c>
      <c r="Q22" s="11" t="str">
        <f si="2" t="shared"/>
        <v/>
      </c>
      <c r="R22" s="11">
        <f si="2" t="shared"/>
        <v>20</v>
      </c>
      <c r="T22" s="9"/>
      <c r="AA22">
        <f>OtherCoefficients!B30</f>
        <v>52</v>
      </c>
      <c r="AB22" t="str">
        <f>OtherCoefficients!C30</f>
        <v>da-carsltd</v>
      </c>
      <c r="AC22" s="56">
        <f>OtherCoefficients!E30</f>
        <v>-0.64206868482799995</v>
      </c>
      <c r="AD22" s="57">
        <f si="0" t="shared"/>
        <v>-0.64206868482799995</v>
      </c>
      <c r="AE22">
        <f si="1" t="shared"/>
        <v>0</v>
      </c>
    </row>
    <row r="23" spans="2:31" x14ac:dyDescent="0.45">
      <c r="B23" s="9" t="s">
        <v>6</v>
      </c>
      <c r="C23" s="9">
        <v>360.48672389948297</v>
      </c>
      <c r="D23" s="9">
        <v>943.54777191135815</v>
      </c>
      <c r="E23" s="9">
        <v>0</v>
      </c>
      <c r="F23" s="9">
        <v>4602.910576054549</v>
      </c>
      <c r="H23" s="9" t="s">
        <v>6</v>
      </c>
      <c r="I23" s="9">
        <f>Personal_Business!K9+Shop!K9+Meal!K9+SocRec!K9</f>
        <v>605</v>
      </c>
      <c r="J23" s="9">
        <f>Personal_Business!N9+Shop!N9+Meal!N9+SocRec!N9</f>
        <v>893</v>
      </c>
      <c r="K23" s="9">
        <f>Personal_Business!P9+Shop!P9+Meal!P9+SocRec!P9</f>
        <v>279</v>
      </c>
      <c r="L23" s="9">
        <f>Personal_Business!Q9+Shop!Q9+Meal!Q9+SocRec!Q9</f>
        <v>4256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OtherCoefficients!B31</f>
        <v>54</v>
      </c>
      <c r="AB23" t="str">
        <f>OtherCoefficients!C31</f>
        <v>inc0to25k</v>
      </c>
      <c r="AC23" s="56">
        <f>OtherCoefficients!E31</f>
        <v>0.114530954</v>
      </c>
      <c r="AD23" s="57">
        <f si="0" t="shared"/>
        <v>0.114530954</v>
      </c>
      <c r="AE23">
        <f si="1" t="shared"/>
        <v>0</v>
      </c>
    </row>
    <row r="24" spans="2:31" x14ac:dyDescent="0.45">
      <c r="B24" s="9" t="s">
        <v>7</v>
      </c>
      <c r="C24" s="9">
        <v>4835.766301165977</v>
      </c>
      <c r="D24" s="9">
        <v>7923.6645116554109</v>
      </c>
      <c r="E24" s="9">
        <v>2251.0836662470233</v>
      </c>
      <c r="F24" s="9">
        <v>35790.104894453922</v>
      </c>
      <c r="H24" s="9" t="s">
        <v>7</v>
      </c>
      <c r="I24" s="9">
        <f>Personal_Business!K10+Shop!K10+Meal!K10+SocRec!K10</f>
        <v>6693</v>
      </c>
      <c r="J24" s="9">
        <f>Personal_Business!N10+Shop!N10+Meal!N10+SocRec!N10</f>
        <v>8149</v>
      </c>
      <c r="K24" s="9">
        <f>Personal_Business!P10+Shop!P10+Meal!P10+SocRec!P10</f>
        <v>2011</v>
      </c>
      <c r="L24" s="9">
        <f>Personal_Business!Q10+Shop!Q10+Meal!Q10+SocRec!Q10</f>
        <v>33896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OtherCoefficients!B32</f>
        <v>60</v>
      </c>
      <c r="AB24" t="str">
        <f>OtherCoefficients!C32</f>
        <v>bi-const</v>
      </c>
      <c r="AC24" s="56">
        <f>OtherCoefficients!E32</f>
        <v>-7.5273907482690001</v>
      </c>
      <c r="AD24" s="57">
        <f si="0" t="shared"/>
        <v>-7.5034061052608321</v>
      </c>
      <c r="AE24">
        <f si="1" t="shared"/>
        <v>1</v>
      </c>
    </row>
    <row r="25" spans="2:31" x14ac:dyDescent="0.45">
      <c r="B25" s="9" t="s">
        <v>8</v>
      </c>
      <c r="C25" s="9">
        <v>0</v>
      </c>
      <c r="D25" s="9">
        <v>0</v>
      </c>
      <c r="E25" s="9">
        <v>0</v>
      </c>
      <c r="F25" s="9">
        <v>0</v>
      </c>
      <c r="H25" s="9" t="s">
        <v>8</v>
      </c>
      <c r="I25" s="9">
        <f>Personal_Business!K11+Shop!K11+Meal!K11+SocRec!K11</f>
        <v>0</v>
      </c>
      <c r="J25" s="9">
        <f>Personal_Business!N11+Shop!N11+Meal!N11+SocRec!N11</f>
        <v>0</v>
      </c>
      <c r="K25" s="9">
        <f>Personal_Business!P11+Shop!P11+Meal!P11+SocRec!P11</f>
        <v>0</v>
      </c>
      <c r="L25" s="9">
        <f>Personal_Business!Q11+Shop!Q11+Meal!Q11+SocRec!Q11</f>
        <v>0</v>
      </c>
      <c r="M25" s="9"/>
      <c r="N25" s="9" t="s">
        <v>8</v>
      </c>
      <c r="O25" s="11" t="str">
        <f si="3" t="shared"/>
        <v/>
      </c>
      <c r="P25" s="11" t="str">
        <f si="2" t="shared"/>
        <v/>
      </c>
      <c r="Q25" s="11" t="str">
        <f si="2" t="shared"/>
        <v/>
      </c>
      <c r="R25" s="11" t="str">
        <f si="2" t="shared"/>
        <v/>
      </c>
      <c r="T25" s="9"/>
      <c r="AA25">
        <f>OtherCoefficients!B33</f>
        <v>61</v>
      </c>
      <c r="AB25" t="str">
        <f>OtherCoefficients!C33</f>
        <v>bi-male</v>
      </c>
      <c r="AC25" s="56">
        <f>OtherCoefficients!E33</f>
        <v>1.0360071209999999</v>
      </c>
      <c r="AD25" s="57">
        <f si="0" t="shared"/>
        <v>1.0360071209999999</v>
      </c>
      <c r="AE25">
        <f si="1" t="shared"/>
        <v>0</v>
      </c>
    </row>
    <row r="26" spans="2:31" x14ac:dyDescent="0.45">
      <c r="B26" s="9" t="s">
        <v>302</v>
      </c>
      <c r="C26" s="9">
        <f>Personal_Business!B12+Shop!B12+Meal!B12+SocRec!B12</f>
        <v>0</v>
      </c>
      <c r="D26" s="9">
        <f>Personal_Business!E12+Shop!E12+Meal!E12+SocRec!E12</f>
        <v>0</v>
      </c>
      <c r="E26" s="9">
        <f>Personal_Business!G12+Shop!G12+Meal!G12+SocRec!G12</f>
        <v>0</v>
      </c>
      <c r="F26" s="9">
        <f>Personal_Business!H12+Shop!H12+Meal!H12+SocRec!H12</f>
        <v>0</v>
      </c>
      <c r="H26" s="9" t="s">
        <v>302</v>
      </c>
      <c r="I26" s="12">
        <f>Personal_Business!K12+Shop!K12+Meal!K12+SocRec!K12</f>
        <v>0</v>
      </c>
      <c r="J26" s="12">
        <f>Personal_Business!N12+Shop!N12+Meal!N12+SocRec!N12</f>
        <v>0</v>
      </c>
      <c r="K26" s="12">
        <f>Personal_Business!P12+Shop!P12+Meal!P12+SocRec!P12</f>
        <v>0</v>
      </c>
      <c r="L26" s="12">
        <f>Personal_Business!Q12+Shop!Q12+Meal!Q12+SocRec!Q12</f>
        <v>0</v>
      </c>
      <c r="M26" s="9"/>
      <c r="N26" s="12" t="s">
        <v>302</v>
      </c>
      <c r="O26" s="7">
        <v>81</v>
      </c>
      <c r="P26" s="7">
        <v>82</v>
      </c>
      <c r="Q26" s="7"/>
      <c r="R26" s="7">
        <v>80</v>
      </c>
      <c r="T26" s="9"/>
      <c r="AA26">
        <f>OtherCoefficients!B34</f>
        <v>63</v>
      </c>
      <c r="AB26" t="str">
        <f>OtherCoefficients!C34</f>
        <v>bi-ageo50</v>
      </c>
      <c r="AC26" s="56">
        <f>OtherCoefficients!E34</f>
        <v>-0.76682515699999998</v>
      </c>
      <c r="AD26" s="57">
        <f si="0" t="shared"/>
        <v>-0.76682515699999998</v>
      </c>
      <c r="AE26">
        <f si="1" t="shared"/>
        <v>0</v>
      </c>
    </row>
    <row ht="14.65" r="27" spans="2:31" thickBot="1" x14ac:dyDescent="0.5">
      <c r="B27" s="43" t="s">
        <v>19</v>
      </c>
      <c r="C27" s="43">
        <f>SUM(C18:C26)</f>
        <v>20008.29463614873</v>
      </c>
      <c r="D27" s="43">
        <f ref="D27:F27" si="4" t="shared">SUM(D18:D26)</f>
        <v>126324.66984679518</v>
      </c>
      <c r="E27" s="43">
        <f si="4" t="shared"/>
        <v>22842.061567127919</v>
      </c>
      <c r="F27" s="43">
        <f si="4" t="shared"/>
        <v>702284</v>
      </c>
      <c r="H27" s="43" t="s">
        <v>19</v>
      </c>
      <c r="I27" s="43">
        <f>SUM(I18:I26)</f>
        <v>26769</v>
      </c>
      <c r="J27" s="43">
        <f ref="J27:L27" si="5" t="shared">SUM(J18:J26)</f>
        <v>131981</v>
      </c>
      <c r="K27" s="43">
        <f si="5" t="shared"/>
        <v>28378</v>
      </c>
      <c r="L27" s="43">
        <f si="5" t="shared"/>
        <v>674615</v>
      </c>
      <c r="AA27">
        <f>OtherCoefficients!B35</f>
        <v>67</v>
      </c>
      <c r="AB27" t="str">
        <f>OtherCoefficients!C35</f>
        <v>bi-nocars</v>
      </c>
      <c r="AC27" s="56">
        <f>OtherCoefficients!E35</f>
        <v>-1.5649802915</v>
      </c>
      <c r="AD27" s="57">
        <f si="0" t="shared"/>
        <v>-1.5649802915</v>
      </c>
      <c r="AE27">
        <f si="1" t="shared"/>
        <v>0</v>
      </c>
    </row>
    <row r="28" spans="2:31" x14ac:dyDescent="0.45">
      <c r="F28" s="9"/>
      <c r="AA28">
        <f>OtherCoefficients!B36</f>
        <v>68</v>
      </c>
      <c r="AB28" t="str">
        <f>OtherCoefficients!C36</f>
        <v>bi-carsltd</v>
      </c>
      <c r="AC28" s="56">
        <f>OtherCoefficients!E36</f>
        <v>0.44391216245499998</v>
      </c>
      <c r="AD28" s="57">
        <f si="0" t="shared"/>
        <v>0.44391216245499998</v>
      </c>
      <c r="AE28">
        <f si="1" t="shared"/>
        <v>0</v>
      </c>
    </row>
    <row ht="14.65" r="29" spans="2:31" thickBot="1" x14ac:dyDescent="0.5">
      <c r="B29" s="37" t="s">
        <v>267</v>
      </c>
      <c r="H29" s="37" t="s">
        <v>268</v>
      </c>
      <c r="N29" s="23" t="s">
        <v>257</v>
      </c>
      <c r="T29" t="s">
        <v>270</v>
      </c>
      <c r="AA29">
        <f>OtherCoefficients!B37</f>
        <v>70</v>
      </c>
      <c r="AB29" t="str">
        <f>OtherCoefficients!C37</f>
        <v>wk-const</v>
      </c>
      <c r="AC29" s="56">
        <f>OtherCoefficients!E37</f>
        <v>0</v>
      </c>
      <c r="AD29" s="57">
        <f si="0" t="shared"/>
        <v>0</v>
      </c>
      <c r="AE29">
        <f si="1" t="shared"/>
        <v>0</v>
      </c>
    </row>
    <row r="30" spans="2:31" x14ac:dyDescent="0.4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>
        <f>OtherCoefficients!B38</f>
        <v>73</v>
      </c>
      <c r="AB30" t="str">
        <f>OtherCoefficients!C38</f>
        <v>wk-ageo50</v>
      </c>
      <c r="AC30" s="56">
        <f>OtherCoefficients!E38</f>
        <v>-0.36705005200000002</v>
      </c>
      <c r="AD30" s="57">
        <f si="0" t="shared"/>
        <v>-0.36705005200000002</v>
      </c>
      <c r="AE30">
        <f si="1" t="shared"/>
        <v>0</v>
      </c>
    </row>
    <row r="31" spans="2:31" x14ac:dyDescent="0.45">
      <c r="B31" s="9" t="s">
        <v>1</v>
      </c>
      <c r="C31" s="35">
        <f ref="C31:C39" si="6" t="shared">$C18/C$27</f>
        <v>0</v>
      </c>
      <c r="D31" s="35">
        <f ref="D31:D39" si="7" t="shared">$D18/D$27</f>
        <v>0.29739638979139321</v>
      </c>
      <c r="E31" s="35">
        <f ref="E31:E40" si="8" t="shared">$E18/E$27</f>
        <v>0.27606415956656105</v>
      </c>
      <c r="F31" s="35">
        <f ref="F31:F40" si="9" t="shared">$F18/F$27</f>
        <v>0.40235007905706122</v>
      </c>
      <c r="H31" s="9" t="s">
        <v>1</v>
      </c>
      <c r="I31" s="26">
        <f ref="I31:I39" si="10" t="shared">$I18/I$27</f>
        <v>0</v>
      </c>
      <c r="J31" s="26">
        <f ref="J31:J39" si="11" t="shared">$J18/J$27</f>
        <v>0.29311794879566</v>
      </c>
      <c r="K31" s="26">
        <f ref="K31:K39" si="12" t="shared">$K18/K$27</f>
        <v>0.3093946014518289</v>
      </c>
      <c r="L31" s="26">
        <f ref="L31:L40" si="13" t="shared">$L18/L$27</f>
        <v>0.40178916863692626</v>
      </c>
      <c r="M31" s="26"/>
      <c r="N31" s="9" t="s">
        <v>1</v>
      </c>
      <c r="O31" s="40" t="str">
        <f ref="O31:R38" si="14" t="shared">IF(O18="","-",C31/I31)</f>
        <v>-</v>
      </c>
      <c r="P31" s="40">
        <f si="14" t="shared"/>
        <v>1.014596311871423</v>
      </c>
      <c r="Q31" s="40" t="str">
        <f si="14" t="shared"/>
        <v>-</v>
      </c>
      <c r="R31" s="40">
        <f si="14" t="shared"/>
        <v>1.0013960317099584</v>
      </c>
      <c r="T31">
        <v>20</v>
      </c>
      <c r="U31" t="str">
        <f ref="U31:U50" si="15" t="shared">VLOOKUP(T31,$AA$3:$AB$48,2,FALSE)</f>
        <v>wt-const</v>
      </c>
      <c r="V31" s="30">
        <f>R86</f>
        <v>-7.0984691177951884</v>
      </c>
      <c r="AA31">
        <f>OtherCoefficients!B39</f>
        <v>77</v>
      </c>
      <c r="AB31" t="str">
        <f>OtherCoefficients!C39</f>
        <v>wk-nocars</v>
      </c>
      <c r="AC31" s="56">
        <f>OtherCoefficients!E39</f>
        <v>1.739506086952</v>
      </c>
      <c r="AD31" s="57">
        <f si="0" t="shared"/>
        <v>1.739506086952</v>
      </c>
      <c r="AE31">
        <f si="1" t="shared"/>
        <v>0</v>
      </c>
    </row>
    <row r="32" spans="2:31" x14ac:dyDescent="0.45">
      <c r="B32" s="9" t="s">
        <v>2</v>
      </c>
      <c r="C32" s="35">
        <f si="6" t="shared"/>
        <v>0.3653399459979243</v>
      </c>
      <c r="D32" s="35">
        <f si="7" t="shared"/>
        <v>0.46545028568605046</v>
      </c>
      <c r="E32" s="35">
        <f si="8" t="shared"/>
        <v>0.53369549213947443</v>
      </c>
      <c r="F32" s="35">
        <f si="9" t="shared"/>
        <v>0.33314006956952219</v>
      </c>
      <c r="H32" s="9" t="s">
        <v>2</v>
      </c>
      <c r="I32" s="26">
        <f si="10" t="shared"/>
        <v>0.37999178153834662</v>
      </c>
      <c r="J32" s="26">
        <f si="11" t="shared"/>
        <v>0.40050461808896737</v>
      </c>
      <c r="K32" s="26">
        <f si="12" t="shared"/>
        <v>0.53023468884347025</v>
      </c>
      <c r="L32" s="26">
        <f si="13" t="shared"/>
        <v>0.33367624496935289</v>
      </c>
      <c r="M32" s="26"/>
      <c r="N32" s="9" t="s">
        <v>2</v>
      </c>
      <c r="O32" s="62">
        <f>IF(O19="","-",(C32+C33)/(I32+I33))</f>
        <v>0.95276333028820481</v>
      </c>
      <c r="P32" s="41" t="str">
        <f>IF(P19="","-",(D32+D33)/(J32+J33))</f>
        <v>-</v>
      </c>
      <c r="Q32" s="62">
        <f>IF(Q19="","-",(E32+E33)/(K32+K33))</f>
        <v>0.99102050262861296</v>
      </c>
      <c r="R32" s="41">
        <f si="14" t="shared"/>
        <v>0.9983931268470132</v>
      </c>
      <c r="T32">
        <v>21</v>
      </c>
      <c r="U32" t="str">
        <f si="15" t="shared"/>
        <v>wt-nocars</v>
      </c>
      <c r="V32" s="30">
        <f>O86</f>
        <v>4.0065310419979996</v>
      </c>
      <c r="AA32">
        <f>OtherCoefficients!B40</f>
        <v>78</v>
      </c>
      <c r="AB32" t="str">
        <f>OtherCoefficients!C40</f>
        <v>wk-carsltd</v>
      </c>
      <c r="AC32" s="56">
        <f>OtherCoefficients!E40</f>
        <v>0.72433533718200005</v>
      </c>
      <c r="AD32" s="57">
        <f si="0" t="shared"/>
        <v>0.72433533718200005</v>
      </c>
      <c r="AE32">
        <f si="1" t="shared"/>
        <v>0</v>
      </c>
    </row>
    <row r="33" spans="2:31" x14ac:dyDescent="0.45">
      <c r="B33" s="9" t="s">
        <v>3</v>
      </c>
      <c r="C33" s="35">
        <f si="6" t="shared"/>
        <v>0.1755167003863097</v>
      </c>
      <c r="D33" s="35">
        <f si="7" t="shared"/>
        <v>0.16695949544450842</v>
      </c>
      <c r="E33" s="35">
        <f si="8" t="shared"/>
        <v>6.8432054069650375E-2</v>
      </c>
      <c r="F33" s="35">
        <f si="9" t="shared"/>
        <v>0.19978486335288351</v>
      </c>
      <c r="H33" s="9" t="s">
        <v>3</v>
      </c>
      <c r="I33" s="26">
        <f si="10" t="shared"/>
        <v>0.18767977884866824</v>
      </c>
      <c r="J33" s="26">
        <f si="11" t="shared"/>
        <v>0.23638250960365506</v>
      </c>
      <c r="K33" s="26">
        <f si="12" t="shared"/>
        <v>7.7348650362957225E-2</v>
      </c>
      <c r="L33" s="26">
        <f si="13" t="shared"/>
        <v>0.2005736605323036</v>
      </c>
      <c r="M33" s="26"/>
      <c r="N33" s="9" t="s">
        <v>3</v>
      </c>
      <c r="O33" s="41">
        <f si="14" t="shared"/>
        <v>0.93519238707028751</v>
      </c>
      <c r="P33" s="41" t="str">
        <f si="14" t="shared"/>
        <v>-</v>
      </c>
      <c r="Q33" s="41">
        <f si="14" t="shared"/>
        <v>0.88472201840024522</v>
      </c>
      <c r="R33" s="41">
        <f si="14" t="shared"/>
        <v>0.99606729429314544</v>
      </c>
      <c r="T33">
        <v>22</v>
      </c>
      <c r="U33" t="str">
        <f si="15" t="shared"/>
        <v>wt-carsltd</v>
      </c>
      <c r="V33" s="30">
        <f>P86</f>
        <v>8.4805857060999995E-2</v>
      </c>
      <c r="AA33">
        <f>OtherCoefficients!B41</f>
        <v>120</v>
      </c>
      <c r="AB33" t="str">
        <f>OtherCoefficients!C41</f>
        <v>tr-shop</v>
      </c>
      <c r="AC33" s="56">
        <f>OtherCoefficients!E41</f>
        <v>-1.373931861</v>
      </c>
      <c r="AD33" s="57">
        <f si="0" t="shared"/>
        <v>-1.373931861</v>
      </c>
      <c r="AE33">
        <f si="1" t="shared"/>
        <v>0</v>
      </c>
    </row>
    <row r="34" spans="2:31" x14ac:dyDescent="0.45">
      <c r="B34" s="9" t="s">
        <v>4</v>
      </c>
      <c r="C34" s="35">
        <f si="6" t="shared"/>
        <v>0</v>
      </c>
      <c r="D34" s="35">
        <f si="7" t="shared"/>
        <v>0</v>
      </c>
      <c r="E34" s="35">
        <f si="8" t="shared"/>
        <v>0</v>
      </c>
      <c r="F34" s="35">
        <f si="9" t="shared"/>
        <v>0</v>
      </c>
      <c r="H34" s="9" t="s">
        <v>4</v>
      </c>
      <c r="I34" s="26">
        <f si="10" t="shared"/>
        <v>0</v>
      </c>
      <c r="J34" s="26">
        <f si="11" t="shared"/>
        <v>0</v>
      </c>
      <c r="K34" s="26">
        <f si="12" t="shared"/>
        <v>0</v>
      </c>
      <c r="L34" s="26">
        <f si="13" t="shared"/>
        <v>0</v>
      </c>
      <c r="M34" s="26"/>
      <c r="N34" s="9" t="s">
        <v>4</v>
      </c>
      <c r="O34" s="41" t="str">
        <f si="14" t="shared"/>
        <v>-</v>
      </c>
      <c r="P34" s="41" t="str">
        <f si="14" t="shared"/>
        <v>-</v>
      </c>
      <c r="Q34" s="41" t="str">
        <f si="14" t="shared"/>
        <v>-</v>
      </c>
      <c r="R34" s="41" t="str">
        <f si="14" t="shared"/>
        <v>-</v>
      </c>
      <c r="T34">
        <v>30</v>
      </c>
      <c r="U34" t="str">
        <f si="15" t="shared"/>
        <v>s3-const</v>
      </c>
      <c r="V34" s="30">
        <f>R84</f>
        <v>-3.5008801353367178</v>
      </c>
      <c r="AA34">
        <f>OtherCoefficients!B42</f>
        <v>124</v>
      </c>
      <c r="AB34" t="str">
        <f>OtherCoefficients!C42</f>
        <v>tr-omixed</v>
      </c>
      <c r="AC34" s="56">
        <f>OtherCoefficients!E42</f>
        <v>1.9854496230000001</v>
      </c>
      <c r="AD34" s="57">
        <f si="0" t="shared"/>
        <v>1.9854496230000001</v>
      </c>
      <c r="AE34">
        <f si="1" t="shared"/>
        <v>0</v>
      </c>
    </row>
    <row r="35" spans="2:31" x14ac:dyDescent="0.45">
      <c r="B35" s="9" t="s">
        <v>5</v>
      </c>
      <c r="C35" s="35">
        <f si="6" t="shared"/>
        <v>0.1994384102630499</v>
      </c>
      <c r="D35" s="35">
        <f si="7" t="shared"/>
        <v>0</v>
      </c>
      <c r="E35" s="35">
        <f si="8" t="shared"/>
        <v>2.325835994488969E-2</v>
      </c>
      <c r="F35" s="35">
        <f si="9" t="shared"/>
        <v>7.2083487826912502E-3</v>
      </c>
      <c r="H35" s="9" t="s">
        <v>5</v>
      </c>
      <c r="I35" s="26">
        <f si="10" t="shared"/>
        <v>0.15969965258321192</v>
      </c>
      <c r="J35" s="26">
        <f si="11" t="shared"/>
        <v>1.4850622438078208E-3</v>
      </c>
      <c r="K35" s="26">
        <f si="12" t="shared"/>
        <v>2.3257452956515611E-3</v>
      </c>
      <c r="L35" s="26">
        <f si="13" t="shared"/>
        <v>7.407187803413799E-3</v>
      </c>
      <c r="M35" s="26"/>
      <c r="N35" s="9" t="s">
        <v>5</v>
      </c>
      <c r="O35" s="41">
        <f si="14" t="shared"/>
        <v>1.2488343401945223</v>
      </c>
      <c r="P35" s="41">
        <f si="14" t="shared"/>
        <v>0</v>
      </c>
      <c r="Q35" s="41" t="str">
        <f si="14" t="shared"/>
        <v>-</v>
      </c>
      <c r="R35" s="41">
        <f>IF(R22="","-",F35/L35)</f>
        <v>0.97315593636887288</v>
      </c>
      <c r="T35">
        <v>36</v>
      </c>
      <c r="U35" t="str">
        <f si="15" t="shared"/>
        <v>s3-nocars</v>
      </c>
      <c r="V35" s="30">
        <f>O84</f>
        <v>-0.31010245280999998</v>
      </c>
      <c r="AA35">
        <f>OtherCoefficients!B43</f>
        <v>128</v>
      </c>
      <c r="AB35" t="str">
        <f>OtherCoefficients!C43</f>
        <v>tr-dempdn</v>
      </c>
      <c r="AC35" s="56">
        <f>OtherCoefficients!E43</f>
        <v>1.5630799999999999E-4</v>
      </c>
      <c r="AD35" s="57">
        <f si="0" t="shared"/>
        <v>1.5630799999999999E-4</v>
      </c>
      <c r="AE35">
        <f si="1" t="shared"/>
        <v>0</v>
      </c>
    </row>
    <row r="36" spans="2:31" x14ac:dyDescent="0.45">
      <c r="B36" s="9" t="s">
        <v>6</v>
      </c>
      <c r="C36" s="81">
        <f si="6" t="shared"/>
        <v>1.8016864028391314E-2</v>
      </c>
      <c r="D36" s="81">
        <f si="7" t="shared"/>
        <v>7.4692280855012715E-3</v>
      </c>
      <c r="E36" s="81">
        <f si="8" t="shared"/>
        <v>0</v>
      </c>
      <c r="F36" s="81">
        <f si="9" t="shared"/>
        <v>6.5542011152960183E-3</v>
      </c>
      <c r="H36" s="9" t="s">
        <v>6</v>
      </c>
      <c r="I36" s="13">
        <f si="10" t="shared"/>
        <v>2.2600769546863908E-2</v>
      </c>
      <c r="J36" s="13">
        <f si="11" t="shared"/>
        <v>6.7661254271448165E-3</v>
      </c>
      <c r="K36" s="13">
        <f si="12" t="shared"/>
        <v>9.8315596588906904E-3</v>
      </c>
      <c r="L36" s="13">
        <f si="13" t="shared"/>
        <v>6.3087835283828558E-3</v>
      </c>
      <c r="M36" s="26"/>
      <c r="N36" s="9" t="s">
        <v>6</v>
      </c>
      <c r="O36" s="41">
        <f si="14" t="shared"/>
        <v>0.79717922839009447</v>
      </c>
      <c r="P36" s="41">
        <f si="14" t="shared"/>
        <v>1.1039151085694774</v>
      </c>
      <c r="Q36" s="41" t="str">
        <f si="14" t="shared"/>
        <v>-</v>
      </c>
      <c r="R36" s="41">
        <f>IF(R23="","-",F36/L36)</f>
        <v>1.0389009364180974</v>
      </c>
      <c r="T36">
        <v>37</v>
      </c>
      <c r="U36" t="str">
        <f si="15" t="shared"/>
        <v>s3-carsltw</v>
      </c>
      <c r="V36" s="30">
        <f>Q84</f>
        <v>-2.5497656950660001</v>
      </c>
      <c r="AA36">
        <f>OtherCoefficients!B44</f>
        <v>131</v>
      </c>
      <c r="AB36" t="str">
        <f>OtherCoefficients!C44</f>
        <v>da-escsptr</v>
      </c>
      <c r="AC36" s="56">
        <f>OtherCoefficients!E44</f>
        <v>-0.48853505699999999</v>
      </c>
      <c r="AD36" s="57">
        <f si="0" t="shared"/>
        <v>-0.48853505699999999</v>
      </c>
      <c r="AE36">
        <f si="1" t="shared"/>
        <v>0</v>
      </c>
    </row>
    <row r="37" spans="2:31" x14ac:dyDescent="0.45">
      <c r="B37" s="9" t="s">
        <v>7</v>
      </c>
      <c r="C37" s="35">
        <f si="6" t="shared"/>
        <v>0.24168807932432482</v>
      </c>
      <c r="D37" s="35">
        <f si="7" t="shared"/>
        <v>6.2724600992546606E-2</v>
      </c>
      <c r="E37" s="35">
        <f si="8" t="shared"/>
        <v>9.8549934279424448E-2</v>
      </c>
      <c r="F37" s="35">
        <f si="9" t="shared"/>
        <v>5.096243812254575E-2</v>
      </c>
      <c r="H37" s="9" t="s">
        <v>7</v>
      </c>
      <c r="I37" s="26">
        <f si="10" t="shared"/>
        <v>0.25002801748290931</v>
      </c>
      <c r="J37" s="26">
        <f si="11" t="shared"/>
        <v>6.1743735840764959E-2</v>
      </c>
      <c r="K37" s="26">
        <f si="12" t="shared"/>
        <v>7.0864754387201356E-2</v>
      </c>
      <c r="L37" s="26">
        <f si="13" t="shared"/>
        <v>5.0244954529620599E-2</v>
      </c>
      <c r="M37" s="26"/>
      <c r="N37" s="9" t="s">
        <v>7</v>
      </c>
      <c r="O37" s="41">
        <f si="14" t="shared"/>
        <v>0.96664398557191866</v>
      </c>
      <c r="P37" s="41">
        <f si="14" t="shared"/>
        <v>1.0158860674435259</v>
      </c>
      <c r="Q37" s="41" t="str">
        <f si="14" t="shared"/>
        <v>-</v>
      </c>
      <c r="R37" s="41">
        <f>IF(R24="","-",F37/L37)</f>
        <v>1.0142797142447841</v>
      </c>
      <c r="T37">
        <v>40</v>
      </c>
      <c r="U37" t="str">
        <f si="15" t="shared"/>
        <v>s2-const</v>
      </c>
      <c r="V37" s="30">
        <f>R83</f>
        <v>-3.566739936357473</v>
      </c>
      <c r="AA37">
        <f>OtherCoefficients!B45</f>
        <v>132</v>
      </c>
      <c r="AB37" t="str">
        <f>OtherCoefficients!C45</f>
        <v>da-othsptr</v>
      </c>
      <c r="AC37" s="56">
        <f>OtherCoefficients!E45</f>
        <v>0.231801804</v>
      </c>
      <c r="AD37" s="57">
        <f si="0" t="shared"/>
        <v>0.231801804</v>
      </c>
      <c r="AE37">
        <f si="1" t="shared"/>
        <v>0</v>
      </c>
    </row>
    <row r="38" spans="2:31" x14ac:dyDescent="0.45">
      <c r="B38" s="9" t="s">
        <v>8</v>
      </c>
      <c r="C38" s="35">
        <f si="6" t="shared"/>
        <v>0</v>
      </c>
      <c r="D38" s="35">
        <f si="7" t="shared"/>
        <v>0</v>
      </c>
      <c r="E38" s="35">
        <f si="8" t="shared"/>
        <v>0</v>
      </c>
      <c r="F38" s="35">
        <f si="9" t="shared"/>
        <v>0</v>
      </c>
      <c r="H38" s="9" t="s">
        <v>8</v>
      </c>
      <c r="I38" s="26">
        <f si="10" t="shared"/>
        <v>0</v>
      </c>
      <c r="J38" s="26">
        <f si="11" t="shared"/>
        <v>0</v>
      </c>
      <c r="K38" s="26">
        <f si="12" t="shared"/>
        <v>0</v>
      </c>
      <c r="L38" s="26">
        <f si="13" t="shared"/>
        <v>0</v>
      </c>
      <c r="M38" s="26"/>
      <c r="N38" s="9" t="s">
        <v>8</v>
      </c>
      <c r="O38" s="41" t="str">
        <f si="14" t="shared"/>
        <v>-</v>
      </c>
      <c r="P38" s="41" t="str">
        <f si="14" t="shared"/>
        <v>-</v>
      </c>
      <c r="Q38" s="41" t="str">
        <f si="14" t="shared"/>
        <v>-</v>
      </c>
      <c r="R38" s="41" t="str">
        <f si="14" t="shared"/>
        <v>-</v>
      </c>
      <c r="T38">
        <v>41</v>
      </c>
      <c r="U38" t="str">
        <f si="15" t="shared"/>
        <v>sr-nocars</v>
      </c>
      <c r="V38" s="30">
        <f>O83</f>
        <v>-1.239876410653</v>
      </c>
      <c r="AA38">
        <f>OtherCoefficients!B46</f>
        <v>133</v>
      </c>
      <c r="AB38" t="str">
        <f>OtherCoefficients!C46</f>
        <v>sr-escsptr</v>
      </c>
      <c r="AC38" s="56">
        <f>OtherCoefficients!E46</f>
        <v>-0.44898267400000003</v>
      </c>
      <c r="AD38" s="57">
        <f si="0" t="shared"/>
        <v>-0.44898267400000003</v>
      </c>
      <c r="AE38">
        <f si="1" t="shared"/>
        <v>0</v>
      </c>
    </row>
    <row r="39" spans="2:31" x14ac:dyDescent="0.45">
      <c r="B39" s="9" t="s">
        <v>302</v>
      </c>
      <c r="C39" s="35">
        <f si="6" t="shared"/>
        <v>0</v>
      </c>
      <c r="D39" s="35">
        <f si="7" t="shared"/>
        <v>0</v>
      </c>
      <c r="E39" s="35">
        <f si="8" t="shared"/>
        <v>0</v>
      </c>
      <c r="F39" s="35">
        <f si="9" t="shared"/>
        <v>0</v>
      </c>
      <c r="H39" s="9" t="s">
        <v>302</v>
      </c>
      <c r="I39" s="26">
        <f si="10" t="shared"/>
        <v>0</v>
      </c>
      <c r="J39" s="26">
        <f si="11" t="shared"/>
        <v>0</v>
      </c>
      <c r="K39" s="26">
        <f si="12" t="shared"/>
        <v>0</v>
      </c>
      <c r="L39" s="26">
        <f si="13" t="shared"/>
        <v>0</v>
      </c>
      <c r="N39" s="12" t="s">
        <v>302</v>
      </c>
      <c r="O39" s="42">
        <f>IFERROR(IF(O26="","-",C39/I39),1)</f>
        <v>1</v>
      </c>
      <c r="P39" s="42">
        <f ref="P39:R39" si="16" t="shared">IFERROR(IF(P26="","-",D39/J39),1)</f>
        <v>1</v>
      </c>
      <c r="Q39" s="42" t="str">
        <f si="16" t="shared"/>
        <v>-</v>
      </c>
      <c r="R39" s="42">
        <f si="16" t="shared"/>
        <v>1</v>
      </c>
      <c r="T39">
        <v>43</v>
      </c>
      <c r="U39" t="str">
        <f si="15" t="shared"/>
        <v>sr-carsltw</v>
      </c>
      <c r="V39" s="30">
        <f>Q83</f>
        <v>-0.18345831477899999</v>
      </c>
      <c r="AA39">
        <f>OtherCoefficients!B47</f>
        <v>134</v>
      </c>
      <c r="AB39" t="str">
        <f>OtherCoefficients!C47</f>
        <v>sr-othsptr</v>
      </c>
      <c r="AC39" s="56">
        <f>OtherCoefficients!E47</f>
        <v>0.33715357200000001</v>
      </c>
      <c r="AD39" s="57">
        <f si="0" t="shared"/>
        <v>0.33715357200000001</v>
      </c>
      <c r="AE39">
        <f si="1" t="shared"/>
        <v>0</v>
      </c>
    </row>
    <row ht="14.65" r="40" spans="2:31" thickBot="1" x14ac:dyDescent="0.5">
      <c r="B40" s="43" t="s">
        <v>19</v>
      </c>
      <c r="C40" s="44">
        <f>SUM(C31:C38)</f>
        <v>1</v>
      </c>
      <c r="D40" s="44">
        <f>SUM(D31:D38)</f>
        <v>1</v>
      </c>
      <c r="E40" s="44">
        <f si="8" t="shared"/>
        <v>1</v>
      </c>
      <c r="F40" s="44">
        <f si="9" t="shared"/>
        <v>1</v>
      </c>
      <c r="H40" s="43" t="s">
        <v>19</v>
      </c>
      <c r="I40" s="45">
        <f>SUM(I31:I38)</f>
        <v>1</v>
      </c>
      <c r="J40" s="45">
        <f>SUM(J31:J38)</f>
        <v>1</v>
      </c>
      <c r="K40" s="45">
        <f>SUM(K31:K38)</f>
        <v>1</v>
      </c>
      <c r="L40" s="45">
        <f si="13" t="shared"/>
        <v>1</v>
      </c>
      <c r="M40" s="26"/>
      <c r="N40" s="9" t="s">
        <v>272</v>
      </c>
      <c r="T40">
        <v>50</v>
      </c>
      <c r="U40" t="str">
        <f si="15" t="shared"/>
        <v>da-const</v>
      </c>
      <c r="V40" s="30">
        <f>R82</f>
        <v>-1.7968219643364949</v>
      </c>
      <c r="AA40">
        <f>OtherCoefficients!B48</f>
        <v>136</v>
      </c>
      <c r="AB40" t="str">
        <f>OtherCoefficients!C48</f>
        <v>sr-shop</v>
      </c>
      <c r="AC40" s="56">
        <f>OtherCoefficients!E48</f>
        <v>7.2810588999999995E-2</v>
      </c>
      <c r="AD40" s="57">
        <f si="0" t="shared"/>
        <v>7.2810588999999995E-2</v>
      </c>
      <c r="AE40">
        <f si="1" t="shared"/>
        <v>0</v>
      </c>
    </row>
    <row r="41" spans="2:31" x14ac:dyDescent="0.45">
      <c r="T41">
        <v>52</v>
      </c>
      <c r="U41" t="str">
        <f si="15" t="shared"/>
        <v>da-carsltd</v>
      </c>
      <c r="V41" s="30">
        <f>P82</f>
        <v>-0.64206868482799995</v>
      </c>
      <c r="AA41">
        <f>OtherCoefficients!B49</f>
        <v>137</v>
      </c>
      <c r="AB41" t="str">
        <f>OtherCoefficients!C49</f>
        <v>sr-meal</v>
      </c>
      <c r="AC41" s="56">
        <f>OtherCoefficients!E49</f>
        <v>2.1739211389999999</v>
      </c>
      <c r="AD41" s="57">
        <f si="0" t="shared"/>
        <v>2.1739211389999999</v>
      </c>
      <c r="AE41">
        <f si="1" t="shared"/>
        <v>0</v>
      </c>
    </row>
    <row ht="14.65" r="42" spans="2:31" thickBot="1" x14ac:dyDescent="0.5">
      <c r="N42" s="23" t="s">
        <v>269</v>
      </c>
      <c r="T42">
        <v>60</v>
      </c>
      <c r="U42" t="str">
        <f si="15" t="shared"/>
        <v>bi-const</v>
      </c>
      <c r="V42" s="30">
        <f>R87</f>
        <v>-7.5034061052608321</v>
      </c>
      <c r="AA42">
        <f>OtherCoefficients!B50</f>
        <v>138</v>
      </c>
      <c r="AB42" t="str">
        <f>OtherCoefficients!C50</f>
        <v>sr-socrec</v>
      </c>
      <c r="AC42" s="56">
        <f>OtherCoefficients!E50</f>
        <v>0.54895052200000005</v>
      </c>
      <c r="AD42" s="57">
        <f si="0" t="shared"/>
        <v>0.54895052200000005</v>
      </c>
      <c r="AE42">
        <f si="1" t="shared"/>
        <v>0</v>
      </c>
    </row>
    <row r="43" spans="2:31" x14ac:dyDescent="0.4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67</v>
      </c>
      <c r="U43" t="str">
        <f si="15" t="shared"/>
        <v>bi-nocars</v>
      </c>
      <c r="V43" s="30">
        <f>O87</f>
        <v>-1.5649802915</v>
      </c>
      <c r="AA43">
        <f>OtherCoefficients!B51</f>
        <v>160</v>
      </c>
      <c r="AB43" t="str">
        <f>OtherCoefficients!C51</f>
        <v>bi-socrec</v>
      </c>
      <c r="AC43" s="56">
        <f>OtherCoefficients!E51</f>
        <v>0.97577037600000005</v>
      </c>
      <c r="AD43" s="57">
        <f si="0" t="shared"/>
        <v>0.97577037600000005</v>
      </c>
      <c r="AE43">
        <f si="1" t="shared"/>
        <v>0</v>
      </c>
    </row>
    <row r="44" spans="2:31" x14ac:dyDescent="0.45">
      <c r="N44" s="9" t="s">
        <v>1</v>
      </c>
      <c r="O44" s="51" t="str">
        <f ref="O44:R52" si="17" t="shared">IF(O18="","-",IF(O31&gt;0,LN(O31),0))</f>
        <v>-</v>
      </c>
      <c r="P44" s="51">
        <f si="17" t="shared"/>
        <v>1.4490811087097219E-2</v>
      </c>
      <c r="Q44" s="51" t="str">
        <f si="17" t="shared"/>
        <v>-</v>
      </c>
      <c r="R44" s="51">
        <f si="17" t="shared"/>
        <v>1.3950581636531306E-3</v>
      </c>
      <c r="T44">
        <v>68</v>
      </c>
      <c r="U44" t="str">
        <f si="15" t="shared"/>
        <v>bi-carsltd</v>
      </c>
      <c r="V44" s="30">
        <f>P87</f>
        <v>0.44391216245499998</v>
      </c>
      <c r="AA44">
        <f>OtherCoefficients!B52</f>
        <v>161</v>
      </c>
      <c r="AB44" t="str">
        <f>OtherCoefficients!C52</f>
        <v>bi-class1</v>
      </c>
      <c r="AC44" s="56">
        <f>OtherCoefficients!E52</f>
        <v>0.73068915300000004</v>
      </c>
      <c r="AD44" s="57">
        <f si="0" t="shared"/>
        <v>0.73068915300000004</v>
      </c>
      <c r="AE44">
        <f si="1" t="shared"/>
        <v>0</v>
      </c>
    </row>
    <row r="45" spans="2:31" x14ac:dyDescent="0.45">
      <c r="B45" s="23"/>
      <c r="N45" s="9" t="s">
        <v>2</v>
      </c>
      <c r="O45" s="52">
        <f si="17" t="shared"/>
        <v>-4.838874794509098E-2</v>
      </c>
      <c r="P45" s="52" t="str">
        <f si="17" t="shared"/>
        <v>-</v>
      </c>
      <c r="Q45" s="52">
        <f si="17" t="shared"/>
        <v>-9.0200560380943595E-3</v>
      </c>
      <c r="R45" s="52">
        <f si="17" t="shared"/>
        <v>-1.6081655583248709E-3</v>
      </c>
      <c r="T45">
        <v>70</v>
      </c>
      <c r="U45" t="str">
        <f si="15" t="shared"/>
        <v>wk-const</v>
      </c>
      <c r="V45" s="30">
        <f>R88</f>
        <v>0</v>
      </c>
      <c r="AA45">
        <f>OtherCoefficients!B53</f>
        <v>162</v>
      </c>
      <c r="AB45" t="str">
        <f>OtherCoefficients!C53</f>
        <v>bi-class2</v>
      </c>
      <c r="AC45" s="56">
        <f>OtherCoefficients!E53</f>
        <v>0.91913294499999998</v>
      </c>
      <c r="AD45" s="57">
        <f si="0" t="shared"/>
        <v>0.91913294499999998</v>
      </c>
      <c r="AE45">
        <f si="1" t="shared"/>
        <v>0</v>
      </c>
    </row>
    <row r="46" spans="2:31" x14ac:dyDescent="0.45">
      <c r="C46" s="11"/>
      <c r="D46" s="11"/>
      <c r="E46" s="11"/>
      <c r="N46" s="9" t="s">
        <v>3</v>
      </c>
      <c r="O46" s="52">
        <f si="17" t="shared"/>
        <v>-6.7003009286959014E-2</v>
      </c>
      <c r="P46" s="52" t="str">
        <f si="17" t="shared"/>
        <v>-</v>
      </c>
      <c r="Q46" s="52">
        <f si="17" t="shared"/>
        <v>-0.12248178681759282</v>
      </c>
      <c r="R46" s="52">
        <f si="17" t="shared"/>
        <v>-3.9404591285694653E-3</v>
      </c>
      <c r="T46">
        <v>77</v>
      </c>
      <c r="U46" t="str">
        <f si="15" t="shared"/>
        <v>wk-nocars</v>
      </c>
      <c r="V46" s="30">
        <f>O88</f>
        <v>1.739506086952</v>
      </c>
      <c r="AA46">
        <f>OtherCoefficients!B54</f>
        <v>163</v>
      </c>
      <c r="AB46" t="str">
        <f>OtherCoefficients!C54</f>
        <v>bi-gauntl</v>
      </c>
      <c r="AC46" s="56">
        <f>OtherCoefficients!E54</f>
        <v>-0.88337105100000002</v>
      </c>
      <c r="AD46" s="57">
        <f si="0" t="shared"/>
        <v>-0.88337105100000002</v>
      </c>
      <c r="AE46">
        <f si="1" t="shared"/>
        <v>0</v>
      </c>
    </row>
    <row r="47" spans="2:31" x14ac:dyDescent="0.45">
      <c r="B47" s="9"/>
      <c r="C47" s="11"/>
      <c r="D47" s="11"/>
      <c r="E47" s="11"/>
      <c r="N47" s="9" t="s">
        <v>4</v>
      </c>
      <c r="O47" s="52" t="str">
        <f si="17" t="shared"/>
        <v>-</v>
      </c>
      <c r="P47" s="52" t="str">
        <f si="17" t="shared"/>
        <v>-</v>
      </c>
      <c r="Q47" s="52" t="str">
        <f si="17" t="shared"/>
        <v>-</v>
      </c>
      <c r="R47" s="52" t="str">
        <f si="17" t="shared"/>
        <v>-</v>
      </c>
      <c r="T47">
        <v>78</v>
      </c>
      <c r="U47" t="str">
        <f si="15" t="shared"/>
        <v>wk-carsltd</v>
      </c>
      <c r="V47" s="30">
        <f>P88</f>
        <v>0.72433533718200005</v>
      </c>
      <c r="AA47">
        <f>OtherCoefficients!B55</f>
        <v>164</v>
      </c>
      <c r="AB47" t="str">
        <f>OtherCoefficients!C55</f>
        <v>bi-omixed</v>
      </c>
      <c r="AC47" s="56">
        <f>OtherCoefficients!E55</f>
        <v>2.868961434</v>
      </c>
      <c r="AD47" s="57">
        <f si="0" t="shared"/>
        <v>2.868961434</v>
      </c>
      <c r="AE47">
        <f si="1" t="shared"/>
        <v>0</v>
      </c>
    </row>
    <row r="48" spans="2:31" x14ac:dyDescent="0.45">
      <c r="B48" s="9"/>
      <c r="C48" s="11"/>
      <c r="D48" s="11"/>
      <c r="E48" s="11"/>
      <c r="N48" s="9" t="s">
        <v>5</v>
      </c>
      <c r="O48" s="52">
        <f si="17" t="shared"/>
        <v>0.22221058839523686</v>
      </c>
      <c r="P48" s="52">
        <f si="17" t="shared"/>
        <v>0</v>
      </c>
      <c r="Q48" s="52" t="str">
        <f si="17" t="shared"/>
        <v>-</v>
      </c>
      <c r="R48" s="52">
        <f si="17" t="shared"/>
        <v>-2.7210946154040558E-2</v>
      </c>
      <c r="T48">
        <v>80</v>
      </c>
      <c r="U48" t="e">
        <f si="15" t="shared"/>
        <v>#N/A</v>
      </c>
      <c r="V48" s="30" t="e">
        <f>R90</f>
        <v>#VALUE!</v>
      </c>
      <c r="AA48">
        <f>OtherCoefficients!B56</f>
        <v>165</v>
      </c>
      <c r="AB48" t="str">
        <f>OtherCoefficients!C56</f>
        <v>bi-ohhddn</v>
      </c>
      <c r="AC48" s="56">
        <f>OtherCoefficients!E56</f>
        <v>8.0969099999999997E-4</v>
      </c>
      <c r="AD48" s="57">
        <f si="0" t="shared"/>
        <v>8.0969099999999997E-4</v>
      </c>
      <c r="AE48">
        <f si="1" t="shared"/>
        <v>0</v>
      </c>
    </row>
    <row r="49" spans="2:31" x14ac:dyDescent="0.45">
      <c r="B49" s="9"/>
      <c r="C49" s="11"/>
      <c r="D49" s="11"/>
      <c r="E49" s="11"/>
      <c r="N49" s="9" t="s">
        <v>6</v>
      </c>
      <c r="O49" s="52">
        <f si="17" t="shared"/>
        <v>-0.2266757466903109</v>
      </c>
      <c r="P49" s="52">
        <f si="17" t="shared"/>
        <v>9.8863050486671461E-2</v>
      </c>
      <c r="Q49" s="52" t="str">
        <f si="17" t="shared"/>
        <v>-</v>
      </c>
      <c r="R49" s="52">
        <f si="17" t="shared"/>
        <v>3.8163362449316111E-2</v>
      </c>
      <c r="T49">
        <v>81</v>
      </c>
      <c r="U49" t="e">
        <f si="15" t="shared"/>
        <v>#N/A</v>
      </c>
      <c r="V49" s="30" t="e">
        <f>O90</f>
        <v>#VALUE!</v>
      </c>
      <c r="AA49">
        <f>OtherCoefficients!B57</f>
        <v>168</v>
      </c>
      <c r="AB49" t="str">
        <f>OtherCoefficients!C57</f>
        <v>bi-dempdn</v>
      </c>
      <c r="AC49" s="56">
        <f>OtherCoefficients!E57</f>
        <v>5.64362E-5</v>
      </c>
      <c r="AD49" s="57">
        <f si="0" t="shared"/>
        <v>5.64362E-5</v>
      </c>
      <c r="AE49">
        <f si="1" t="shared"/>
        <v>0</v>
      </c>
    </row>
    <row r="50" spans="2:31" x14ac:dyDescent="0.45">
      <c r="B50" s="9"/>
      <c r="C50" s="11"/>
      <c r="D50" s="11"/>
      <c r="E50" s="11"/>
      <c r="N50" s="9" t="s">
        <v>7</v>
      </c>
      <c r="O50" s="52">
        <f si="17" t="shared"/>
        <v>-3.3925015152410018E-2</v>
      </c>
      <c r="P50" s="52">
        <f si="17" t="shared"/>
        <v>1.5761204525329801E-2</v>
      </c>
      <c r="Q50" s="52" t="str">
        <f si="17" t="shared"/>
        <v>-</v>
      </c>
      <c r="R50" s="52">
        <f si="17" t="shared"/>
        <v>1.4178719441148182E-2</v>
      </c>
      <c r="T50" s="6">
        <v>82</v>
      </c>
      <c r="U50" s="6" t="e">
        <f si="15" t="shared"/>
        <v>#N/A</v>
      </c>
      <c r="V50" s="55" t="e">
        <f>P90</f>
        <v>#VALUE!</v>
      </c>
      <c r="AA50">
        <f>OtherCoefficients!B58</f>
        <v>169</v>
      </c>
      <c r="AB50" t="str">
        <f>OtherCoefficients!C58</f>
        <v>bi-dmixed</v>
      </c>
      <c r="AC50" s="56">
        <f>OtherCoefficients!E58</f>
        <v>1.043010376</v>
      </c>
      <c r="AD50" s="57">
        <f si="0" t="shared"/>
        <v>1.043010376</v>
      </c>
      <c r="AE50">
        <f si="1" t="shared"/>
        <v>0</v>
      </c>
    </row>
    <row r="51" spans="2:31" x14ac:dyDescent="0.45">
      <c r="B51" s="9"/>
      <c r="C51" s="11"/>
      <c r="D51" s="11"/>
      <c r="E51" s="11"/>
      <c r="N51" s="9" t="s">
        <v>8</v>
      </c>
      <c r="O51" s="52" t="str">
        <f si="17" t="shared"/>
        <v>-</v>
      </c>
      <c r="P51" s="52" t="str">
        <f si="17" t="shared"/>
        <v>-</v>
      </c>
      <c r="Q51" s="52" t="str">
        <f si="17" t="shared"/>
        <v>-</v>
      </c>
      <c r="R51" s="52" t="str">
        <f si="17" t="shared"/>
        <v>-</v>
      </c>
      <c r="AA51">
        <f>OtherCoefficients!B59</f>
        <v>171</v>
      </c>
      <c r="AB51" t="str">
        <f>OtherCoefficients!C59</f>
        <v>wk-meal</v>
      </c>
      <c r="AC51" s="56">
        <f>OtherCoefficients!E59</f>
        <v>1.238277402</v>
      </c>
      <c r="AD51" s="57">
        <f si="0" t="shared"/>
        <v>1.238277402</v>
      </c>
      <c r="AE51">
        <f si="1" t="shared"/>
        <v>0</v>
      </c>
    </row>
    <row r="52" spans="2:31" x14ac:dyDescent="0.45">
      <c r="B52" s="9"/>
      <c r="C52" s="11"/>
      <c r="D52" s="11"/>
      <c r="E52" s="11"/>
      <c r="N52" s="12" t="s">
        <v>302</v>
      </c>
      <c r="O52" s="53">
        <f si="17" t="shared"/>
        <v>0</v>
      </c>
      <c r="P52" s="53">
        <f si="17" t="shared"/>
        <v>0</v>
      </c>
      <c r="Q52" s="53" t="str">
        <f si="17" t="shared"/>
        <v>-</v>
      </c>
      <c r="R52" s="53">
        <f si="17" t="shared"/>
        <v>0</v>
      </c>
      <c r="AA52">
        <f>OtherCoefficients!B60</f>
        <v>172</v>
      </c>
      <c r="AB52" t="str">
        <f>OtherCoefficients!C60</f>
        <v>wk-socrec</v>
      </c>
      <c r="AC52" s="56">
        <f>OtherCoefficients!E60</f>
        <v>1.3528226169999999</v>
      </c>
      <c r="AD52" s="57">
        <f si="0" t="shared"/>
        <v>1.3528226169999999</v>
      </c>
      <c r="AE52">
        <f si="1" t="shared"/>
        <v>0</v>
      </c>
    </row>
    <row r="53" spans="2:31" x14ac:dyDescent="0.45">
      <c r="B53" s="9"/>
      <c r="C53" s="11"/>
      <c r="D53" s="11"/>
      <c r="E53" s="11"/>
      <c r="AA53">
        <f>OtherCoefficients!B61</f>
        <v>175</v>
      </c>
      <c r="AB53" t="str">
        <f>OtherCoefficients!C61</f>
        <v>wk-ohhddn</v>
      </c>
      <c r="AC53" s="56">
        <f>OtherCoefficients!E61</f>
        <v>8.3440800000000002E-4</v>
      </c>
      <c r="AD53" s="57">
        <f si="0" t="shared"/>
        <v>8.3440800000000002E-4</v>
      </c>
      <c r="AE53">
        <f si="1" t="shared"/>
        <v>0</v>
      </c>
    </row>
    <row r="54" spans="2:31" x14ac:dyDescent="0.45">
      <c r="B54" s="9"/>
      <c r="P54" t="s">
        <v>259</v>
      </c>
      <c r="AA54">
        <f>OtherCoefficients!B62</f>
        <v>178</v>
      </c>
      <c r="AB54" t="str">
        <f>OtherCoefficients!C62</f>
        <v>wk-dempdn</v>
      </c>
      <c r="AC54" s="56">
        <f>OtherCoefficients!E62</f>
        <v>1.08743E-5</v>
      </c>
      <c r="AD54" s="57">
        <f si="0" t="shared"/>
        <v>1.08743E-5</v>
      </c>
      <c r="AE54">
        <f si="1" t="shared"/>
        <v>0</v>
      </c>
    </row>
    <row ht="14.65" r="55" spans="2:31" thickBot="1" x14ac:dyDescent="0.5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A55">
        <f>OtherCoefficients!B63</f>
        <v>180</v>
      </c>
      <c r="AB55" t="str">
        <f>OtherCoefficients!C63</f>
        <v>wt-univtr</v>
      </c>
      <c r="AC55" s="56">
        <f>OtherCoefficients!E63</f>
        <v>-5.9573940959999998</v>
      </c>
      <c r="AD55" s="57">
        <f si="0" t="shared"/>
        <v>-5.9573940959999998</v>
      </c>
      <c r="AE55">
        <f si="1" t="shared"/>
        <v>0</v>
      </c>
    </row>
    <row r="56" spans="2:31" x14ac:dyDescent="0.45">
      <c r="C56" s="11"/>
      <c r="D56" s="11"/>
      <c r="E56" s="11"/>
      <c r="N56" s="2" t="s">
        <v>0</v>
      </c>
      <c r="O56" s="64" t="str">
        <f>O43</f>
        <v>nocars</v>
      </c>
      <c r="P56" s="64" t="str">
        <f>P43</f>
        <v>cars &lt; adults</v>
      </c>
      <c r="Q56" s="64" t="str">
        <f>Q43</f>
        <v>cars &lt; workers</v>
      </c>
      <c r="R56" s="64" t="str">
        <f>R43</f>
        <v>constant</v>
      </c>
      <c r="AA56">
        <f>OtherCoefficients!B64</f>
        <v>99</v>
      </c>
      <c r="AB56" t="str">
        <f>OtherCoefficients!C64</f>
        <v>modenest</v>
      </c>
      <c r="AC56" s="56">
        <f>OtherCoefficients!E64</f>
        <v>0.78390199500000002</v>
      </c>
      <c r="AD56" s="57">
        <f ref="AD56:AD57" si="18" t="shared">_xlfn.IFNA(VLOOKUP(AA56,$T$31:$V$50,3,FALSE),AC56)</f>
        <v>0.78390199500000002</v>
      </c>
      <c r="AE56">
        <f si="1" t="shared"/>
        <v>0</v>
      </c>
    </row>
    <row r="57" spans="2:31" x14ac:dyDescent="0.45">
      <c r="B57" s="9"/>
      <c r="C57" s="11"/>
      <c r="D57" s="11"/>
      <c r="E57" s="11"/>
      <c r="N57" s="9" t="s">
        <v>1</v>
      </c>
      <c r="O57" s="47" t="str">
        <f>IF(O18="","-",IF($R18="",$O$55*O44,$O$55*(O44)))</f>
        <v>-</v>
      </c>
      <c r="P57" s="47">
        <f ref="P57:P65" si="19" t="shared">IF(P18="","-",IF($R18="",$P$55*P44,$P$55*(P44)))</f>
        <v>0</v>
      </c>
      <c r="Q57" s="47" t="str">
        <f>IF(Q18="","-",IF($R18="",$Q$55*Q44,$Q$55*(Q44)))</f>
        <v>-</v>
      </c>
      <c r="R57" s="47">
        <f ref="R57:R65" si="20" t="shared">IF(R18="","-",$R$55*(R44-$R$50))</f>
        <v>-1.2783661277495051E-2</v>
      </c>
      <c r="AA57">
        <f>OtherCoefficients!B65</f>
        <v>-1</v>
      </c>
      <c r="AB57">
        <f>OtherCoefficients!C65</f>
        <v>0</v>
      </c>
      <c r="AC57" s="56">
        <f>OtherCoefficients!E65</f>
        <v>0</v>
      </c>
      <c r="AD57" s="57">
        <f si="18" t="shared"/>
        <v>0</v>
      </c>
      <c r="AE57">
        <f si="1" t="shared"/>
        <v>0</v>
      </c>
    </row>
    <row r="58" spans="2:31" x14ac:dyDescent="0.4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 t="str">
        <f si="19" t="shared"/>
        <v>-</v>
      </c>
      <c r="Q58" s="48">
        <f>IF(Q19="","-",IF($R19="",$Q$55*Q45,$Q$55*(Q45)))</f>
        <v>0</v>
      </c>
      <c r="R58" s="48">
        <f si="20" t="shared"/>
        <v>-1.5786884999473054E-2</v>
      </c>
      <c r="AC58" s="56"/>
      <c r="AD58" s="57"/>
    </row>
    <row r="59" spans="2:31" x14ac:dyDescent="0.45">
      <c r="B59" s="9"/>
      <c r="C59" s="46"/>
      <c r="D59" s="46"/>
      <c r="E59" s="46"/>
      <c r="N59" s="9" t="s">
        <v>3</v>
      </c>
      <c r="O59" s="48">
        <f>IF(O20="","-",IF($R20="",$O$55*O46,$O$55*(O46-O58)))</f>
        <v>0</v>
      </c>
      <c r="P59" s="48" t="str">
        <f si="19" t="shared"/>
        <v>-</v>
      </c>
      <c r="Q59" s="48">
        <f>IF(Q20="","-",IF($R20="",$Q$55*Q46,$Q$55*(Q46-Q58)))</f>
        <v>0</v>
      </c>
      <c r="R59" s="48">
        <f si="20" t="shared"/>
        <v>-1.8119178569717648E-2</v>
      </c>
      <c r="AC59" s="56"/>
      <c r="AD59" s="57"/>
    </row>
    <row r="60" spans="2:31" x14ac:dyDescent="0.45">
      <c r="B60" s="9"/>
      <c r="C60" s="11"/>
      <c r="D60" s="11"/>
      <c r="E60" s="11"/>
      <c r="N60" s="9" t="s">
        <v>4</v>
      </c>
      <c r="O60" s="48" t="str">
        <f ref="O60:O65" si="21" t="shared">IF(O21="","-",IF($R21="",$O$55*O47,$O$55*(O47)))</f>
        <v>-</v>
      </c>
      <c r="P60" s="48" t="str">
        <f si="19" t="shared"/>
        <v>-</v>
      </c>
      <c r="Q60" s="48" t="str">
        <f ref="Q60:Q65" si="22" t="shared">IF(Q21="","-",IF($R21="",$Q$55*Q47,$Q$55*(Q47)))</f>
        <v>-</v>
      </c>
      <c r="R60" s="48" t="str">
        <f si="20" t="shared"/>
        <v>-</v>
      </c>
      <c r="AC60" s="56"/>
      <c r="AD60" s="57"/>
    </row>
    <row r="61" spans="2:31" x14ac:dyDescent="0.45">
      <c r="B61" s="9"/>
      <c r="C61" s="11"/>
      <c r="D61" s="11"/>
      <c r="E61" s="11"/>
      <c r="N61" s="9" t="s">
        <v>5</v>
      </c>
      <c r="O61" s="48">
        <f si="21" t="shared"/>
        <v>0</v>
      </c>
      <c r="P61" s="48">
        <f si="19" t="shared"/>
        <v>0</v>
      </c>
      <c r="Q61" s="48" t="str">
        <f si="22" t="shared"/>
        <v>-</v>
      </c>
      <c r="R61" s="48">
        <f si="20" t="shared"/>
        <v>-4.1389665595188738E-2</v>
      </c>
      <c r="AC61" s="56"/>
      <c r="AD61" s="57"/>
    </row>
    <row r="62" spans="2:31" x14ac:dyDescent="0.45">
      <c r="B62" s="9"/>
      <c r="C62" s="11"/>
      <c r="D62" s="11"/>
      <c r="E62" s="11"/>
      <c r="N62" s="9" t="s">
        <v>6</v>
      </c>
      <c r="O62" s="48">
        <f si="21" t="shared"/>
        <v>0</v>
      </c>
      <c r="P62" s="48">
        <f si="19" t="shared"/>
        <v>0</v>
      </c>
      <c r="Q62" s="48" t="str">
        <f si="22" t="shared"/>
        <v>-</v>
      </c>
      <c r="R62" s="48">
        <f si="20" t="shared"/>
        <v>2.3984643008167932E-2</v>
      </c>
      <c r="AC62" s="56"/>
      <c r="AD62" s="57"/>
    </row>
    <row r="63" spans="2:31" x14ac:dyDescent="0.45">
      <c r="B63" s="9"/>
      <c r="C63" s="11"/>
      <c r="D63" s="11"/>
      <c r="E63" s="11"/>
      <c r="N63" s="9" t="s">
        <v>7</v>
      </c>
      <c r="O63" s="48">
        <f si="21" t="shared"/>
        <v>0</v>
      </c>
      <c r="P63" s="48">
        <f si="19" t="shared"/>
        <v>0</v>
      </c>
      <c r="Q63" s="48" t="str">
        <f si="22" t="shared"/>
        <v>-</v>
      </c>
      <c r="R63" s="48">
        <f si="20" t="shared"/>
        <v>0</v>
      </c>
      <c r="AC63" s="56"/>
      <c r="AD63" s="57"/>
    </row>
    <row r="64" spans="2:31" x14ac:dyDescent="0.45">
      <c r="B64" s="9"/>
      <c r="C64" s="11"/>
      <c r="D64" s="11"/>
      <c r="E64" s="11"/>
      <c r="N64" s="9" t="s">
        <v>8</v>
      </c>
      <c r="O64" s="48" t="str">
        <f si="21" t="shared"/>
        <v>-</v>
      </c>
      <c r="P64" s="48" t="str">
        <f si="19" t="shared"/>
        <v>-</v>
      </c>
      <c r="Q64" s="48" t="str">
        <f si="22" t="shared"/>
        <v>-</v>
      </c>
      <c r="R64" s="48" t="str">
        <f si="20" t="shared"/>
        <v>-</v>
      </c>
      <c r="AC64" s="56"/>
      <c r="AD64" s="57"/>
    </row>
    <row r="65" spans="2:30" x14ac:dyDescent="0.45">
      <c r="B65" s="9"/>
      <c r="C65" s="11"/>
      <c r="D65" s="11"/>
      <c r="E65" s="11"/>
      <c r="N65" s="12" t="s">
        <v>302</v>
      </c>
      <c r="O65" s="49">
        <f si="21" t="shared"/>
        <v>0</v>
      </c>
      <c r="P65" s="49">
        <f si="19" t="shared"/>
        <v>0</v>
      </c>
      <c r="Q65" s="49" t="str">
        <f si="22" t="shared"/>
        <v>-</v>
      </c>
      <c r="R65" s="49">
        <f si="20" t="shared"/>
        <v>-1.4178719441148182E-2</v>
      </c>
      <c r="AC65" s="56"/>
      <c r="AD65" s="57"/>
    </row>
    <row r="66" spans="2:30" x14ac:dyDescent="0.45">
      <c r="N66" s="9" t="s">
        <v>273</v>
      </c>
      <c r="AC66" s="56"/>
      <c r="AD66" s="57"/>
    </row>
    <row r="67" spans="2:30" x14ac:dyDescent="0.45">
      <c r="B67" s="23"/>
      <c r="AC67" s="56"/>
      <c r="AD67" s="57"/>
    </row>
    <row ht="14.65" r="68" spans="2:30" thickBot="1" x14ac:dyDescent="0.5">
      <c r="C68" s="11"/>
      <c r="D68" s="11"/>
      <c r="E68" s="11"/>
      <c r="N68" s="37" t="s">
        <v>212</v>
      </c>
      <c r="AC68" s="56"/>
      <c r="AD68" s="57"/>
    </row>
    <row r="69" spans="2:30" x14ac:dyDescent="0.4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  <c r="AC69" s="56"/>
      <c r="AD69" s="57"/>
    </row>
    <row r="70" spans="2:30" x14ac:dyDescent="0.45">
      <c r="B70" s="9"/>
      <c r="C70" s="46"/>
      <c r="D70" s="11"/>
      <c r="E70" s="11"/>
      <c r="N70" s="9" t="s">
        <v>1</v>
      </c>
      <c r="O70" s="47" t="str">
        <f ref="O70:R78" si="23" t="shared">IFERROR(VLOOKUP(O18,$AA$3:$AC$48,3,FALSE),"-")</f>
        <v>-</v>
      </c>
      <c r="P70" s="47">
        <f si="23" t="shared"/>
        <v>-0.64206868482799995</v>
      </c>
      <c r="Q70" s="47" t="str">
        <f si="23" t="shared"/>
        <v>-</v>
      </c>
      <c r="R70" s="47">
        <f si="23" t="shared"/>
        <v>-1.7840383030589999</v>
      </c>
      <c r="AC70" s="56"/>
      <c r="AD70" s="57"/>
    </row>
    <row r="71" spans="2:30" x14ac:dyDescent="0.45">
      <c r="B71" s="9"/>
      <c r="C71" s="46"/>
      <c r="D71" s="11"/>
      <c r="E71" s="11"/>
      <c r="N71" s="9" t="s">
        <v>2</v>
      </c>
      <c r="O71" s="48">
        <f si="23" t="shared"/>
        <v>-1.239876410653</v>
      </c>
      <c r="P71" s="48" t="str">
        <f si="23" t="shared"/>
        <v>-</v>
      </c>
      <c r="Q71" s="48">
        <f si="23" t="shared"/>
        <v>-0.18345831477899999</v>
      </c>
      <c r="R71" s="48">
        <f si="23" t="shared"/>
        <v>-3.5509530513579999</v>
      </c>
      <c r="AC71" s="56"/>
      <c r="AD71" s="57"/>
    </row>
    <row r="72" spans="2:30" x14ac:dyDescent="0.45">
      <c r="B72" s="9"/>
      <c r="C72" s="11"/>
      <c r="D72" s="11"/>
      <c r="E72" s="11"/>
      <c r="N72" s="9" t="s">
        <v>3</v>
      </c>
      <c r="O72" s="48">
        <f si="23" t="shared"/>
        <v>-0.31010245280999998</v>
      </c>
      <c r="P72" s="48" t="str">
        <f si="23" t="shared"/>
        <v>-</v>
      </c>
      <c r="Q72" s="48">
        <f si="23" t="shared"/>
        <v>-2.5497656950660001</v>
      </c>
      <c r="R72" s="48">
        <f si="23" t="shared"/>
        <v>-3.4827609567670001</v>
      </c>
      <c r="AC72" s="56"/>
      <c r="AD72" s="57"/>
    </row>
    <row r="73" spans="2:30" x14ac:dyDescent="0.45">
      <c r="B73" s="9"/>
      <c r="C73" s="11"/>
      <c r="D73" s="11"/>
      <c r="E73" s="11"/>
      <c r="N73" s="9" t="s">
        <v>4</v>
      </c>
      <c r="O73" s="48" t="str">
        <f si="23" t="shared"/>
        <v>-</v>
      </c>
      <c r="P73" s="48" t="str">
        <f si="23" t="shared"/>
        <v>-</v>
      </c>
      <c r="Q73" s="48" t="str">
        <f si="23" t="shared"/>
        <v>-</v>
      </c>
      <c r="R73" s="48" t="str">
        <f si="23" t="shared"/>
        <v>-</v>
      </c>
    </row>
    <row r="74" spans="2:30" x14ac:dyDescent="0.45">
      <c r="B74" s="9"/>
      <c r="C74" s="11"/>
      <c r="D74" s="11"/>
      <c r="E74" s="11"/>
      <c r="N74" s="9" t="s">
        <v>5</v>
      </c>
      <c r="O74" s="48">
        <f si="23" t="shared"/>
        <v>4.0065310419979996</v>
      </c>
      <c r="P74" s="48">
        <f si="23" t="shared"/>
        <v>8.4805857060999995E-2</v>
      </c>
      <c r="Q74" s="48" t="str">
        <f si="23" t="shared"/>
        <v>-</v>
      </c>
      <c r="R74" s="48">
        <f si="23" t="shared"/>
        <v>-7.0570794522</v>
      </c>
    </row>
    <row r="75" spans="2:30" x14ac:dyDescent="0.45">
      <c r="B75" s="9"/>
      <c r="C75" s="11"/>
      <c r="D75" s="11"/>
      <c r="E75" s="11"/>
      <c r="N75" s="9" t="s">
        <v>6</v>
      </c>
      <c r="O75" s="48">
        <f si="23" t="shared"/>
        <v>-1.5649802915</v>
      </c>
      <c r="P75" s="48">
        <f si="23" t="shared"/>
        <v>0.44391216245499998</v>
      </c>
      <c r="Q75" s="48" t="str">
        <f si="23" t="shared"/>
        <v>-</v>
      </c>
      <c r="R75" s="48">
        <f si="23" t="shared"/>
        <v>-7.5273907482690001</v>
      </c>
    </row>
    <row r="76" spans="2:30" x14ac:dyDescent="0.45">
      <c r="B76" s="9"/>
      <c r="C76" s="11"/>
      <c r="D76" s="11"/>
      <c r="E76" s="11"/>
      <c r="N76" s="9" t="s">
        <v>7</v>
      </c>
      <c r="O76" s="48">
        <f si="23" t="shared"/>
        <v>1.739506086952</v>
      </c>
      <c r="P76" s="48">
        <f si="23" t="shared"/>
        <v>0.72433533718200005</v>
      </c>
      <c r="Q76" s="48" t="str">
        <f si="23" t="shared"/>
        <v>-</v>
      </c>
      <c r="R76" s="48">
        <f si="23" t="shared"/>
        <v>0</v>
      </c>
    </row>
    <row r="77" spans="2:30" x14ac:dyDescent="0.45">
      <c r="B77" s="9"/>
      <c r="N77" s="9" t="s">
        <v>8</v>
      </c>
      <c r="O77" s="48" t="str">
        <f si="23" t="shared"/>
        <v>-</v>
      </c>
      <c r="P77" s="48" t="str">
        <f si="23" t="shared"/>
        <v>-</v>
      </c>
      <c r="Q77" s="48" t="str">
        <f si="23" t="shared"/>
        <v>-</v>
      </c>
      <c r="R77" s="48" t="str">
        <f si="23" t="shared"/>
        <v>-</v>
      </c>
    </row>
    <row r="78" spans="2:30" x14ac:dyDescent="0.45">
      <c r="N78" s="12" t="s">
        <v>302</v>
      </c>
      <c r="O78" s="49" t="str">
        <f si="23" t="shared"/>
        <v>-</v>
      </c>
      <c r="P78" s="49" t="str">
        <f si="23" t="shared"/>
        <v>-</v>
      </c>
      <c r="Q78" s="49" t="str">
        <f si="23" t="shared"/>
        <v>-</v>
      </c>
      <c r="R78" s="49" t="str">
        <f si="23" t="shared"/>
        <v>-</v>
      </c>
    </row>
    <row ht="14.65" r="80" spans="2:30" thickBot="1" x14ac:dyDescent="0.5">
      <c r="H80" s="5" t="s">
        <v>235</v>
      </c>
      <c r="N80" s="37" t="s">
        <v>213</v>
      </c>
    </row>
    <row r="81" spans="8:18" x14ac:dyDescent="0.4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45">
      <c r="H82" s="9" t="s">
        <v>1</v>
      </c>
      <c r="I82" s="11" t="str">
        <f ref="I82:I90" si="24" t="shared">IF(ISBLANK(O18),"",O18)</f>
        <v/>
      </c>
      <c r="J82" s="11">
        <f ref="J82:J90" si="25" t="shared">IF(ISBLANK(P18),"",P18)</f>
        <v>52</v>
      </c>
      <c r="K82" s="11" t="str">
        <f ref="K82:K90" si="26" t="shared">IF(ISBLANK(Q18),"",Q18)</f>
        <v/>
      </c>
      <c r="L82" s="11">
        <f ref="L82:L90" si="27" t="shared">IF(ISBLANK(R18),"",R18)</f>
        <v>50</v>
      </c>
      <c r="N82" s="9" t="s">
        <v>1</v>
      </c>
      <c r="O82" s="48" t="str">
        <f ref="O82:R90" si="28" t="shared">IF(O18="","-",O57+O70)</f>
        <v>-</v>
      </c>
      <c r="P82" s="48">
        <f si="28" t="shared"/>
        <v>-0.64206868482799995</v>
      </c>
      <c r="Q82" s="48" t="str">
        <f si="28" t="shared"/>
        <v>-</v>
      </c>
      <c r="R82" s="48">
        <f si="28" t="shared"/>
        <v>-1.7968219643364949</v>
      </c>
    </row>
    <row r="83" spans="8:18" x14ac:dyDescent="0.45">
      <c r="H83" s="9" t="s">
        <v>2</v>
      </c>
      <c r="I83" s="11">
        <f si="24" t="shared"/>
        <v>41</v>
      </c>
      <c r="J83" s="11" t="str">
        <f si="25" t="shared"/>
        <v/>
      </c>
      <c r="K83" s="11">
        <f si="26" t="shared"/>
        <v>43</v>
      </c>
      <c r="L83" s="11">
        <f si="27" t="shared"/>
        <v>40</v>
      </c>
      <c r="N83" s="9" t="s">
        <v>2</v>
      </c>
      <c r="O83" s="48">
        <f si="28" t="shared"/>
        <v>-1.239876410653</v>
      </c>
      <c r="P83" s="48" t="str">
        <f si="28" t="shared"/>
        <v>-</v>
      </c>
      <c r="Q83" s="48">
        <f si="28" t="shared"/>
        <v>-0.18345831477899999</v>
      </c>
      <c r="R83" s="48">
        <f si="28" t="shared"/>
        <v>-3.566739936357473</v>
      </c>
    </row>
    <row r="84" spans="8:18" x14ac:dyDescent="0.45">
      <c r="H84" s="9" t="s">
        <v>3</v>
      </c>
      <c r="I84" s="11">
        <f si="24" t="shared"/>
        <v>36</v>
      </c>
      <c r="J84" s="11" t="str">
        <f si="25" t="shared"/>
        <v/>
      </c>
      <c r="K84" s="11">
        <f si="26" t="shared"/>
        <v>37</v>
      </c>
      <c r="L84" s="11">
        <f si="27" t="shared"/>
        <v>30</v>
      </c>
      <c r="N84" s="9" t="s">
        <v>3</v>
      </c>
      <c r="O84" s="48">
        <f si="28" t="shared"/>
        <v>-0.31010245280999998</v>
      </c>
      <c r="P84" s="48" t="str">
        <f si="28" t="shared"/>
        <v>-</v>
      </c>
      <c r="Q84" s="48">
        <f si="28" t="shared"/>
        <v>-2.5497656950660001</v>
      </c>
      <c r="R84" s="48">
        <f si="28" t="shared"/>
        <v>-3.5008801353367178</v>
      </c>
    </row>
    <row r="85" spans="8:18" x14ac:dyDescent="0.45">
      <c r="H85" s="9" t="s">
        <v>4</v>
      </c>
      <c r="I85" s="11" t="str">
        <f si="24" t="shared"/>
        <v/>
      </c>
      <c r="J85" s="11" t="str">
        <f si="25" t="shared"/>
        <v/>
      </c>
      <c r="K85" s="11" t="str">
        <f si="26" t="shared"/>
        <v/>
      </c>
      <c r="L85" s="11" t="str">
        <f si="27" t="shared"/>
        <v/>
      </c>
      <c r="N85" s="9" t="s">
        <v>4</v>
      </c>
      <c r="O85" s="48" t="str">
        <f si="28" t="shared"/>
        <v>-</v>
      </c>
      <c r="P85" s="48" t="str">
        <f si="28" t="shared"/>
        <v>-</v>
      </c>
      <c r="Q85" s="48" t="str">
        <f si="28" t="shared"/>
        <v>-</v>
      </c>
      <c r="R85" s="48" t="str">
        <f si="28" t="shared"/>
        <v>-</v>
      </c>
    </row>
    <row r="86" spans="8:18" x14ac:dyDescent="0.45">
      <c r="H86" s="9" t="s">
        <v>5</v>
      </c>
      <c r="I86" s="11">
        <f si="24" t="shared"/>
        <v>21</v>
      </c>
      <c r="J86" s="11">
        <f si="25" t="shared"/>
        <v>22</v>
      </c>
      <c r="K86" s="11" t="str">
        <f si="26" t="shared"/>
        <v/>
      </c>
      <c r="L86" s="11">
        <f si="27" t="shared"/>
        <v>20</v>
      </c>
      <c r="N86" s="9" t="s">
        <v>5</v>
      </c>
      <c r="O86" s="48">
        <f si="28" t="shared"/>
        <v>4.0065310419979996</v>
      </c>
      <c r="P86" s="48">
        <f si="28" t="shared"/>
        <v>8.4805857060999995E-2</v>
      </c>
      <c r="Q86" s="48" t="str">
        <f si="28" t="shared"/>
        <v>-</v>
      </c>
      <c r="R86" s="48">
        <f si="28" t="shared"/>
        <v>-7.0984691177951884</v>
      </c>
    </row>
    <row r="87" spans="8:18" x14ac:dyDescent="0.45">
      <c r="H87" s="9" t="s">
        <v>6</v>
      </c>
      <c r="I87" s="11">
        <f si="24" t="shared"/>
        <v>67</v>
      </c>
      <c r="J87" s="11">
        <f si="25" t="shared"/>
        <v>68</v>
      </c>
      <c r="K87" s="11" t="str">
        <f si="26" t="shared"/>
        <v/>
      </c>
      <c r="L87" s="11">
        <f si="27" t="shared"/>
        <v>60</v>
      </c>
      <c r="N87" s="9" t="s">
        <v>6</v>
      </c>
      <c r="O87" s="48">
        <f si="28" t="shared"/>
        <v>-1.5649802915</v>
      </c>
      <c r="P87" s="48">
        <f si="28" t="shared"/>
        <v>0.44391216245499998</v>
      </c>
      <c r="Q87" s="48" t="str">
        <f si="28" t="shared"/>
        <v>-</v>
      </c>
      <c r="R87" s="48">
        <f si="28" t="shared"/>
        <v>-7.5034061052608321</v>
      </c>
    </row>
    <row r="88" spans="8:18" x14ac:dyDescent="0.45">
      <c r="H88" s="9" t="s">
        <v>7</v>
      </c>
      <c r="I88" s="11">
        <f si="24" t="shared"/>
        <v>77</v>
      </c>
      <c r="J88" s="11">
        <f si="25" t="shared"/>
        <v>78</v>
      </c>
      <c r="K88" s="11" t="str">
        <f si="26" t="shared"/>
        <v/>
      </c>
      <c r="L88" s="11">
        <f si="27" t="shared"/>
        <v>70</v>
      </c>
      <c r="N88" s="9" t="s">
        <v>7</v>
      </c>
      <c r="O88" s="48">
        <f si="28" t="shared"/>
        <v>1.739506086952</v>
      </c>
      <c r="P88" s="48">
        <f si="28" t="shared"/>
        <v>0.72433533718200005</v>
      </c>
      <c r="Q88" s="48" t="str">
        <f si="28" t="shared"/>
        <v>-</v>
      </c>
      <c r="R88" s="48">
        <f si="28" t="shared"/>
        <v>0</v>
      </c>
    </row>
    <row r="89" spans="8:18" x14ac:dyDescent="0.45">
      <c r="H89" s="9" t="s">
        <v>8</v>
      </c>
      <c r="I89" s="11" t="str">
        <f si="24" t="shared"/>
        <v/>
      </c>
      <c r="J89" s="11" t="str">
        <f si="25" t="shared"/>
        <v/>
      </c>
      <c r="K89" s="11" t="str">
        <f si="26" t="shared"/>
        <v/>
      </c>
      <c r="L89" s="11" t="str">
        <f si="27" t="shared"/>
        <v/>
      </c>
      <c r="N89" s="9" t="s">
        <v>8</v>
      </c>
      <c r="O89" s="48" t="str">
        <f si="28" t="shared"/>
        <v>-</v>
      </c>
      <c r="P89" s="48" t="str">
        <f si="28" t="shared"/>
        <v>-</v>
      </c>
      <c r="Q89" s="48" t="str">
        <f si="28" t="shared"/>
        <v>-</v>
      </c>
      <c r="R89" s="48" t="str">
        <f si="28" t="shared"/>
        <v>-</v>
      </c>
    </row>
    <row r="90" spans="8:18" x14ac:dyDescent="0.45">
      <c r="H90" s="12" t="s">
        <v>302</v>
      </c>
      <c r="I90" s="7">
        <f si="24" t="shared"/>
        <v>81</v>
      </c>
      <c r="J90" s="7">
        <f si="25" t="shared"/>
        <v>82</v>
      </c>
      <c r="K90" s="7" t="str">
        <f si="26" t="shared"/>
        <v/>
      </c>
      <c r="L90" s="7">
        <f si="27" t="shared"/>
        <v>80</v>
      </c>
      <c r="N90" s="12" t="s">
        <v>302</v>
      </c>
      <c r="O90" s="49" t="e">
        <f si="28" t="shared"/>
        <v>#VALUE!</v>
      </c>
      <c r="P90" s="49" t="e">
        <f si="28" t="shared"/>
        <v>#VALUE!</v>
      </c>
      <c r="Q90" s="49" t="str">
        <f si="28" t="shared"/>
        <v>-</v>
      </c>
      <c r="R90" s="49" t="e">
        <f si="28" t="shared"/>
        <v>#VALUE!</v>
      </c>
    </row>
  </sheetData>
  <mergeCells count="2">
    <mergeCell ref="B15:F15"/>
    <mergeCell ref="H15:L15"/>
  </mergeCells>
  <conditionalFormatting sqref="AE3:AE72">
    <cfRule dxfId="7" operator="greaterThan" priority="4" type="cellIs">
      <formula>0</formula>
    </cfRule>
  </conditionalFormatting>
  <conditionalFormatting sqref="O35:P37 O39:P39 P31 R31 O32:O33 Q32:R33 R35:R37 R39">
    <cfRule dxfId="6" operator="greaterThan" priority="3" type="cellIs">
      <formula>1.05</formula>
    </cfRule>
    <cfRule dxfId="5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A8FCF1AC-D752-4E6B-B746-425228A2B37C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00B050"/>
  </sheetPr>
  <dimension ref="B1:AF90"/>
  <sheetViews>
    <sheetView topLeftCell="B40" workbookViewId="0" zoomScaleNormal="100">
      <selection activeCell="T53" sqref="T53"/>
    </sheetView>
  </sheetViews>
  <sheetFormatPr defaultRowHeight="14.25" x14ac:dyDescent="0.45"/>
  <cols>
    <col min="2" max="2" bestFit="true" customWidth="true" width="14.1328125" collapsed="true"/>
    <col min="4" max="4" bestFit="true" customWidth="true" width="11.73046875" collapsed="true"/>
    <col min="5" max="5" bestFit="true" customWidth="true" width="13.59765625" collapsed="true"/>
    <col min="6" max="6" bestFit="true" customWidth="true" width="9.1328125" collapsed="true"/>
    <col min="8" max="8" bestFit="true" customWidth="true" width="14.1328125" collapsed="true"/>
    <col min="10" max="10" bestFit="true" customWidth="true" width="11.73046875" collapsed="true"/>
    <col min="11" max="11" bestFit="true" customWidth="true" width="13.59765625" collapsed="true"/>
    <col min="12" max="12" bestFit="true" customWidth="true" width="7.59765625" collapsed="true"/>
    <col min="13" max="13" width="9.1328125" collapsed="true"/>
    <col min="14" max="14" bestFit="true" customWidth="true" width="14.1328125" collapsed="true"/>
    <col min="15" max="15" bestFit="true" customWidth="true" width="9.265625" collapsed="true"/>
    <col min="16" max="16" bestFit="true" customWidth="true" width="12.0" collapsed="true"/>
    <col min="17" max="17" bestFit="true" customWidth="true" width="13.86328125" collapsed="true"/>
    <col min="18" max="18" bestFit="true" customWidth="true" width="9.265625" collapsed="true"/>
    <col min="20" max="20" customWidth="true" width="5.59765625" collapsed="true"/>
    <col min="21" max="21" customWidth="true" width="12.86328125" collapsed="true"/>
    <col min="22" max="22" bestFit="true" customWidth="true" width="11.73046875" collapsed="true"/>
    <col min="23" max="23" bestFit="true" customWidth="true" width="13.59765625" collapsed="true"/>
    <col min="28" max="28" bestFit="true" customWidth="true" width="11.0" collapsed="true"/>
    <col min="29" max="30" bestFit="true" customWidth="true" width="15.3984375" collapsed="true"/>
  </cols>
  <sheetData>
    <row r="1" spans="2:31" x14ac:dyDescent="0.45">
      <c r="T1" s="23" t="s">
        <v>202</v>
      </c>
      <c r="U1" s="32"/>
      <c r="V1" s="32"/>
      <c r="W1" s="32"/>
      <c r="X1" s="32"/>
      <c r="AA1" s="23" t="s">
        <v>202</v>
      </c>
    </row>
    <row r="2" spans="2:31" x14ac:dyDescent="0.4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4.65" r="3" spans="2:31" thickBot="1" x14ac:dyDescent="0.5">
      <c r="B3" s="23" t="s">
        <v>256</v>
      </c>
      <c r="T3">
        <v>1</v>
      </c>
      <c r="U3" s="33" t="s">
        <v>244</v>
      </c>
      <c r="W3" s="32"/>
      <c r="X3" s="32"/>
      <c r="AA3">
        <f>WorkBasedCoefficients!B11</f>
        <v>1</v>
      </c>
      <c r="AB3" t="str">
        <f>WorkBasedCoefficients!C11</f>
        <v>costutil</v>
      </c>
      <c r="AC3" s="56">
        <f>WorkBasedCoefficients!E11</f>
        <v>1.4514354039999999</v>
      </c>
      <c r="AD3" s="57">
        <f ref="AD3:AD20" si="0" t="shared">_xlfn.IFNA(VLOOKUP(AA3,$T$31:$V$37,3,FALSE),AC3)</f>
        <v>1.4514354039999999</v>
      </c>
      <c r="AE3">
        <f>IF(AC3=AD3,0,1)</f>
        <v>0</v>
      </c>
    </row>
    <row r="4" spans="2:31" x14ac:dyDescent="0.4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295</v>
      </c>
      <c r="W4" s="32"/>
      <c r="X4" s="32"/>
      <c r="AA4">
        <f>WorkBasedCoefficients!B12</f>
        <v>2</v>
      </c>
      <c r="AB4" t="str">
        <f>WorkBasedCoefficients!C12</f>
        <v>timeutil</v>
      </c>
      <c r="AC4" s="56">
        <f>WorkBasedCoefficients!E12</f>
        <v>1.3039408370000001</v>
      </c>
      <c r="AD4" s="57">
        <f si="0" t="shared"/>
        <v>1.3039408370000001</v>
      </c>
      <c r="AE4">
        <f ref="AE4:AE20" si="1" t="shared">IF(AC4=AD4,0,1)</f>
        <v>0</v>
      </c>
    </row>
    <row r="5" spans="2:31" x14ac:dyDescent="0.45">
      <c r="B5" s="9" t="s">
        <v>1</v>
      </c>
      <c r="C5" s="11"/>
      <c r="D5" s="11"/>
      <c r="E5" s="11"/>
      <c r="F5" s="11">
        <v>50</v>
      </c>
      <c r="T5">
        <v>3</v>
      </c>
      <c r="U5" s="32" t="s">
        <v>245</v>
      </c>
      <c r="V5" s="32"/>
      <c r="W5" s="32"/>
      <c r="X5" s="32"/>
      <c r="AA5" s="29">
        <f>WorkBasedCoefficients!B13</f>
        <v>20</v>
      </c>
      <c r="AB5" s="29" t="str">
        <f>WorkBasedCoefficients!C13</f>
        <v>wt-const</v>
      </c>
      <c r="AC5" s="58">
        <f>WorkBasedCoefficients!E13</f>
        <v>-2.6070874005569999</v>
      </c>
      <c r="AD5" s="57">
        <f si="0" t="shared"/>
        <v>-2.439947103051356</v>
      </c>
      <c r="AE5">
        <f si="1" t="shared"/>
        <v>1</v>
      </c>
    </row>
    <row r="6" spans="2:31" x14ac:dyDescent="0.45">
      <c r="B6" s="9" t="s">
        <v>2</v>
      </c>
      <c r="C6" s="11"/>
      <c r="D6" s="11"/>
      <c r="E6" s="11"/>
      <c r="F6" s="11">
        <v>40</v>
      </c>
      <c r="T6">
        <v>4</v>
      </c>
      <c r="U6" s="32" t="s">
        <v>237</v>
      </c>
      <c r="V6" s="32"/>
      <c r="W6" s="32"/>
      <c r="X6" s="32"/>
      <c r="AA6" s="29">
        <f>WorkBasedCoefficients!B14</f>
        <v>30</v>
      </c>
      <c r="AB6" s="29" t="str">
        <f>WorkBasedCoefficients!C14</f>
        <v>s3-const</v>
      </c>
      <c r="AC6" s="58">
        <f>WorkBasedCoefficients!E14</f>
        <v>-3.4959028928209999</v>
      </c>
      <c r="AD6" s="57">
        <f si="0" t="shared"/>
        <v>-3.5176088635994556</v>
      </c>
      <c r="AE6">
        <f si="1" t="shared"/>
        <v>1</v>
      </c>
    </row>
    <row r="7" spans="2:31" x14ac:dyDescent="0.45">
      <c r="B7" s="9" t="s">
        <v>3</v>
      </c>
      <c r="C7" s="11"/>
      <c r="D7" s="11"/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 s="29">
        <f>WorkBasedCoefficients!B15</f>
        <v>40</v>
      </c>
      <c r="AB7" s="29" t="str">
        <f>WorkBasedCoefficients!C15</f>
        <v>s2-const</v>
      </c>
      <c r="AC7" s="58">
        <f>WorkBasedCoefficients!E15</f>
        <v>-2.4199459318169998</v>
      </c>
      <c r="AD7" s="57">
        <f si="0" t="shared"/>
        <v>-2.3926454878330321</v>
      </c>
      <c r="AE7">
        <f si="1" t="shared"/>
        <v>1</v>
      </c>
    </row>
    <row r="8" spans="2:31" x14ac:dyDescent="0.4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 s="29">
        <f>WorkBasedCoefficients!B16</f>
        <v>50</v>
      </c>
      <c r="AB8" s="29" t="str">
        <f>WorkBasedCoefficients!C16</f>
        <v>da-const</v>
      </c>
      <c r="AC8" s="58">
        <f>WorkBasedCoefficients!E16</f>
        <v>-3.3491921861830001</v>
      </c>
      <c r="AD8" s="57">
        <f si="0" t="shared"/>
        <v>-3.3087544278613406</v>
      </c>
      <c r="AE8">
        <f si="1" t="shared"/>
        <v>1</v>
      </c>
    </row>
    <row r="9" spans="2:31" x14ac:dyDescent="0.45">
      <c r="B9" s="9" t="s">
        <v>5</v>
      </c>
      <c r="C9" s="11"/>
      <c r="D9" s="11"/>
      <c r="E9" s="11"/>
      <c r="F9" s="11">
        <v>20</v>
      </c>
      <c r="T9" s="32"/>
      <c r="U9" s="34" t="s">
        <v>239</v>
      </c>
      <c r="V9" s="32"/>
      <c r="W9" s="32"/>
      <c r="X9" s="32"/>
      <c r="AA9">
        <f>WorkBasedCoefficients!B17</f>
        <v>54</v>
      </c>
      <c r="AB9" t="str">
        <f>WorkBasedCoefficients!C17</f>
        <v>da-incu25</v>
      </c>
      <c r="AC9" s="56">
        <f>WorkBasedCoefficients!E17</f>
        <v>-0.13556679399999999</v>
      </c>
      <c r="AD9" s="57">
        <f si="0" t="shared"/>
        <v>-0.13556679399999999</v>
      </c>
      <c r="AE9">
        <f si="1" t="shared"/>
        <v>0</v>
      </c>
    </row>
    <row r="10" spans="2:31" x14ac:dyDescent="0.45">
      <c r="B10" s="9" t="s">
        <v>6</v>
      </c>
      <c r="C10" s="11"/>
      <c r="D10" s="11"/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WorkBasedCoefficients!B18</f>
        <v>55</v>
      </c>
      <c r="AB10" t="str">
        <f>WorkBasedCoefficients!C18</f>
        <v>da-inc2550</v>
      </c>
      <c r="AC10" s="56">
        <f>WorkBasedCoefficients!E18</f>
        <v>-0.13243830200000001</v>
      </c>
      <c r="AD10" s="57">
        <f si="0" t="shared"/>
        <v>-0.13243830200000001</v>
      </c>
      <c r="AE10">
        <f si="1" t="shared"/>
        <v>0</v>
      </c>
    </row>
    <row r="11" spans="2:31" x14ac:dyDescent="0.45">
      <c r="B11" s="9" t="s">
        <v>7</v>
      </c>
      <c r="C11" s="11"/>
      <c r="D11" s="11"/>
      <c r="E11" s="11"/>
      <c r="F11" s="11"/>
      <c r="T11" s="32">
        <v>2</v>
      </c>
      <c r="U11" s="32" t="s">
        <v>240</v>
      </c>
      <c r="V11" s="32"/>
      <c r="W11" s="32"/>
      <c r="X11" s="32"/>
      <c r="AA11">
        <f>WorkBasedCoefficients!B19</f>
        <v>58</v>
      </c>
      <c r="AB11" t="str">
        <f>WorkBasedCoefficients!C19</f>
        <v>da-dtowork</v>
      </c>
      <c r="AC11" s="56">
        <f>WorkBasedCoefficients!E19</f>
        <v>2.767879803</v>
      </c>
      <c r="AD11" s="57">
        <f si="0" t="shared"/>
        <v>2.767879803</v>
      </c>
      <c r="AE11">
        <f si="1" t="shared"/>
        <v>0</v>
      </c>
    </row>
    <row r="12" spans="2:31" x14ac:dyDescent="0.4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WorkBasedCoefficients!B20</f>
        <v>59</v>
      </c>
      <c r="AB12" t="str">
        <f>WorkBasedCoefficients!C20</f>
        <v>da-stowork</v>
      </c>
      <c r="AC12" s="56">
        <f>WorkBasedCoefficients!E20</f>
        <v>2.0325205080000002</v>
      </c>
      <c r="AD12" s="57">
        <f si="0" t="shared"/>
        <v>2.0325205080000002</v>
      </c>
      <c r="AE12">
        <f si="1" t="shared"/>
        <v>0</v>
      </c>
    </row>
    <row r="13" spans="2:31" x14ac:dyDescent="0.45">
      <c r="C13" s="25"/>
      <c r="D13" s="25"/>
      <c r="T13" s="32">
        <v>4</v>
      </c>
      <c r="U13" s="32" t="s">
        <v>242</v>
      </c>
      <c r="V13" s="32"/>
      <c r="W13" s="32"/>
      <c r="X13" s="32"/>
      <c r="AA13" s="29">
        <f>WorkBasedCoefficients!B21</f>
        <v>60</v>
      </c>
      <c r="AB13" s="29" t="str">
        <f>WorkBasedCoefficients!C21</f>
        <v>bi-const</v>
      </c>
      <c r="AC13" s="58">
        <f>WorkBasedCoefficients!E21</f>
        <v>-5.9221197700000001</v>
      </c>
      <c r="AD13" s="57">
        <f si="0" t="shared"/>
        <v>-5.9221197700000001</v>
      </c>
      <c r="AE13">
        <f si="1" t="shared"/>
        <v>0</v>
      </c>
    </row>
    <row r="14" spans="2:31" x14ac:dyDescent="0.45">
      <c r="B14" s="37" t="s">
        <v>303</v>
      </c>
      <c r="T14" s="32">
        <v>5</v>
      </c>
      <c r="U14" s="33" t="s">
        <v>296</v>
      </c>
      <c r="V14" s="32"/>
      <c r="W14" s="32"/>
      <c r="X14" s="32"/>
      <c r="AA14">
        <f>WorkBasedCoefficients!B22</f>
        <v>61</v>
      </c>
      <c r="AB14" t="str">
        <f>WorkBasedCoefficients!C22</f>
        <v>bi-male</v>
      </c>
      <c r="AC14" s="56">
        <f>WorkBasedCoefficients!E22</f>
        <v>-7.6114630000000003E-2</v>
      </c>
      <c r="AD14" s="57">
        <f si="0" t="shared"/>
        <v>-7.6114630000000003E-2</v>
      </c>
      <c r="AE14">
        <f si="1" t="shared"/>
        <v>0</v>
      </c>
    </row>
    <row r="15" spans="2:31" x14ac:dyDescent="0.45">
      <c r="B15" s="106" t="s">
        <v>293</v>
      </c>
      <c r="C15" s="106"/>
      <c r="D15" s="106"/>
      <c r="E15" s="106"/>
      <c r="F15" s="106"/>
      <c r="H15" s="105" t="s">
        <v>33</v>
      </c>
      <c r="I15" s="105"/>
      <c r="J15" s="105"/>
      <c r="K15" s="105"/>
      <c r="L15" s="105"/>
      <c r="T15" s="32">
        <v>6</v>
      </c>
      <c r="U15" s="32" t="s">
        <v>246</v>
      </c>
      <c r="V15" s="32"/>
      <c r="W15" s="32"/>
      <c r="X15" s="32"/>
      <c r="AA15">
        <f>WorkBasedCoefficients!B23</f>
        <v>69</v>
      </c>
      <c r="AB15" t="str">
        <f>WorkBasedCoefficients!C23</f>
        <v>bi-btowork</v>
      </c>
      <c r="AC15" s="56">
        <f>WorkBasedCoefficients!E23</f>
        <v>4.2535185960000002</v>
      </c>
      <c r="AD15" s="57">
        <f si="0" t="shared"/>
        <v>4.2535185960000002</v>
      </c>
      <c r="AE15">
        <f si="1" t="shared"/>
        <v>0</v>
      </c>
    </row>
    <row ht="14.65" r="16" spans="2:31" thickBot="1" x14ac:dyDescent="0.5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 s="29">
        <f>WorkBasedCoefficients!B24</f>
        <v>79</v>
      </c>
      <c r="AB16" s="29" t="str">
        <f>WorkBasedCoefficients!C24</f>
        <v>wk-wtowork</v>
      </c>
      <c r="AC16" s="58">
        <f>WorkBasedCoefficients!E24</f>
        <v>5</v>
      </c>
      <c r="AD16" s="57">
        <f si="0" t="shared"/>
        <v>5</v>
      </c>
      <c r="AE16">
        <f si="1" t="shared"/>
        <v>0</v>
      </c>
    </row>
    <row r="17" spans="2:31" x14ac:dyDescent="0.4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WorkBasedCoefficients!B25</f>
        <v>88</v>
      </c>
      <c r="AB17" t="str">
        <f>WorkBasedCoefficients!C25</f>
        <v>sr-dtowork</v>
      </c>
      <c r="AC17" s="56">
        <f>WorkBasedCoefficients!E25</f>
        <v>-0.23852894099999999</v>
      </c>
      <c r="AD17" s="57">
        <f si="0" t="shared"/>
        <v>-0.23852894099999999</v>
      </c>
      <c r="AE17">
        <f si="1" t="shared"/>
        <v>0</v>
      </c>
    </row>
    <row r="18" spans="2:31" x14ac:dyDescent="0.45">
      <c r="B18" s="9" t="s">
        <v>1</v>
      </c>
      <c r="C18" s="9"/>
      <c r="D18" s="9"/>
      <c r="E18" s="9"/>
      <c r="F18" s="9">
        <v>54836.991121525432</v>
      </c>
      <c r="H18" s="9" t="s">
        <v>1</v>
      </c>
      <c r="I18" s="9"/>
      <c r="J18" s="9"/>
      <c r="K18" s="9"/>
      <c r="L18" s="9">
        <f>Workbased!S5</f>
        <v>54444</v>
      </c>
      <c r="M18" s="9"/>
      <c r="N18" s="9" t="s">
        <v>1</v>
      </c>
      <c r="O18" s="50" t="str">
        <f>IF(ISBLANK(C5),"",C5)</f>
        <v/>
      </c>
      <c r="P18" s="50" t="str">
        <f ref="P18:R25" si="2" t="shared">IF(ISBLANK(D5),"",D5)</f>
        <v/>
      </c>
      <c r="Q18" s="50" t="str">
        <f si="2" t="shared"/>
        <v/>
      </c>
      <c r="R18" s="50">
        <f si="2" t="shared"/>
        <v>50</v>
      </c>
      <c r="AA18" s="29">
        <f>WorkBasedCoefficients!B26</f>
        <v>89</v>
      </c>
      <c r="AB18" s="29" t="str">
        <f>WorkBasedCoefficients!C26</f>
        <v>sr-stowork</v>
      </c>
      <c r="AC18" s="58">
        <f>WorkBasedCoefficients!E26</f>
        <v>1.318784366</v>
      </c>
      <c r="AD18" s="57">
        <f si="0" t="shared"/>
        <v>1.318784366</v>
      </c>
      <c r="AE18">
        <f si="1" t="shared"/>
        <v>0</v>
      </c>
    </row>
    <row r="19" spans="2:31" x14ac:dyDescent="0.45">
      <c r="B19" s="9" t="s">
        <v>2</v>
      </c>
      <c r="C19" s="9"/>
      <c r="D19" s="9"/>
      <c r="E19" s="9"/>
      <c r="F19" s="9">
        <v>23729.50842637715</v>
      </c>
      <c r="H19" s="9" t="s">
        <v>2</v>
      </c>
      <c r="I19" s="9"/>
      <c r="J19" s="9"/>
      <c r="K19" s="9"/>
      <c r="L19" s="9">
        <f>Workbased!S6</f>
        <v>23871</v>
      </c>
      <c r="M19" s="9"/>
      <c r="N19" s="9" t="s">
        <v>2</v>
      </c>
      <c r="O19" s="11" t="str">
        <f ref="O19:O25" si="3" t="shared">IF(ISBLANK(C6),"",C6)</f>
        <v/>
      </c>
      <c r="P19" s="11" t="str">
        <f si="2" t="shared"/>
        <v/>
      </c>
      <c r="Q19" s="11" t="str">
        <f si="2" t="shared"/>
        <v/>
      </c>
      <c r="R19" s="11">
        <f si="2" t="shared"/>
        <v>40</v>
      </c>
      <c r="T19" s="9"/>
      <c r="AA19">
        <f>WorkBasedCoefficients!B27</f>
        <v>99</v>
      </c>
      <c r="AB19" t="str">
        <f>WorkBasedCoefficients!C27</f>
        <v>modenest</v>
      </c>
      <c r="AC19" s="56">
        <f>WorkBasedCoefficients!E27</f>
        <v>0.96666822900000005</v>
      </c>
      <c r="AD19" s="57">
        <f si="0" t="shared"/>
        <v>0.96666822900000005</v>
      </c>
      <c r="AE19">
        <f si="1" t="shared"/>
        <v>0</v>
      </c>
    </row>
    <row r="20" spans="2:31" x14ac:dyDescent="0.45">
      <c r="B20" s="9" t="s">
        <v>3</v>
      </c>
      <c r="C20" s="9"/>
      <c r="D20" s="9"/>
      <c r="E20" s="9"/>
      <c r="F20" s="9">
        <v>9592.1467247135843</v>
      </c>
      <c r="H20" s="9" t="s">
        <v>3</v>
      </c>
      <c r="I20" s="9"/>
      <c r="J20" s="9"/>
      <c r="K20" s="9"/>
      <c r="L20" s="9">
        <f>Workbased!S7</f>
        <v>10134</v>
      </c>
      <c r="M20" s="9"/>
      <c r="N20" s="9" t="s">
        <v>3</v>
      </c>
      <c r="O20" s="11"/>
      <c r="P20" s="11"/>
      <c r="Q20" s="11" t="str">
        <f si="2" t="shared"/>
        <v/>
      </c>
      <c r="R20" s="11">
        <f si="2" t="shared"/>
        <v>30</v>
      </c>
      <c r="T20" s="9"/>
      <c r="AA20">
        <f>WorkBasedCoefficients!B28</f>
        <v>-1</v>
      </c>
      <c r="AB20">
        <f>WorkBasedCoefficients!C28</f>
        <v>0</v>
      </c>
      <c r="AC20" s="56">
        <f>WorkBasedCoefficients!E28</f>
        <v>0</v>
      </c>
      <c r="AD20" s="57">
        <f si="0" t="shared"/>
        <v>0</v>
      </c>
      <c r="AE20">
        <f si="1" t="shared"/>
        <v>0</v>
      </c>
    </row>
    <row r="21" spans="2:31" x14ac:dyDescent="0.45">
      <c r="B21" s="9" t="s">
        <v>4</v>
      </c>
      <c r="C21" s="9"/>
      <c r="D21" s="9"/>
      <c r="E21" s="9"/>
      <c r="F21" s="9">
        <v>0</v>
      </c>
      <c r="H21" s="9" t="s">
        <v>4</v>
      </c>
      <c r="I21" s="9"/>
      <c r="J21" s="9"/>
      <c r="K21" s="9"/>
      <c r="L21" s="9">
        <f>Workbased!S8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C21" s="56"/>
      <c r="AD21" s="57"/>
    </row>
    <row r="22" spans="2:31" x14ac:dyDescent="0.45">
      <c r="B22" s="9" t="s">
        <v>5</v>
      </c>
      <c r="C22" s="9"/>
      <c r="D22" s="9"/>
      <c r="E22" s="9"/>
      <c r="F22" s="9">
        <v>291.53451995157036</v>
      </c>
      <c r="H22" s="9" t="s">
        <v>5</v>
      </c>
      <c r="I22" s="9"/>
      <c r="J22" s="9"/>
      <c r="K22" s="9"/>
      <c r="L22" s="9">
        <f>Workbased!S9</f>
        <v>255</v>
      </c>
      <c r="M22" s="9"/>
      <c r="N22" s="9" t="s">
        <v>5</v>
      </c>
      <c r="O22" s="11" t="str">
        <f si="3" t="shared"/>
        <v/>
      </c>
      <c r="P22" s="11" t="str">
        <f si="2" t="shared"/>
        <v/>
      </c>
      <c r="Q22" s="11" t="str">
        <f si="2" t="shared"/>
        <v/>
      </c>
      <c r="R22" s="11">
        <f si="2" t="shared"/>
        <v>20</v>
      </c>
      <c r="T22" s="9"/>
      <c r="AC22" s="56"/>
      <c r="AD22" s="57"/>
    </row>
    <row r="23" spans="2:31" x14ac:dyDescent="0.45">
      <c r="B23" s="9" t="s">
        <v>6</v>
      </c>
      <c r="C23" s="9"/>
      <c r="D23" s="9"/>
      <c r="E23" s="9"/>
      <c r="F23" s="9">
        <v>378.2147431532249</v>
      </c>
      <c r="H23" s="9" t="s">
        <v>6</v>
      </c>
      <c r="I23" s="9"/>
      <c r="J23" s="9"/>
      <c r="K23" s="9"/>
      <c r="L23" s="9">
        <f>Workbased!S10</f>
        <v>391</v>
      </c>
      <c r="M23" s="9"/>
      <c r="N23" s="9" t="s">
        <v>6</v>
      </c>
      <c r="O23" s="11" t="str">
        <f si="3" t="shared"/>
        <v/>
      </c>
      <c r="P23" s="11" t="str">
        <f si="2" t="shared"/>
        <v/>
      </c>
      <c r="Q23" s="11" t="str">
        <f si="2" t="shared"/>
        <v/>
      </c>
      <c r="R23" s="11">
        <f si="2" t="shared"/>
        <v>60</v>
      </c>
      <c r="T23" s="9"/>
      <c r="AC23" s="56"/>
      <c r="AD23" s="57"/>
    </row>
    <row r="24" spans="2:31" x14ac:dyDescent="0.45">
      <c r="B24" s="9" t="s">
        <v>7</v>
      </c>
      <c r="C24" s="9"/>
      <c r="D24" s="9"/>
      <c r="E24" s="9"/>
      <c r="F24" s="9">
        <v>16520.604464279044</v>
      </c>
      <c r="H24" s="9" t="s">
        <v>7</v>
      </c>
      <c r="I24" s="9"/>
      <c r="J24" s="9"/>
      <c r="K24" s="9"/>
      <c r="L24" s="9">
        <f>Workbased!S11</f>
        <v>15387</v>
      </c>
      <c r="M24" s="9"/>
      <c r="N24" s="9" t="s">
        <v>7</v>
      </c>
      <c r="O24" s="11" t="str">
        <f si="3" t="shared"/>
        <v/>
      </c>
      <c r="P24" s="11" t="str">
        <f si="2" t="shared"/>
        <v/>
      </c>
      <c r="Q24" s="11" t="str">
        <f si="2" t="shared"/>
        <v/>
      </c>
      <c r="R24" s="11">
        <v>70</v>
      </c>
      <c r="T24" s="9"/>
      <c r="AC24" s="56"/>
      <c r="AD24" s="57"/>
    </row>
    <row r="25" spans="2:31" x14ac:dyDescent="0.45">
      <c r="B25" s="9" t="s">
        <v>8</v>
      </c>
      <c r="C25" s="9"/>
      <c r="D25" s="9"/>
      <c r="E25" s="9"/>
      <c r="F25" s="9">
        <v>0</v>
      </c>
      <c r="H25" s="9" t="s">
        <v>8</v>
      </c>
      <c r="I25" s="9"/>
      <c r="J25" s="9"/>
      <c r="K25" s="9"/>
      <c r="L25" s="9">
        <v>0</v>
      </c>
      <c r="M25" s="9"/>
      <c r="N25" s="9" t="s">
        <v>8</v>
      </c>
      <c r="O25" s="11" t="str">
        <f si="3" t="shared"/>
        <v/>
      </c>
      <c r="P25" s="11" t="str">
        <f si="2" t="shared"/>
        <v/>
      </c>
      <c r="Q25" s="11" t="str">
        <f si="2" t="shared"/>
        <v/>
      </c>
      <c r="R25" s="11" t="str">
        <f si="2" t="shared"/>
        <v/>
      </c>
      <c r="T25" s="9"/>
      <c r="AC25" s="56"/>
      <c r="AD25" s="57"/>
    </row>
    <row r="26" spans="2:31" x14ac:dyDescent="0.45">
      <c r="B26" s="9" t="s">
        <v>302</v>
      </c>
      <c r="F26" s="9">
        <f>Workbased!I12</f>
        <v>0</v>
      </c>
      <c r="H26" s="9" t="s">
        <v>302</v>
      </c>
      <c r="L26" s="9">
        <f>Workbased!S12</f>
        <v>0</v>
      </c>
      <c r="M26" s="9"/>
      <c r="N26" s="12" t="s">
        <v>302</v>
      </c>
      <c r="O26" s="6"/>
      <c r="P26" s="6"/>
      <c r="Q26" s="6"/>
      <c r="R26" s="7">
        <v>80</v>
      </c>
      <c r="T26" s="9"/>
      <c r="AC26" s="56"/>
      <c r="AD26" s="57"/>
    </row>
    <row ht="14.65" r="27" spans="2:31" thickBot="1" x14ac:dyDescent="0.5">
      <c r="B27" s="43" t="s">
        <v>19</v>
      </c>
      <c r="C27" s="43">
        <f>SUM(C18:C25)</f>
        <v>0</v>
      </c>
      <c r="D27" s="43">
        <f>SUM(D18:D25)</f>
        <v>0</v>
      </c>
      <c r="E27" s="43">
        <f>SUM(E18:E25)</f>
        <v>0</v>
      </c>
      <c r="F27" s="43">
        <f>SUM(F18:F26)</f>
        <v>105349</v>
      </c>
      <c r="H27" s="43" t="s">
        <v>19</v>
      </c>
      <c r="I27" s="43">
        <f>SUM(I18:I25)</f>
        <v>0</v>
      </c>
      <c r="J27" s="43">
        <f>SUM(J18:J25)</f>
        <v>0</v>
      </c>
      <c r="K27" s="43">
        <f>SUM(K18:K25)</f>
        <v>0</v>
      </c>
      <c r="L27" s="43">
        <f>SUM(L18:L26)</f>
        <v>104482</v>
      </c>
      <c r="AC27" s="56"/>
      <c r="AD27" s="57"/>
    </row>
    <row r="28" spans="2:31" x14ac:dyDescent="0.45">
      <c r="F28" s="9"/>
      <c r="AC28" s="56"/>
      <c r="AD28" s="57"/>
    </row>
    <row ht="14.65" r="29" spans="2:31" thickBot="1" x14ac:dyDescent="0.5">
      <c r="B29" s="37" t="s">
        <v>267</v>
      </c>
      <c r="H29" s="37" t="s">
        <v>268</v>
      </c>
      <c r="N29" s="23" t="s">
        <v>257</v>
      </c>
      <c r="T29" t="s">
        <v>270</v>
      </c>
      <c r="AC29" s="56"/>
      <c r="AD29" s="56"/>
    </row>
    <row r="30" spans="2:31" x14ac:dyDescent="0.4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C30" s="56"/>
      <c r="AD30" s="56"/>
    </row>
    <row r="31" spans="2:31" x14ac:dyDescent="0.45">
      <c r="B31" s="9" t="s">
        <v>1</v>
      </c>
      <c r="C31" s="35"/>
      <c r="D31" s="35"/>
      <c r="E31" s="35"/>
      <c r="F31" s="35">
        <f ref="F31:F40" si="4" t="shared">$F18/F$27</f>
        <v>0.52052692594638228</v>
      </c>
      <c r="H31" s="9" t="s">
        <v>1</v>
      </c>
      <c r="I31" s="26"/>
      <c r="J31" s="26"/>
      <c r="K31" s="26"/>
      <c r="L31" s="26">
        <f ref="L31:L40" si="5" t="shared">$L18/L$27</f>
        <v>0.52108497157405098</v>
      </c>
      <c r="M31" s="26"/>
      <c r="N31" s="9" t="s">
        <v>1</v>
      </c>
      <c r="O31" s="40"/>
      <c r="P31" s="40"/>
      <c r="Q31" s="40"/>
      <c r="R31" s="40">
        <f ref="R31:R38" si="6" t="shared">IF(R18="","-",F31/L31)</f>
        <v>0.99892906980989493</v>
      </c>
      <c r="T31">
        <v>20</v>
      </c>
      <c r="U31" t="str">
        <f ref="U31:U36" si="7" t="shared">VLOOKUP(T31,$AA$3:$AB$48,2,FALSE)</f>
        <v>wt-const</v>
      </c>
      <c r="V31" s="30">
        <f>R86</f>
        <v>-2.439947103051356</v>
      </c>
      <c r="AC31" s="56"/>
      <c r="AD31" s="56"/>
    </row>
    <row r="32" spans="2:31" x14ac:dyDescent="0.45">
      <c r="B32" s="9" t="s">
        <v>2</v>
      </c>
      <c r="C32" s="35"/>
      <c r="D32" s="35"/>
      <c r="E32" s="35"/>
      <c r="F32" s="35">
        <f si="4" t="shared"/>
        <v>0.2252466414145094</v>
      </c>
      <c r="H32" s="9" t="s">
        <v>2</v>
      </c>
      <c r="I32" s="26"/>
      <c r="J32" s="26"/>
      <c r="K32" s="26"/>
      <c r="L32" s="26">
        <f si="5" t="shared"/>
        <v>0.22846997568959246</v>
      </c>
      <c r="M32" s="26"/>
      <c r="N32" s="9" t="s">
        <v>2</v>
      </c>
      <c r="O32" s="41"/>
      <c r="P32" s="41"/>
      <c r="Q32" s="41"/>
      <c r="R32" s="41">
        <f si="6" t="shared"/>
        <v>0.98589165046586957</v>
      </c>
      <c r="T32">
        <v>30</v>
      </c>
      <c r="U32" t="str">
        <f si="7" t="shared"/>
        <v>s3-const</v>
      </c>
      <c r="V32" s="30">
        <f>R84</f>
        <v>-3.5176088635994556</v>
      </c>
      <c r="AC32" s="56"/>
      <c r="AD32" s="56"/>
    </row>
    <row r="33" spans="2:30" x14ac:dyDescent="0.45">
      <c r="B33" s="9" t="s">
        <v>3</v>
      </c>
      <c r="C33" s="35"/>
      <c r="D33" s="35"/>
      <c r="E33" s="35"/>
      <c r="F33" s="35">
        <f si="4" t="shared"/>
        <v>9.1051141678740038E-2</v>
      </c>
      <c r="H33" s="9" t="s">
        <v>3</v>
      </c>
      <c r="I33" s="26"/>
      <c r="J33" s="26"/>
      <c r="K33" s="26"/>
      <c r="L33" s="26">
        <f si="5" t="shared"/>
        <v>9.6992783445952413E-2</v>
      </c>
      <c r="M33" s="26"/>
      <c r="N33" s="9" t="s">
        <v>3</v>
      </c>
      <c r="O33" s="41"/>
      <c r="P33" s="41"/>
      <c r="Q33" s="41"/>
      <c r="R33" s="41">
        <f si="6" t="shared"/>
        <v>0.93874140367851955</v>
      </c>
      <c r="T33">
        <v>40</v>
      </c>
      <c r="U33" t="str">
        <f si="7" t="shared"/>
        <v>s2-const</v>
      </c>
      <c r="V33" s="30">
        <f>R83</f>
        <v>-2.3926454878330321</v>
      </c>
      <c r="AC33" s="56"/>
      <c r="AD33" s="56"/>
    </row>
    <row r="34" spans="2:30" x14ac:dyDescent="0.45">
      <c r="B34" s="9" t="s">
        <v>4</v>
      </c>
      <c r="C34" s="35"/>
      <c r="D34" s="35"/>
      <c r="E34" s="35"/>
      <c r="F34" s="35">
        <f si="4" t="shared"/>
        <v>0</v>
      </c>
      <c r="H34" s="9" t="s">
        <v>4</v>
      </c>
      <c r="I34" s="26"/>
      <c r="J34" s="26"/>
      <c r="K34" s="26"/>
      <c r="L34" s="26">
        <f si="5" t="shared"/>
        <v>0</v>
      </c>
      <c r="M34" s="26"/>
      <c r="N34" s="9" t="s">
        <v>4</v>
      </c>
      <c r="O34" s="41"/>
      <c r="P34" s="41"/>
      <c r="Q34" s="41"/>
      <c r="R34" s="41" t="str">
        <f si="6" t="shared"/>
        <v>-</v>
      </c>
      <c r="T34">
        <v>50</v>
      </c>
      <c r="U34" t="str">
        <f si="7" t="shared"/>
        <v>da-const</v>
      </c>
      <c r="V34" s="30">
        <f>R82</f>
        <v>-3.3087544278613406</v>
      </c>
      <c r="AC34" s="56"/>
      <c r="AD34" s="56"/>
    </row>
    <row r="35" spans="2:30" x14ac:dyDescent="0.45">
      <c r="B35" s="9" t="s">
        <v>5</v>
      </c>
      <c r="C35" s="35"/>
      <c r="D35" s="35"/>
      <c r="E35" s="35"/>
      <c r="F35" s="81">
        <f si="4" t="shared"/>
        <v>2.767321189110199E-3</v>
      </c>
      <c r="H35" s="9" t="s">
        <v>5</v>
      </c>
      <c r="I35" s="26"/>
      <c r="J35" s="26"/>
      <c r="K35" s="26"/>
      <c r="L35" s="13">
        <f si="5" t="shared"/>
        <v>2.4406117800195247E-3</v>
      </c>
      <c r="M35" s="26"/>
      <c r="N35" s="9" t="s">
        <v>5</v>
      </c>
      <c r="O35" s="41"/>
      <c r="P35" s="41"/>
      <c r="Q35" s="41"/>
      <c r="R35" s="41">
        <f si="6" t="shared"/>
        <v>1.1338637352180856</v>
      </c>
      <c r="T35">
        <v>60</v>
      </c>
      <c r="U35" t="str">
        <f si="7" t="shared"/>
        <v>bi-const</v>
      </c>
      <c r="V35" s="30">
        <f>R87</f>
        <v>-5.9221197700000001</v>
      </c>
      <c r="AC35" s="56"/>
      <c r="AD35" s="56"/>
    </row>
    <row r="36" spans="2:30" x14ac:dyDescent="0.45">
      <c r="B36" s="9" t="s">
        <v>6</v>
      </c>
      <c r="C36" s="35"/>
      <c r="D36" s="35"/>
      <c r="E36" s="35"/>
      <c r="F36" s="35">
        <f si="4" t="shared"/>
        <v>3.5901123233559396E-3</v>
      </c>
      <c r="H36" s="9" t="s">
        <v>6</v>
      </c>
      <c r="I36" s="26"/>
      <c r="J36" s="26"/>
      <c r="K36" s="26"/>
      <c r="L36" s="26">
        <f si="5" t="shared"/>
        <v>3.7422713960299381E-3</v>
      </c>
      <c r="M36" s="26"/>
      <c r="N36" s="9" t="s">
        <v>6</v>
      </c>
      <c r="O36" s="41"/>
      <c r="P36" s="41"/>
      <c r="Q36" s="41"/>
      <c r="R36" s="41">
        <f si="6" t="shared"/>
        <v>0.95934044953676545</v>
      </c>
      <c r="T36">
        <v>70</v>
      </c>
      <c r="U36" t="e">
        <f si="7" t="shared"/>
        <v>#N/A</v>
      </c>
      <c r="V36" s="30" t="e">
        <f>R88</f>
        <v>#VALUE!</v>
      </c>
      <c r="AC36" s="56"/>
      <c r="AD36" s="56"/>
    </row>
    <row r="37" spans="2:30" x14ac:dyDescent="0.45">
      <c r="B37" s="9" t="s">
        <v>7</v>
      </c>
      <c r="C37" s="35"/>
      <c r="D37" s="35"/>
      <c r="E37" s="35"/>
      <c r="F37" s="35">
        <f si="4" t="shared"/>
        <v>0.15681785744790216</v>
      </c>
      <c r="H37" s="9" t="s">
        <v>7</v>
      </c>
      <c r="I37" s="26"/>
      <c r="J37" s="26"/>
      <c r="K37" s="26"/>
      <c r="L37" s="26">
        <f si="5" t="shared"/>
        <v>0.14726938611435464</v>
      </c>
      <c r="M37" s="26"/>
      <c r="N37" s="9" t="s">
        <v>7</v>
      </c>
      <c r="O37" s="41"/>
      <c r="P37" s="41"/>
      <c r="Q37" s="41"/>
      <c r="R37" s="41">
        <f si="6" t="shared"/>
        <v>1.0648367701222923</v>
      </c>
      <c r="T37" s="6">
        <v>80</v>
      </c>
      <c r="U37" s="6" t="e">
        <f>VLOOKUP(T37,$AA$3:$AB$48,2,FALSE)</f>
        <v>#N/A</v>
      </c>
      <c r="V37" s="55" t="e">
        <f>R90</f>
        <v>#VALUE!</v>
      </c>
      <c r="AC37" s="56"/>
      <c r="AD37" s="56"/>
    </row>
    <row r="38" spans="2:30" x14ac:dyDescent="0.45">
      <c r="B38" s="9" t="s">
        <v>8</v>
      </c>
      <c r="C38" s="35"/>
      <c r="D38" s="35"/>
      <c r="E38" s="35"/>
      <c r="F38" s="35">
        <f si="4" t="shared"/>
        <v>0</v>
      </c>
      <c r="H38" s="9" t="s">
        <v>8</v>
      </c>
      <c r="I38" s="26"/>
      <c r="J38" s="26"/>
      <c r="K38" s="26"/>
      <c r="L38" s="26">
        <f si="5" t="shared"/>
        <v>0</v>
      </c>
      <c r="M38" s="26"/>
      <c r="N38" s="9" t="s">
        <v>8</v>
      </c>
      <c r="O38" s="41"/>
      <c r="P38" s="41"/>
      <c r="Q38" s="41"/>
      <c r="R38" s="41" t="str">
        <f si="6" t="shared"/>
        <v>-</v>
      </c>
      <c r="AC38" s="56"/>
      <c r="AD38" s="56"/>
    </row>
    <row r="39" spans="2:30" x14ac:dyDescent="0.45">
      <c r="B39" s="9" t="s">
        <v>302</v>
      </c>
      <c r="F39" s="35">
        <f si="4" t="shared"/>
        <v>0</v>
      </c>
      <c r="H39" s="9" t="s">
        <v>302</v>
      </c>
      <c r="L39" s="26">
        <f si="5" t="shared"/>
        <v>0</v>
      </c>
      <c r="N39" s="12" t="s">
        <v>302</v>
      </c>
      <c r="O39" s="6"/>
      <c r="P39" s="6"/>
      <c r="Q39" s="6"/>
      <c r="R39" s="42">
        <f>IFERROR(IF(R26="","-",F39/L39),1)</f>
        <v>1</v>
      </c>
      <c r="AC39" s="56"/>
      <c r="AD39" s="56"/>
    </row>
    <row ht="14.65" r="40" spans="2:30" thickBot="1" x14ac:dyDescent="0.5">
      <c r="B40" s="43" t="s">
        <v>19</v>
      </c>
      <c r="C40" s="44">
        <f>SUM(C31:C38)</f>
        <v>0</v>
      </c>
      <c r="D40" s="44">
        <f>SUM(D31:D38)</f>
        <v>0</v>
      </c>
      <c r="E40" s="44">
        <f>SUM(E31:E38)</f>
        <v>0</v>
      </c>
      <c r="F40" s="44">
        <f si="4" t="shared"/>
        <v>1</v>
      </c>
      <c r="H40" s="43" t="s">
        <v>19</v>
      </c>
      <c r="I40" s="45">
        <f>SUM(I31:I38)</f>
        <v>0</v>
      </c>
      <c r="J40" s="45">
        <f>SUM(J31:J38)</f>
        <v>0</v>
      </c>
      <c r="K40" s="45">
        <f>SUM(K31:K38)</f>
        <v>0</v>
      </c>
      <c r="L40" s="45">
        <f si="5" t="shared"/>
        <v>1</v>
      </c>
      <c r="M40" s="26"/>
      <c r="N40" s="9" t="s">
        <v>272</v>
      </c>
      <c r="AC40" s="56"/>
      <c r="AD40" s="56"/>
    </row>
    <row r="41" spans="2:30" x14ac:dyDescent="0.45">
      <c r="AC41" s="56"/>
      <c r="AD41" s="56"/>
    </row>
    <row ht="14.65" r="42" spans="2:30" thickBot="1" x14ac:dyDescent="0.5">
      <c r="N42" s="23" t="s">
        <v>269</v>
      </c>
      <c r="AC42" s="56"/>
      <c r="AD42" s="56"/>
    </row>
    <row r="43" spans="2:30" x14ac:dyDescent="0.4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AC43" s="56"/>
      <c r="AD43" s="56"/>
    </row>
    <row r="44" spans="2:30" x14ac:dyDescent="0.45">
      <c r="N44" s="9" t="s">
        <v>1</v>
      </c>
      <c r="O44" s="51"/>
      <c r="P44" s="51"/>
      <c r="Q44" s="51"/>
      <c r="R44" s="51">
        <f ref="R44:R52" si="8" t="shared">IF(R18="","-",IF(R31&gt;0,LN(R31),0))</f>
        <v>-1.071504045583797E-3</v>
      </c>
      <c r="AC44" s="56"/>
      <c r="AD44" s="56"/>
    </row>
    <row r="45" spans="2:30" x14ac:dyDescent="0.45">
      <c r="B45" s="23"/>
      <c r="N45" s="9" t="s">
        <v>2</v>
      </c>
      <c r="O45" s="52"/>
      <c r="P45" s="52"/>
      <c r="Q45" s="52"/>
      <c r="R45" s="52">
        <f si="8" t="shared"/>
        <v>-1.4208818383276001E-2</v>
      </c>
      <c r="AC45" s="56"/>
      <c r="AD45" s="56"/>
    </row>
    <row r="46" spans="2:30" x14ac:dyDescent="0.45">
      <c r="C46" s="11"/>
      <c r="D46" s="11"/>
      <c r="E46" s="11"/>
      <c r="N46" s="9" t="s">
        <v>3</v>
      </c>
      <c r="O46" s="52"/>
      <c r="P46" s="52"/>
      <c r="Q46" s="52"/>
      <c r="R46" s="52">
        <f si="8" t="shared"/>
        <v>-6.3215233145699143E-2</v>
      </c>
      <c r="V46" s="30"/>
      <c r="AC46" s="56"/>
      <c r="AD46" s="56"/>
    </row>
    <row r="47" spans="2:30" x14ac:dyDescent="0.45">
      <c r="B47" s="9"/>
      <c r="C47" s="11"/>
      <c r="D47" s="11"/>
      <c r="E47" s="11"/>
      <c r="N47" s="9" t="s">
        <v>4</v>
      </c>
      <c r="O47" s="52"/>
      <c r="P47" s="52"/>
      <c r="Q47" s="52"/>
      <c r="R47" s="52" t="str">
        <f si="8" t="shared"/>
        <v>-</v>
      </c>
      <c r="V47" s="30"/>
      <c r="AC47" s="56"/>
      <c r="AD47" s="56"/>
    </row>
    <row r="48" spans="2:30" x14ac:dyDescent="0.45">
      <c r="B48" s="9"/>
      <c r="C48" s="11"/>
      <c r="D48" s="11"/>
      <c r="E48" s="11"/>
      <c r="N48" s="9" t="s">
        <v>5</v>
      </c>
      <c r="O48" s="52"/>
      <c r="P48" s="52"/>
      <c r="Q48" s="52"/>
      <c r="R48" s="52">
        <f si="8" t="shared"/>
        <v>0.12563103513840054</v>
      </c>
      <c r="V48" s="30"/>
      <c r="AC48" s="56"/>
      <c r="AD48" s="56"/>
    </row>
    <row r="49" spans="2:22" x14ac:dyDescent="0.45">
      <c r="B49" s="9"/>
      <c r="C49" s="11"/>
      <c r="D49" s="11"/>
      <c r="E49" s="11"/>
      <c r="N49" s="9" t="s">
        <v>6</v>
      </c>
      <c r="O49" s="52"/>
      <c r="P49" s="52"/>
      <c r="Q49" s="52"/>
      <c r="R49" s="52">
        <f si="8" t="shared"/>
        <v>-4.1509262367243484E-2</v>
      </c>
      <c r="V49" s="30"/>
    </row>
    <row r="50" spans="2:22" x14ac:dyDescent="0.45">
      <c r="B50" s="9"/>
      <c r="C50" s="11"/>
      <c r="D50" s="11"/>
      <c r="E50" s="11"/>
      <c r="N50" s="9" t="s">
        <v>7</v>
      </c>
      <c r="O50" s="52"/>
      <c r="P50" s="52"/>
      <c r="Q50" s="52"/>
      <c r="R50" s="52">
        <f si="8" t="shared"/>
        <v>6.2821519923920918E-2</v>
      </c>
      <c r="V50" s="30"/>
    </row>
    <row r="51" spans="2:22" x14ac:dyDescent="0.45">
      <c r="B51" s="9"/>
      <c r="C51" s="11"/>
      <c r="D51" s="11"/>
      <c r="E51" s="11"/>
      <c r="N51" s="9" t="s">
        <v>8</v>
      </c>
      <c r="O51" s="52"/>
      <c r="P51" s="52"/>
      <c r="Q51" s="52"/>
      <c r="R51" s="52" t="str">
        <f si="8" t="shared"/>
        <v>-</v>
      </c>
    </row>
    <row r="52" spans="2:22" x14ac:dyDescent="0.45">
      <c r="B52" s="9"/>
      <c r="C52" s="11"/>
      <c r="D52" s="11"/>
      <c r="E52" s="11"/>
      <c r="N52" s="12" t="s">
        <v>302</v>
      </c>
      <c r="O52" s="6"/>
      <c r="P52" s="6"/>
      <c r="Q52" s="6"/>
      <c r="R52" s="53">
        <f si="8" t="shared"/>
        <v>0</v>
      </c>
    </row>
    <row r="53" spans="2:22" x14ac:dyDescent="0.45">
      <c r="B53" s="9"/>
      <c r="C53" s="11"/>
      <c r="D53" s="11"/>
      <c r="E53" s="11"/>
    </row>
    <row r="54" spans="2:22" x14ac:dyDescent="0.45">
      <c r="B54" s="9"/>
      <c r="P54" t="s">
        <v>259</v>
      </c>
      <c r="Q54" s="54">
        <v>1</v>
      </c>
    </row>
    <row ht="14.65" r="55" spans="2:22" thickBot="1" x14ac:dyDescent="0.5">
      <c r="B55" s="23"/>
      <c r="N55" s="23" t="s">
        <v>211</v>
      </c>
    </row>
    <row r="56" spans="2:22" x14ac:dyDescent="0.4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39" t="str">
        <f>Q43</f>
        <v>cars &lt; workers</v>
      </c>
      <c r="R56" s="64" t="str">
        <f>R43</f>
        <v>constant</v>
      </c>
    </row>
    <row r="57" spans="2:22" x14ac:dyDescent="0.45">
      <c r="B57" s="9"/>
      <c r="C57" s="11"/>
      <c r="D57" s="11"/>
      <c r="E57" s="11"/>
      <c r="N57" s="9" t="s">
        <v>1</v>
      </c>
      <c r="O57" s="47"/>
      <c r="P57" s="47"/>
      <c r="Q57" s="47"/>
      <c r="R57" s="47">
        <f ref="R57:R65" si="9" t="shared">IF(R18="","-",$Q$54*(R44-$R$49))</f>
        <v>4.0437758321659689E-2</v>
      </c>
    </row>
    <row r="58" spans="2:22" x14ac:dyDescent="0.45">
      <c r="B58" s="9"/>
      <c r="C58" s="46"/>
      <c r="D58" s="46"/>
      <c r="E58" s="46"/>
      <c r="N58" s="9" t="s">
        <v>2</v>
      </c>
      <c r="O58" s="48"/>
      <c r="P58" s="48"/>
      <c r="Q58" s="48"/>
      <c r="R58" s="48">
        <f si="9" t="shared"/>
        <v>2.7300443983967485E-2</v>
      </c>
    </row>
    <row r="59" spans="2:22" x14ac:dyDescent="0.45">
      <c r="B59" s="9"/>
      <c r="C59" s="46"/>
      <c r="D59" s="46"/>
      <c r="E59" s="46"/>
      <c r="N59" s="9" t="s">
        <v>3</v>
      </c>
      <c r="O59" s="48"/>
      <c r="P59" s="48"/>
      <c r="Q59" s="48"/>
      <c r="R59" s="48">
        <f si="9" t="shared"/>
        <v>-2.1705970778455659E-2</v>
      </c>
    </row>
    <row r="60" spans="2:22" x14ac:dyDescent="0.45">
      <c r="B60" s="9"/>
      <c r="C60" s="11"/>
      <c r="D60" s="11"/>
      <c r="E60" s="11"/>
      <c r="N60" s="9" t="s">
        <v>4</v>
      </c>
      <c r="O60" s="48"/>
      <c r="P60" s="48"/>
      <c r="Q60" s="48"/>
      <c r="R60" s="48" t="str">
        <f si="9" t="shared"/>
        <v>-</v>
      </c>
    </row>
    <row r="61" spans="2:22" x14ac:dyDescent="0.45">
      <c r="B61" s="9"/>
      <c r="C61" s="11"/>
      <c r="D61" s="11"/>
      <c r="E61" s="11"/>
      <c r="N61" s="9" t="s">
        <v>5</v>
      </c>
      <c r="O61" s="48"/>
      <c r="P61" s="48"/>
      <c r="Q61" s="48"/>
      <c r="R61" s="48">
        <f si="9" t="shared"/>
        <v>0.16714029750564402</v>
      </c>
    </row>
    <row r="62" spans="2:22" x14ac:dyDescent="0.45">
      <c r="B62" s="9"/>
      <c r="C62" s="11"/>
      <c r="D62" s="11"/>
      <c r="E62" s="11"/>
      <c r="N62" s="9" t="s">
        <v>6</v>
      </c>
      <c r="O62" s="48"/>
      <c r="P62" s="48"/>
      <c r="Q62" s="48"/>
      <c r="R62" s="48">
        <f si="9" t="shared"/>
        <v>0</v>
      </c>
    </row>
    <row r="63" spans="2:22" x14ac:dyDescent="0.45">
      <c r="B63" s="9"/>
      <c r="C63" s="11"/>
      <c r="D63" s="11"/>
      <c r="E63" s="11"/>
      <c r="N63" s="9" t="s">
        <v>7</v>
      </c>
      <c r="O63" s="48"/>
      <c r="P63" s="48"/>
      <c r="Q63" s="48"/>
      <c r="R63" s="48">
        <f si="9" t="shared"/>
        <v>0.10433078229116441</v>
      </c>
    </row>
    <row r="64" spans="2:22" x14ac:dyDescent="0.45">
      <c r="B64" s="9"/>
      <c r="C64" s="11"/>
      <c r="D64" s="11"/>
      <c r="E64" s="11"/>
      <c r="N64" s="9" t="s">
        <v>8</v>
      </c>
      <c r="O64" s="48"/>
      <c r="P64" s="48"/>
      <c r="Q64" s="48"/>
      <c r="R64" s="48" t="str">
        <f si="9" t="shared"/>
        <v>-</v>
      </c>
    </row>
    <row r="65" spans="2:18" x14ac:dyDescent="0.45">
      <c r="B65" s="9"/>
      <c r="C65" s="11"/>
      <c r="D65" s="11"/>
      <c r="E65" s="11"/>
      <c r="N65" s="12" t="s">
        <v>302</v>
      </c>
      <c r="O65" s="6"/>
      <c r="P65" s="6"/>
      <c r="Q65" s="6"/>
      <c r="R65" s="49">
        <f si="9" t="shared"/>
        <v>4.1509262367243484E-2</v>
      </c>
    </row>
    <row r="66" spans="2:18" x14ac:dyDescent="0.45">
      <c r="N66" s="9" t="s">
        <v>273</v>
      </c>
    </row>
    <row r="67" spans="2:18" x14ac:dyDescent="0.45">
      <c r="B67" s="23"/>
    </row>
    <row ht="14.65" r="68" spans="2:18" thickBot="1" x14ac:dyDescent="0.5">
      <c r="C68" s="11"/>
      <c r="D68" s="11"/>
      <c r="E68" s="11"/>
      <c r="N68" s="37" t="s">
        <v>212</v>
      </c>
    </row>
    <row r="69" spans="2:18" x14ac:dyDescent="0.4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</row>
    <row r="70" spans="2:18" x14ac:dyDescent="0.45">
      <c r="B70" s="9"/>
      <c r="C70" s="46"/>
      <c r="D70" s="11"/>
      <c r="E70" s="11"/>
      <c r="N70" s="9" t="s">
        <v>1</v>
      </c>
      <c r="O70" s="47" t="str">
        <f ref="O70:R78" si="10" t="shared">IFERROR(VLOOKUP(O18,$AA$3:$AC$48,3,FALSE),"-")</f>
        <v>-</v>
      </c>
      <c r="P70" s="47" t="str">
        <f si="10" t="shared"/>
        <v>-</v>
      </c>
      <c r="Q70" s="47" t="str">
        <f si="10" t="shared"/>
        <v>-</v>
      </c>
      <c r="R70" s="47">
        <f si="10" t="shared"/>
        <v>-3.3491921861830001</v>
      </c>
    </row>
    <row r="71" spans="2:18" x14ac:dyDescent="0.45">
      <c r="B71" s="9"/>
      <c r="C71" s="46"/>
      <c r="D71" s="11"/>
      <c r="E71" s="11"/>
      <c r="N71" s="9" t="s">
        <v>2</v>
      </c>
      <c r="O71" s="48" t="str">
        <f si="10" t="shared"/>
        <v>-</v>
      </c>
      <c r="P71" s="48" t="str">
        <f si="10" t="shared"/>
        <v>-</v>
      </c>
      <c r="Q71" s="48" t="str">
        <f si="10" t="shared"/>
        <v>-</v>
      </c>
      <c r="R71" s="48">
        <f si="10" t="shared"/>
        <v>-2.4199459318169998</v>
      </c>
    </row>
    <row r="72" spans="2:18" x14ac:dyDescent="0.45">
      <c r="B72" s="9"/>
      <c r="C72" s="11"/>
      <c r="D72" s="11"/>
      <c r="E72" s="11"/>
      <c r="N72" s="9" t="s">
        <v>3</v>
      </c>
      <c r="O72" s="48" t="str">
        <f si="10" t="shared"/>
        <v>-</v>
      </c>
      <c r="P72" s="48" t="str">
        <f si="10" t="shared"/>
        <v>-</v>
      </c>
      <c r="Q72" s="48" t="str">
        <f si="10" t="shared"/>
        <v>-</v>
      </c>
      <c r="R72" s="48">
        <f si="10" t="shared"/>
        <v>-3.4959028928209999</v>
      </c>
    </row>
    <row r="73" spans="2:18" x14ac:dyDescent="0.45">
      <c r="B73" s="9"/>
      <c r="C73" s="11"/>
      <c r="D73" s="11"/>
      <c r="E73" s="11"/>
      <c r="N73" s="9" t="s">
        <v>4</v>
      </c>
      <c r="O73" s="48" t="str">
        <f si="10" t="shared"/>
        <v>-</v>
      </c>
      <c r="P73" s="48" t="str">
        <f si="10" t="shared"/>
        <v>-</v>
      </c>
      <c r="Q73" s="48" t="str">
        <f si="10" t="shared"/>
        <v>-</v>
      </c>
      <c r="R73" s="48" t="str">
        <f si="10" t="shared"/>
        <v>-</v>
      </c>
    </row>
    <row r="74" spans="2:18" x14ac:dyDescent="0.45">
      <c r="B74" s="9"/>
      <c r="C74" s="11"/>
      <c r="D74" s="11"/>
      <c r="E74" s="11"/>
      <c r="N74" s="9" t="s">
        <v>5</v>
      </c>
      <c r="O74" s="48" t="str">
        <f si="10" t="shared"/>
        <v>-</v>
      </c>
      <c r="P74" s="48" t="str">
        <f si="10" t="shared"/>
        <v>-</v>
      </c>
      <c r="Q74" s="48" t="str">
        <f si="10" t="shared"/>
        <v>-</v>
      </c>
      <c r="R74" s="48">
        <f si="10" t="shared"/>
        <v>-2.6070874005569999</v>
      </c>
    </row>
    <row r="75" spans="2:18" x14ac:dyDescent="0.45">
      <c r="B75" s="9"/>
      <c r="C75" s="11"/>
      <c r="D75" s="11"/>
      <c r="E75" s="11"/>
      <c r="N75" s="9" t="s">
        <v>6</v>
      </c>
      <c r="O75" s="48" t="str">
        <f si="10" t="shared"/>
        <v>-</v>
      </c>
      <c r="P75" s="48" t="str">
        <f si="10" t="shared"/>
        <v>-</v>
      </c>
      <c r="Q75" s="48" t="str">
        <f si="10" t="shared"/>
        <v>-</v>
      </c>
      <c r="R75" s="48">
        <f si="10" t="shared"/>
        <v>-5.9221197700000001</v>
      </c>
    </row>
    <row r="76" spans="2:18" x14ac:dyDescent="0.45">
      <c r="B76" s="9"/>
      <c r="C76" s="11"/>
      <c r="D76" s="11"/>
      <c r="E76" s="11"/>
      <c r="N76" s="9" t="s">
        <v>7</v>
      </c>
      <c r="O76" s="48" t="str">
        <f si="10" t="shared"/>
        <v>-</v>
      </c>
      <c r="P76" s="48" t="str">
        <f si="10" t="shared"/>
        <v>-</v>
      </c>
      <c r="Q76" s="48" t="str">
        <f si="10" t="shared"/>
        <v>-</v>
      </c>
      <c r="R76" s="48" t="str">
        <f si="10" t="shared"/>
        <v>-</v>
      </c>
    </row>
    <row r="77" spans="2:18" x14ac:dyDescent="0.45">
      <c r="B77" s="9"/>
      <c r="N77" s="9" t="s">
        <v>8</v>
      </c>
      <c r="O77" s="48" t="str">
        <f si="10" t="shared"/>
        <v>-</v>
      </c>
      <c r="P77" s="48" t="str">
        <f si="10" t="shared"/>
        <v>-</v>
      </c>
      <c r="Q77" s="48" t="str">
        <f si="10" t="shared"/>
        <v>-</v>
      </c>
      <c r="R77" s="48" t="str">
        <f si="10" t="shared"/>
        <v>-</v>
      </c>
    </row>
    <row r="78" spans="2:18" x14ac:dyDescent="0.45">
      <c r="N78" s="12" t="s">
        <v>302</v>
      </c>
      <c r="O78" s="49" t="str">
        <f si="10" t="shared"/>
        <v>-</v>
      </c>
      <c r="P78" s="49" t="str">
        <f si="10" t="shared"/>
        <v>-</v>
      </c>
      <c r="Q78" s="49" t="str">
        <f si="10" t="shared"/>
        <v>-</v>
      </c>
      <c r="R78" s="49" t="str">
        <f si="10" t="shared"/>
        <v>-</v>
      </c>
    </row>
    <row ht="14.65" r="80" spans="2:18" thickBot="1" x14ac:dyDescent="0.5">
      <c r="H80" s="5" t="s">
        <v>235</v>
      </c>
      <c r="N80" s="37" t="s">
        <v>213</v>
      </c>
    </row>
    <row r="81" spans="8:18" x14ac:dyDescent="0.4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45">
      <c r="H82" s="9" t="s">
        <v>1</v>
      </c>
      <c r="I82" s="11" t="str">
        <f ref="I82:L89" si="11" t="shared">IF(ISBLANK(O18),"",O18)</f>
        <v/>
      </c>
      <c r="J82" s="11" t="str">
        <f si="11" t="shared"/>
        <v/>
      </c>
      <c r="K82" s="11" t="str">
        <f si="11" t="shared"/>
        <v/>
      </c>
      <c r="L82" s="11">
        <f si="11" t="shared"/>
        <v>50</v>
      </c>
      <c r="N82" s="9" t="s">
        <v>1</v>
      </c>
      <c r="O82" s="48" t="str">
        <f ref="O82:R90" si="12" t="shared">IF(O18="","-",O57+O70)</f>
        <v>-</v>
      </c>
      <c r="P82" s="48" t="str">
        <f si="12" t="shared"/>
        <v>-</v>
      </c>
      <c r="Q82" s="48" t="str">
        <f si="12" t="shared"/>
        <v>-</v>
      </c>
      <c r="R82" s="48">
        <f si="12" t="shared"/>
        <v>-3.3087544278613406</v>
      </c>
    </row>
    <row r="83" spans="8:18" x14ac:dyDescent="0.45">
      <c r="H83" s="9" t="s">
        <v>2</v>
      </c>
      <c r="I83" s="11" t="str">
        <f si="11" t="shared"/>
        <v/>
      </c>
      <c r="J83" s="11" t="str">
        <f si="11" t="shared"/>
        <v/>
      </c>
      <c r="K83" s="11" t="str">
        <f si="11" t="shared"/>
        <v/>
      </c>
      <c r="L83" s="11">
        <f si="11" t="shared"/>
        <v>40</v>
      </c>
      <c r="N83" s="9" t="s">
        <v>2</v>
      </c>
      <c r="O83" s="48" t="str">
        <f si="12" t="shared"/>
        <v>-</v>
      </c>
      <c r="P83" s="48" t="str">
        <f si="12" t="shared"/>
        <v>-</v>
      </c>
      <c r="Q83" s="48" t="str">
        <f si="12" t="shared"/>
        <v>-</v>
      </c>
      <c r="R83" s="48">
        <f si="12" t="shared"/>
        <v>-2.3926454878330321</v>
      </c>
    </row>
    <row r="84" spans="8:18" x14ac:dyDescent="0.45">
      <c r="H84" s="9" t="s">
        <v>3</v>
      </c>
      <c r="I84" s="11" t="str">
        <f si="11" t="shared"/>
        <v/>
      </c>
      <c r="J84" s="11" t="str">
        <f si="11" t="shared"/>
        <v/>
      </c>
      <c r="K84" s="11" t="str">
        <f si="11" t="shared"/>
        <v/>
      </c>
      <c r="L84" s="11">
        <f si="11" t="shared"/>
        <v>30</v>
      </c>
      <c r="N84" s="9" t="s">
        <v>3</v>
      </c>
      <c r="O84" s="48" t="str">
        <f si="12" t="shared"/>
        <v>-</v>
      </c>
      <c r="P84" s="48" t="str">
        <f si="12" t="shared"/>
        <v>-</v>
      </c>
      <c r="Q84" s="48" t="str">
        <f si="12" t="shared"/>
        <v>-</v>
      </c>
      <c r="R84" s="48">
        <f si="12" t="shared"/>
        <v>-3.5176088635994556</v>
      </c>
    </row>
    <row r="85" spans="8:18" x14ac:dyDescent="0.45">
      <c r="H85" s="9" t="s">
        <v>4</v>
      </c>
      <c r="I85" s="11" t="str">
        <f si="11" t="shared"/>
        <v/>
      </c>
      <c r="J85" s="11" t="str">
        <f si="11" t="shared"/>
        <v/>
      </c>
      <c r="K85" s="11" t="str">
        <f si="11" t="shared"/>
        <v/>
      </c>
      <c r="L85" s="11" t="str">
        <f si="11" t="shared"/>
        <v/>
      </c>
      <c r="N85" s="9" t="s">
        <v>4</v>
      </c>
      <c r="O85" s="48" t="str">
        <f si="12" t="shared"/>
        <v>-</v>
      </c>
      <c r="P85" s="48" t="str">
        <f si="12" t="shared"/>
        <v>-</v>
      </c>
      <c r="Q85" s="48" t="str">
        <f si="12" t="shared"/>
        <v>-</v>
      </c>
      <c r="R85" s="48" t="str">
        <f si="12" t="shared"/>
        <v>-</v>
      </c>
    </row>
    <row r="86" spans="8:18" x14ac:dyDescent="0.45">
      <c r="H86" s="9" t="s">
        <v>5</v>
      </c>
      <c r="I86" s="11" t="str">
        <f si="11" t="shared"/>
        <v/>
      </c>
      <c r="J86" s="11" t="str">
        <f si="11" t="shared"/>
        <v/>
      </c>
      <c r="K86" s="11" t="str">
        <f si="11" t="shared"/>
        <v/>
      </c>
      <c r="L86" s="11">
        <f si="11" t="shared"/>
        <v>20</v>
      </c>
      <c r="N86" s="9" t="s">
        <v>5</v>
      </c>
      <c r="O86" s="48" t="str">
        <f si="12" t="shared"/>
        <v>-</v>
      </c>
      <c r="P86" s="48" t="str">
        <f si="12" t="shared"/>
        <v>-</v>
      </c>
      <c r="Q86" s="48" t="str">
        <f si="12" t="shared"/>
        <v>-</v>
      </c>
      <c r="R86" s="48">
        <f si="12" t="shared"/>
        <v>-2.439947103051356</v>
      </c>
    </row>
    <row r="87" spans="8:18" x14ac:dyDescent="0.45">
      <c r="H87" s="9" t="s">
        <v>6</v>
      </c>
      <c r="I87" s="11" t="str">
        <f si="11" t="shared"/>
        <v/>
      </c>
      <c r="J87" s="11" t="str">
        <f si="11" t="shared"/>
        <v/>
      </c>
      <c r="K87" s="11" t="str">
        <f si="11" t="shared"/>
        <v/>
      </c>
      <c r="L87" s="11">
        <f si="11" t="shared"/>
        <v>60</v>
      </c>
      <c r="N87" s="9" t="s">
        <v>6</v>
      </c>
      <c r="O87" s="48" t="str">
        <f si="12" t="shared"/>
        <v>-</v>
      </c>
      <c r="P87" s="48" t="str">
        <f si="12" t="shared"/>
        <v>-</v>
      </c>
      <c r="Q87" s="48" t="str">
        <f si="12" t="shared"/>
        <v>-</v>
      </c>
      <c r="R87" s="48">
        <f si="12" t="shared"/>
        <v>-5.9221197700000001</v>
      </c>
    </row>
    <row r="88" spans="8:18" x14ac:dyDescent="0.45">
      <c r="H88" s="9" t="s">
        <v>7</v>
      </c>
      <c r="I88" s="11" t="str">
        <f si="11" t="shared"/>
        <v/>
      </c>
      <c r="J88" s="11" t="str">
        <f si="11" t="shared"/>
        <v/>
      </c>
      <c r="K88" s="11" t="str">
        <f si="11" t="shared"/>
        <v/>
      </c>
      <c r="L88" s="11">
        <f si="11" t="shared"/>
        <v>70</v>
      </c>
      <c r="N88" s="9" t="s">
        <v>7</v>
      </c>
      <c r="O88" s="48" t="str">
        <f si="12" t="shared"/>
        <v>-</v>
      </c>
      <c r="P88" s="48" t="str">
        <f si="12" t="shared"/>
        <v>-</v>
      </c>
      <c r="Q88" s="48" t="str">
        <f si="12" t="shared"/>
        <v>-</v>
      </c>
      <c r="R88" s="48" t="e">
        <f si="12" t="shared"/>
        <v>#VALUE!</v>
      </c>
    </row>
    <row r="89" spans="8:18" x14ac:dyDescent="0.45">
      <c r="H89" s="9" t="s">
        <v>8</v>
      </c>
      <c r="I89" s="11" t="str">
        <f si="11" t="shared"/>
        <v/>
      </c>
      <c r="J89" s="11" t="str">
        <f si="11" t="shared"/>
        <v/>
      </c>
      <c r="K89" s="11" t="str">
        <f si="11" t="shared"/>
        <v/>
      </c>
      <c r="L89" s="11" t="str">
        <f si="11" t="shared"/>
        <v/>
      </c>
      <c r="N89" s="9" t="s">
        <v>8</v>
      </c>
      <c r="O89" s="48" t="str">
        <f si="12" t="shared"/>
        <v>-</v>
      </c>
      <c r="P89" s="48" t="str">
        <f si="12" t="shared"/>
        <v>-</v>
      </c>
      <c r="Q89" s="48" t="str">
        <f si="12" t="shared"/>
        <v>-</v>
      </c>
      <c r="R89" s="48" t="str">
        <f si="12" t="shared"/>
        <v>-</v>
      </c>
    </row>
    <row r="90" spans="8:18" x14ac:dyDescent="0.45">
      <c r="H90" s="12" t="s">
        <v>302</v>
      </c>
      <c r="I90" s="6"/>
      <c r="J90" s="6"/>
      <c r="K90" s="6"/>
      <c r="L90" s="7">
        <f>IF(ISBLANK(R26),"",R26)</f>
        <v>80</v>
      </c>
      <c r="N90" s="12" t="s">
        <v>302</v>
      </c>
      <c r="O90" s="49" t="str">
        <f si="12" t="shared"/>
        <v>-</v>
      </c>
      <c r="P90" s="49" t="str">
        <f si="12" t="shared"/>
        <v>-</v>
      </c>
      <c r="Q90" s="49" t="str">
        <f si="12" t="shared"/>
        <v>-</v>
      </c>
      <c r="R90" s="49" t="e">
        <f si="12" t="shared"/>
        <v>#VALUE!</v>
      </c>
    </row>
  </sheetData>
  <mergeCells count="2">
    <mergeCell ref="B15:F15"/>
    <mergeCell ref="H15:L15"/>
  </mergeCells>
  <conditionalFormatting sqref="AE3:AE28">
    <cfRule dxfId="3" operator="greaterThan" priority="4" type="cellIs">
      <formula>0</formula>
    </cfRule>
  </conditionalFormatting>
  <conditionalFormatting sqref="R31:R33 R35:R37 R39">
    <cfRule dxfId="2" operator="lessThan" priority="2" type="cellIs">
      <formula>0.95</formula>
    </cfRule>
    <cfRule dxfId="1" operator="greaterThan" priority="3" type="cellIs">
      <formula>1.05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D4DB0CB7-7AEE-4C2F-AA51-D50752CD9C64}" operator="containsText" priority="1" type="containsText">
            <xm:f>NOT(ISERROR(SEARCH("-",R31)))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R31:R39</xm:sqref>
        </x14:conditionalFormatting>
      </x14:conditionalFormattings>
    </ext>
  </extLst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D0EE65-954E-4FB5-87E7-C973B0F1E227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2.xml><?xml version="1.0" encoding="utf-8"?>
<ds:datastoreItem xmlns:ds="http://schemas.openxmlformats.org/officeDocument/2006/customXml" ds:itemID="{1E90DB52-A4B3-4B47-8C68-6BB346D5C4A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41A222-16DD-4BA6-B2C9-6D71727392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21</vt:i4>
      </vt:variant>
      <vt:variant>
        <vt:lpstr>Named Ranges</vt:lpstr>
      </vt:variant>
      <vt:variant>
        <vt:i4>40</vt:i4>
      </vt:variant>
    </vt:vector>
  </HeadingPairs>
  <TitlesOfParts>
    <vt:vector baseType="lpstr" size="61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2025-03-20T13:36:39Z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