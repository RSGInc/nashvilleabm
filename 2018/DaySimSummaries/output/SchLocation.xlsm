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AU54" s="1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L49"/>
  <c i="1" r="K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W47"/>
  <c i="1" r="V47"/>
  <c i="1" r="U47"/>
  <c i="1" r="T47"/>
  <c i="1" r="S47"/>
  <c i="1" r="R47"/>
  <c i="1" r="Q47"/>
  <c i="1" r="P47"/>
  <c i="1" r="O47"/>
  <c i="1" r="N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U38" s="1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W27"/>
  <c i="1" r="M54" s="1"/>
  <c i="1" r="AU26"/>
  <c i="1" r="W26"/>
  <c i="1" r="U53" s="1"/>
  <c i="1" r="AU25"/>
  <c i="1" r="W25"/>
  <c i="1" r="H52" s="1"/>
  <c i="1" r="AU24"/>
  <c i="1" r="W24"/>
  <c i="1" r="D51" s="1"/>
  <c i="1" r="AU23"/>
  <c i="1" r="W23"/>
  <c i="1" r="AU22"/>
  <c i="1" r="W22"/>
  <c i="1" r="M49" s="1"/>
  <c i="1" r="AU21"/>
  <c i="1" r="W21"/>
  <c i="1" r="I48" s="1"/>
  <c i="1" r="AU20"/>
  <c i="1" r="W20"/>
  <c i="1" r="AU19"/>
  <c i="1" r="W19"/>
  <c i="1" r="I46" s="1"/>
  <c i="1" r="AU18"/>
  <c i="1" r="W18"/>
  <c i="1" r="G45" s="1"/>
  <c i="1" r="AU17"/>
  <c i="1" r="W17"/>
  <c i="1" r="AU16"/>
  <c i="1" r="W16"/>
  <c i="1" r="AU15"/>
  <c i="1" r="W15"/>
  <c i="1" r="AU14"/>
  <c i="1" r="W14"/>
  <c i="1" r="AU13"/>
  <c i="1" r="W13"/>
  <c i="1" r="P40" s="1"/>
  <c i="1" r="AU12"/>
  <c i="1" r="W12"/>
  <c i="1" r="D39" s="1"/>
  <c i="1" r="AU11"/>
  <c i="1" r="W11"/>
  <c i="1" r="O38" s="1"/>
  <c i="1" r="BC41" s="1"/>
  <c i="1" r="BC39" s="1"/>
  <c i="1" r="BC38" s="1"/>
  <c i="1" r="AU10"/>
  <c i="1" r="W10"/>
  <c i="1" r="AU9"/>
  <c i="1" r="W9"/>
  <c i="1" r="Q36" s="1"/>
  <c i="1" r="AU8"/>
  <c i="1" r="W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W7"/>
  <c i="1" r="J34" s="1"/>
  <c i="1" l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Q35" s="1"/>
  <c i="12" r="K35"/>
  <c i="12" r="I35"/>
  <c i="12" r="C35"/>
  <c i="12" r="D35"/>
  <c i="12" r="B35"/>
  <c i="12" r="I25"/>
  <c i="12" r="J25"/>
  <c i="12" r="K25"/>
  <c i="12" r="L24"/>
  <c i="12" r="B25"/>
  <c i="12" r="C25"/>
  <c i="12" r="D25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I14"/>
  <c i="12" r="J14"/>
  <c i="12" r="K14"/>
  <c i="12" r="L13"/>
  <c i="12" r="S13" s="1"/>
  <c i="12" r="B14"/>
  <c i="12" r="C14"/>
  <c i="12" r="D14"/>
  <c i="12" r="E13"/>
  <c i="12" l="1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Q81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D63"/>
  <c i="1" r="P61"/>
  <c i="1" r="O81"/>
  <c i="1" r="M78"/>
  <c i="1" r="K75"/>
  <c i="1" r="W73"/>
  <c i="1" r="I72"/>
  <c i="1" r="U70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B63"/>
  <c i="1" r="N61"/>
  <c i="1" r="M81"/>
  <c i="1" r="K78"/>
  <c i="1" r="Q67"/>
  <c i="1" r="C66"/>
  <c i="1" r="O64"/>
  <c i="1" r="M61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G75"/>
  <c i="1" r="S73"/>
  <c i="1" r="E72"/>
  <c i="1" r="Q70"/>
  <c i="1" r="C69"/>
  <c i="1" r="O67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M67"/>
  <c i="1" r="K64"/>
  <c i="1" r="W62"/>
  <c i="1" r="I61"/>
  <c i="1" r="V82"/>
  <c i="1" r="H81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M70"/>
  <c i="1" r="G61"/>
  <c i="1" r="F81"/>
  <c i="1" r="R79"/>
  <c i="1" r="D78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L73"/>
  <c i="1" r="J70"/>
  <c i="1" r="V68"/>
  <c i="1" r="H67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H70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G73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W61"/>
  <c i="1" r="S74"/>
  <c i="1" r="Q63"/>
  <c i="1" r="P63"/>
  <c i="1" r="T81"/>
  <c i="1" r="D82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C71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R63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V67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L68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B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Q69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G105" s="1"/>
  <c i="1" r="AS76"/>
  <c i="1" r="AS103" s="1"/>
  <c i="1" r="AE75"/>
  <c i="1" r="AE102" s="1"/>
  <c i="1" r="AQ73"/>
  <c i="1" r="AQ100" s="1"/>
  <c i="1" r="AC72"/>
  <c i="1" r="AC99" s="1"/>
  <c i="1" r="AO70"/>
  <c i="1" r="AO97" s="1"/>
  <c i="1" r="AA69"/>
  <c i="1" r="AA96" s="1"/>
  <c i="1" r="AM67"/>
  <c i="1" r="AM94" s="1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I97" s="1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Z105" s="1"/>
  <c i="1" r="AL76"/>
  <c i="1" r="AL103" s="1"/>
  <c i="1" r="AJ73"/>
  <c i="1" r="AJ100" s="1"/>
  <c i="1" r="AH70"/>
  <c i="1" r="AH97" s="1"/>
  <c i="1" r="AT68"/>
  <c i="1" r="AT95" s="1"/>
  <c i="1" r="AF67"/>
  <c i="1" r="AF94" s="1"/>
  <c i="1" r="AR65"/>
  <c i="1" r="AR92" s="1"/>
  <c i="1" r="AD64"/>
  <c i="1" r="AD91" s="1"/>
  <c i="1" r="AP62"/>
  <c i="1" r="AP89" s="1"/>
  <c i="1" r="AT71"/>
  <c i="1" r="AT98" s="1"/>
  <c i="1" r="AF70"/>
  <c i="1" r="AF97" s="1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R98" s="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H109" s="1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L95" s="1"/>
  <c i="1" r="AJ65"/>
  <c i="1" r="AJ92" s="1"/>
  <c i="1" r="AH62"/>
  <c i="1" r="AH89" s="1"/>
  <c i="1" r="AL71"/>
  <c i="1" r="AL98" s="1"/>
  <c i="1" r="AJ68"/>
  <c i="1" r="AJ95" s="1"/>
  <c i="1" r="AH65"/>
  <c i="1" r="AH92" s="1"/>
  <c i="1" r="AT63"/>
  <c i="1" r="AT90" s="1"/>
  <c i="1" r="AF62"/>
  <c i="1" r="AF89" s="1"/>
  <c i="1" r="AM80"/>
  <c i="1" r="AM107" s="1"/>
  <c i="1" r="AA79"/>
  <c i="1" r="AA106" s="1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A98" s="1"/>
  <c i="1" r="AO63"/>
  <c i="1" r="AO90" s="1"/>
  <c i="1" r="AE62"/>
  <c i="1" r="AE89" s="1"/>
  <c i="1" r="AM61"/>
  <c i="1" r="AM88" s="1"/>
  <c i="1" r="AS66"/>
  <c i="1" r="AS93" s="1"/>
  <c i="1" r="AT67"/>
  <c i="1" r="AT94" s="1"/>
  <c i="1" r="AM77"/>
  <c i="1" r="AM104" s="1"/>
  <c i="1" r="AT81"/>
  <c i="1" r="AT108" s="1"/>
  <c i="1" r="AH80"/>
  <c i="1" r="AH107" s="1"/>
  <c i="1" r="AQ74"/>
  <c i="1" r="AQ101" s="1"/>
  <c i="1" r="AU73"/>
  <c i="1" r="AU100" s="1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U105" s="1"/>
  <c i="1" r="AP78"/>
  <c i="1" r="AQ81"/>
  <c i="1" r="AQ108" s="1"/>
  <c i="1" r="AE80"/>
  <c i="1" r="AE107" s="1"/>
  <c i="1" r="AK74"/>
  <c i="1" r="AK101" s="1"/>
  <c i="1" r="AG72"/>
  <c i="1" r="AG99" s="1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U93" s="1"/>
  <c i="1" r="AS64"/>
  <c i="1" r="AI63"/>
  <c i="1" r="AI90" s="1"/>
  <c i="1" r="AK75"/>
  <c i="1" r="AK102" s="1"/>
  <c i="1" r="AR67"/>
  <c i="1" r="AR94" s="1"/>
  <c i="1" r="AN81"/>
  <c i="1" r="AB80"/>
  <c i="1" r="AB107" s="1"/>
  <c i="1" r="AT75"/>
  <c i="1" r="AT102" s="1"/>
  <c i="1" r="AH74"/>
  <c i="1" r="AH101" s="1"/>
  <c i="1" r="AT66"/>
  <c i="1" r="AT93" s="1"/>
  <c i="1" r="AR64"/>
  <c i="1" r="AR91" s="1"/>
  <c i="1" r="AH63"/>
  <c i="1" r="AH90" s="1"/>
  <c i="1" r="AN77"/>
  <c i="1" r="AN104" s="1"/>
  <c i="1" r="AG66"/>
  <c i="1" r="AG93" s="1"/>
  <c i="1" r="AF66"/>
  <c i="1" r="AF93" s="1"/>
  <c i="1" r="AQ69"/>
  <c i="1" r="AQ96" s="1"/>
  <c i="1" r="AI82"/>
  <c i="1" r="AI109" s="1"/>
  <c i="1" r="AM81"/>
  <c i="1" r="AM108" s="1"/>
  <c i="1" r="AA80"/>
  <c i="1" r="AA107" s="1"/>
  <c i="1" r="AQ75"/>
  <c i="1" r="AQ102" s="1"/>
  <c i="1" r="AE74"/>
  <c i="1" r="AE101" s="1"/>
  <c i="1" r="AQ66"/>
  <c i="1" r="AQ93" s="1"/>
  <c i="1" r="AG65"/>
  <c i="1" r="AG92" s="1"/>
  <c i="1" r="AO64"/>
  <c i="1" r="AO91" s="1"/>
  <c i="1" r="AE63"/>
  <c i="1" r="AE90" s="1"/>
  <c i="1" r="AA76"/>
  <c i="1" r="AA103" s="1"/>
  <c i="1" r="AO69"/>
  <c i="1" r="AO96" s="1"/>
  <c i="1" r="AC66"/>
  <c i="1" r="AC93" s="1"/>
  <c i="1" r="AC82"/>
  <c i="1" r="AC109" s="1"/>
  <c i="1" r="AP75"/>
  <c i="1" r="AP102" s="1"/>
  <c i="1" r="AD74"/>
  <c i="1" r="AD101" s="1"/>
  <c i="1" r="AP66"/>
  <c i="1" r="AP93" s="1"/>
  <c i="1" r="AF65"/>
  <c i="1" r="AF92" s="1"/>
  <c i="1" r="AN64"/>
  <c i="1" r="AD63"/>
  <c i="1" r="AL66"/>
  <c i="1" r="AL69"/>
  <c i="1" r="AL96" s="1"/>
  <c i="1" r="AB82"/>
  <c i="1" r="AB109" s="1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H98" s="1"/>
  <c i="1" r="AA70"/>
  <c i="1" r="AA97" s="1"/>
  <c i="1" r="Z77"/>
  <c i="1" r="Z104" s="1"/>
  <c i="1" r="AT61"/>
  <c i="1" r="AT88" s="1"/>
  <c i="1" r="AQ72"/>
  <c i="1" r="AQ99" s="1"/>
  <c i="1" r="AS71"/>
  <c i="1" r="AS98" s="1"/>
  <c i="1" r="AA77"/>
  <c i="1" r="AA104" s="1"/>
  <c i="1" r="AA68"/>
  <c i="1" r="AA95" s="1"/>
  <c i="1" r="AK69"/>
  <c i="1" r="AK96" s="1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S97" s="1"/>
  <c i="1" r="AU72"/>
  <c i="1" r="AU99" s="1"/>
  <c i="1" r="AT70"/>
  <c i="1" r="AT97" s="1"/>
  <c i="1" r="AR70"/>
  <c i="1" r="AR97" s="1"/>
  <c i="1" r="Z68"/>
  <c i="1" r="Z95" s="1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O107" s="1"/>
  <c i="1" r="AN80"/>
  <c i="1" r="AN107" s="1"/>
  <c i="1" r="AU61"/>
  <c i="1" r="AU88" s="1"/>
  <c i="1" r="AO78"/>
  <c i="1" r="AO105" s="1"/>
  <c i="1" r="AK78"/>
  <c i="1" r="AK105" s="1"/>
  <c i="1" r="BD42"/>
  <c i="3" r="E11"/>
  <c i="15" r="L24"/>
  <c i="1" l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K108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F108" s="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AT109" s="1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U89" s="1"/>
  <c i="1" r="AB69"/>
  <c i="1" r="AB96" s="1"/>
  <c i="1" r="AN61"/>
  <c i="1" r="AN88" s="1"/>
  <c i="1" r="AI75"/>
  <c i="1" r="AI102" s="1"/>
  <c i="1" r="AE68"/>
  <c i="1" r="AE95" s="1"/>
  <c i="1" r="Z63"/>
  <c i="1" r="Z90" s="1"/>
  <c i="1" r="AP63"/>
  <c i="1" r="AP90" s="1"/>
  <c i="1" r="AR80"/>
  <c i="1" r="AR107" s="1"/>
  <c i="1" r="AA67"/>
  <c i="1" r="AA94" s="1"/>
  <c i="1" r="AA61"/>
  <c i="1" r="AA88" s="1"/>
  <c i="1" r="AR62"/>
  <c i="1" r="AR89" s="1"/>
  <c i="1" r="AI64"/>
  <c i="1" r="AI91" s="1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K94" s="1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98" s="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100" s="1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L105" s="1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102" s="1"/>
  <c i="1" r="AJ76"/>
  <c i="1" r="AJ103" s="1"/>
  <c i="1" r="AI62"/>
  <c i="1" r="AI89" s="1"/>
  <c i="1" r="AB63"/>
  <c i="1" r="AB90" s="1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L88" s="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K32"/>
  <c i="12" r="L32"/>
  <c i="12" r="I33"/>
  <c i="12" r="J33"/>
  <c i="12" r="K33"/>
  <c i="12" r="L33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E30"/>
  <c i="12" r="P29"/>
  <c i="12" r="R30"/>
  <c i="12" r="R34"/>
  <c i="12" r="Q30"/>
  <c i="12" r="Q34"/>
  <c i="12" r="Q29"/>
  <c i="12" r="R29"/>
  <c i="12" r="P30"/>
  <c i="12" r="P34"/>
  <c i="12" r="L30"/>
  <c i="12" r="L34"/>
  <c i="12" r="E34"/>
  <c i="12" r="L29"/>
  <c i="15" r="B17"/>
  <c i="12" r="E29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L75" s="1"/>
  <c i="4" r="K74"/>
  <c i="4" r="L74" s="1"/>
  <c i="4" r="K73"/>
  <c i="4" r="L73" s="1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L34" s="1"/>
  <c i="4" r="K33"/>
  <c i="4" r="L33" s="1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F39" s="1"/>
  <c i="4" r="E40"/>
  <c i="4" r="F40" s="1"/>
  <c i="4" r="E41"/>
  <c i="4" r="F41" s="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F79" s="1"/>
  <c i="4" r="E80"/>
  <c i="4" r="F80" s="1"/>
  <c i="4" r="E81"/>
  <c i="4" r="F81" s="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<sst xmlns="http://schemas.openxmlformats.org/spreadsheetml/2006/main" count="748" uniqueCount="305">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</sst>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4.439548555513604E-2</c:v>
                </c:pt>
                <c:pt idx="1">
                  <c:v>0.15398501267333559</c:v>
                </c:pt>
                <c:pt idx="2">
                  <c:v>0.16357565848597552</c:v>
                </c:pt>
                <c:pt idx="3">
                  <c:v>0.11522483651199233</c:v>
                </c:pt>
                <c:pt idx="4">
                  <c:v>8.4521673638749281E-2</c:v>
                </c:pt>
                <c:pt idx="5">
                  <c:v>7.0902437783056466E-2</c:v>
                </c:pt>
                <c:pt idx="6">
                  <c:v>5.6361620028856384E-2</c:v>
                </c:pt>
                <c:pt idx="7">
                  <c:v>5.5899505789358941E-2</c:v>
                </c:pt>
                <c:pt idx="8">
                  <c:v>2.7948951669608414E-2</c:v>
                </c:pt>
                <c:pt idx="9">
                  <c:v>2.1511308695303891E-2</c:v>
                </c:pt>
                <c:pt idx="10">
                  <c:v>2.7963166784682959E-2</c:v>
                </c:pt>
                <c:pt idx="11">
                  <c:v>2.8972959765049457E-2</c:v>
                </c:pt>
                <c:pt idx="12">
                  <c:v>2.0289306101045727E-2</c:v>
                </c:pt>
                <c:pt idx="13">
                  <c:v>1.9227925181874789E-2</c:v>
                </c:pt>
                <c:pt idx="14">
                  <c:v>2.4946816058976046E-2</c:v>
                </c:pt>
                <c:pt idx="15">
                  <c:v>2.1632520412200301E-2</c:v>
                </c:pt>
                <c:pt idx="16">
                  <c:v>4.3274056533335863E-3</c:v>
                </c:pt>
                <c:pt idx="17">
                  <c:v>7.2925372645861576E-3</c:v>
                </c:pt>
                <c:pt idx="18">
                  <c:v>1.4539391231848321E-3</c:v>
                </c:pt>
                <c:pt idx="19">
                  <c:v>4.133508036293621E-3</c:v>
                </c:pt>
                <c:pt idx="20">
                  <c:v>3.1702676909185039E-3</c:v>
                </c:pt>
                <c:pt idx="21">
                  <c:v>2.1987267081257813E-3</c:v>
                </c:pt>
                <c:pt idx="22">
                  <c:v>2.0720270465880513E-3</c:v>
                </c:pt>
                <c:pt idx="23">
                  <c:v>1.9856563500101842E-3</c:v>
                </c:pt>
                <c:pt idx="24">
                  <c:v>1.0462361840593176E-3</c:v>
                </c:pt>
                <c:pt idx="25">
                  <c:v>5.8460539318096246E-3</c:v>
                </c:pt>
                <c:pt idx="26">
                  <c:v>1.3472672493941875E-3</c:v>
                </c:pt>
                <c:pt idx="27">
                  <c:v>8.7985323160217274E-3</c:v>
                </c:pt>
                <c:pt idx="28">
                  <c:v>5.139768947703403E-3</c:v>
                </c:pt>
                <c:pt idx="29">
                  <c:v>1.5133385963086272E-3</c:v>
                </c:pt>
                <c:pt idx="30">
                  <c:v>1.4363851930219889E-3</c:v>
                </c:pt>
                <c:pt idx="31">
                  <c:v>2.7876073455457345E-3</c:v>
                </c:pt>
                <c:pt idx="32">
                  <c:v>2.0280584362494089E-4</c:v>
                </c:pt>
                <c:pt idx="33">
                  <c:v>0</c:v>
                </c:pt>
                <c:pt idx="34">
                  <c:v>2.2252661881115407E-3</c:v>
                </c:pt>
                <c:pt idx="35">
                  <c:v>2.6925524292102139E-4</c:v>
                </c:pt>
                <c:pt idx="36">
                  <c:v>1.4842681735525657E-3</c:v>
                </c:pt>
                <c:pt idx="37">
                  <c:v>1.0066788329530102E-3</c:v>
                </c:pt>
                <c:pt idx="38">
                  <c:v>2.1788911631997126E-4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1.9658255655329563E-4</c:v>
                </c:pt>
                <c:pt idx="44">
                  <c:v>0</c:v>
                </c:pt>
                <c:pt idx="45">
                  <c:v>7.2341240013581141E-4</c:v>
                </c:pt>
                <c:pt idx="46">
                  <c:v>0</c:v>
                </c:pt>
                <c:pt idx="47">
                  <c:v>0</c:v>
                </c:pt>
                <c:pt idx="48">
                  <c:v>2.0997086106808516E-4</c:v>
                </c:pt>
                <c:pt idx="49">
                  <c:v>5.2291614129347161E-4</c:v>
                </c:pt>
                <c:pt idx="50">
                  <c:v>3.5297702835625336E-4</c:v>
                </c:pt>
                <c:pt idx="51">
                  <c:v>1.4513696186238003E-4</c:v>
                </c:pt>
                <c:pt idx="52">
                  <c:v>5.3439788114056377E-4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0.13235298949021462</c:v>
                </c:pt>
                <c:pt idx="1">
                  <c:v>0.18633760755364129</c:v>
                </c:pt>
                <c:pt idx="2">
                  <c:v>0.14192316916516362</c:v>
                </c:pt>
                <c:pt idx="3">
                  <c:v>9.0310562679256065E-2</c:v>
                </c:pt>
                <c:pt idx="4">
                  <c:v>5.8495382462226866E-2</c:v>
                </c:pt>
                <c:pt idx="5">
                  <c:v>4.6060391020523485E-2</c:v>
                </c:pt>
                <c:pt idx="6">
                  <c:v>4.0166500757269623E-2</c:v>
                </c:pt>
                <c:pt idx="7">
                  <c:v>3.409848776048597E-2</c:v>
                </c:pt>
                <c:pt idx="8">
                  <c:v>3.1187681309402956E-2</c:v>
                </c:pt>
                <c:pt idx="9">
                  <c:v>2.6581642207350608E-2</c:v>
                </c:pt>
                <c:pt idx="10">
                  <c:v>2.5149236323973416E-2</c:v>
                </c:pt>
                <c:pt idx="11">
                  <c:v>2.1693064330136704E-2</c:v>
                </c:pt>
                <c:pt idx="12">
                  <c:v>1.9833564949422275E-2</c:v>
                </c:pt>
                <c:pt idx="13">
                  <c:v>1.8118620290883524E-2</c:v>
                </c:pt>
                <c:pt idx="14">
                  <c:v>1.4724869654349947E-2</c:v>
                </c:pt>
                <c:pt idx="15">
                  <c:v>1.279637824714258E-2</c:v>
                </c:pt>
                <c:pt idx="16">
                  <c:v>1.0578777395583853E-2</c:v>
                </c:pt>
                <c:pt idx="17">
                  <c:v>1.041122533124386E-2</c:v>
                </c:pt>
                <c:pt idx="18">
                  <c:v>8.5550112851243334E-3</c:v>
                </c:pt>
                <c:pt idx="19">
                  <c:v>7.2211654395941951E-3</c:v>
                </c:pt>
                <c:pt idx="20">
                  <c:v>6.4622531481718752E-3</c:v>
                </c:pt>
                <c:pt idx="21">
                  <c:v>5.2499646826531044E-3</c:v>
                </c:pt>
                <c:pt idx="22">
                  <c:v>6.0285889816448354E-3</c:v>
                </c:pt>
                <c:pt idx="23">
                  <c:v>4.7834471701770466E-3</c:v>
                </c:pt>
                <c:pt idx="24">
                  <c:v>4.1559482625507993E-3</c:v>
                </c:pt>
                <c:pt idx="25">
                  <c:v>3.7584227765676795E-3</c:v>
                </c:pt>
                <c:pt idx="26">
                  <c:v>3.679574746290036E-3</c:v>
                </c:pt>
                <c:pt idx="27">
                  <c:v>3.5744440392531779E-3</c:v>
                </c:pt>
                <c:pt idx="28">
                  <c:v>3.1670625494853522E-3</c:v>
                </c:pt>
                <c:pt idx="29">
                  <c:v>2.6512650180857671E-3</c:v>
                </c:pt>
                <c:pt idx="30">
                  <c:v>2.5329929726693014E-3</c:v>
                </c:pt>
                <c:pt idx="31">
                  <c:v>2.3851529158987199E-3</c:v>
                </c:pt>
                <c:pt idx="32">
                  <c:v>1.7642246774622762E-3</c:v>
                </c:pt>
                <c:pt idx="33">
                  <c:v>2.8352437554002687E-3</c:v>
                </c:pt>
                <c:pt idx="34">
                  <c:v>2.0434781180289309E-3</c:v>
                </c:pt>
                <c:pt idx="35">
                  <c:v>1.281280492011709E-3</c:v>
                </c:pt>
                <c:pt idx="36">
                  <c:v>9.7574437468583993E-4</c:v>
                </c:pt>
                <c:pt idx="37">
                  <c:v>7.6219762601722172E-4</c:v>
                </c:pt>
                <c:pt idx="38">
                  <c:v>7.2277361087839996E-4</c:v>
                </c:pt>
                <c:pt idx="39">
                  <c:v>7.1948827628349804E-4</c:v>
                </c:pt>
                <c:pt idx="40">
                  <c:v>4.6651751247605812E-4</c:v>
                </c:pt>
                <c:pt idx="41">
                  <c:v>4.6980284707095994E-4</c:v>
                </c:pt>
                <c:pt idx="42">
                  <c:v>5.6507755032311269E-4</c:v>
                </c:pt>
                <c:pt idx="43">
                  <c:v>2.6939743678194904E-4</c:v>
                </c:pt>
                <c:pt idx="44">
                  <c:v>2.4640009461763634E-4</c:v>
                </c:pt>
                <c:pt idx="45">
                  <c:v>2.1026141407371634E-4</c:v>
                </c:pt>
                <c:pt idx="46">
                  <c:v>2.3325875623802906E-4</c:v>
                </c:pt>
                <c:pt idx="47">
                  <c:v>1.4455472217567999E-4</c:v>
                </c:pt>
                <c:pt idx="48">
                  <c:v>2.1354674866861815E-4</c:v>
                </c:pt>
                <c:pt idx="49">
                  <c:v>1.3798405298587636E-4</c:v>
                </c:pt>
                <c:pt idx="50">
                  <c:v>1.9054940650430543E-4</c:v>
                </c:pt>
                <c:pt idx="51">
                  <c:v>1.2155738001136725E-4</c:v>
                </c:pt>
                <c:pt idx="52">
                  <c:v>8.8704034062349075E-5</c:v>
                </c:pt>
                <c:pt idx="53">
                  <c:v>1.2484271460626908E-4</c:v>
                </c:pt>
                <c:pt idx="54">
                  <c:v>1.1170137622666181E-4</c:v>
                </c:pt>
                <c:pt idx="55">
                  <c:v>2.9568011354116359E-5</c:v>
                </c:pt>
                <c:pt idx="56">
                  <c:v>9.1989368657250902E-5</c:v>
                </c:pt>
                <c:pt idx="57">
                  <c:v>7.5562695682741807E-5</c:v>
                </c:pt>
                <c:pt idx="58">
                  <c:v>1.9712007569410905E-5</c:v>
                </c:pt>
                <c:pt idx="59">
                  <c:v>2.2997342164312725E-5</c:v>
                </c:pt>
                <c:pt idx="60">
                  <c:v>9.8560037847054526E-6</c:v>
                </c:pt>
                <c:pt idx="61">
                  <c:v>3.2853345949018178E-6</c:v>
                </c:pt>
                <c:pt idx="62">
                  <c:v>3.2853345949018178E-6</c:v>
                </c:pt>
                <c:pt idx="63">
                  <c:v>3.2853345949018178E-6</c:v>
                </c:pt>
                <c:pt idx="64">
                  <c:v>3.2853345949018178E-6</c:v>
                </c:pt>
                <c:pt idx="65">
                  <c:v>3.2853345949018178E-6</c:v>
                </c:pt>
                <c:pt idx="66">
                  <c:v>3.2853345949018178E-6</c:v>
                </c:pt>
                <c:pt idx="67">
                  <c:v>3.2853345949018178E-6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3.2853345949018178E-6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4.5276759060478653E-3</c:v>
                </c:pt>
                <c:pt idx="3">
                  <c:v>2.977109766581789E-2</c:v>
                </c:pt>
                <c:pt idx="4">
                  <c:v>4.7801176127960622E-2</c:v>
                </c:pt>
                <c:pt idx="5">
                  <c:v>8.7883557638988571E-2</c:v>
                </c:pt>
                <c:pt idx="6">
                  <c:v>9.3883296329248883E-2</c:v>
                </c:pt>
                <c:pt idx="7">
                  <c:v>7.6067536770479172E-2</c:v>
                </c:pt>
                <c:pt idx="8">
                  <c:v>6.3805222054830524E-2</c:v>
                </c:pt>
                <c:pt idx="9">
                  <c:v>5.3175250310058784E-2</c:v>
                </c:pt>
                <c:pt idx="10">
                  <c:v>7.1662102030510058E-2</c:v>
                </c:pt>
                <c:pt idx="11">
                  <c:v>4.0844909410968293E-2</c:v>
                </c:pt>
                <c:pt idx="12">
                  <c:v>4.6944871281793366E-2</c:v>
                </c:pt>
                <c:pt idx="13">
                  <c:v>4.220912762653304E-2</c:v>
                </c:pt>
                <c:pt idx="14">
                  <c:v>3.2796841484524122E-2</c:v>
                </c:pt>
                <c:pt idx="15">
                  <c:v>3.0284408037906895E-2</c:v>
                </c:pt>
                <c:pt idx="16">
                  <c:v>1.665188392959609E-2</c:v>
                </c:pt>
                <c:pt idx="17">
                  <c:v>2.9188400535188747E-2</c:v>
                </c:pt>
                <c:pt idx="18">
                  <c:v>1.7161363338095741E-2</c:v>
                </c:pt>
                <c:pt idx="19">
                  <c:v>5.8611181472041944E-3</c:v>
                </c:pt>
                <c:pt idx="20">
                  <c:v>1.3444514196555532E-2</c:v>
                </c:pt>
                <c:pt idx="21">
                  <c:v>1.034169282814856E-2</c:v>
                </c:pt>
                <c:pt idx="22">
                  <c:v>1.3182068466882912E-2</c:v>
                </c:pt>
                <c:pt idx="23">
                  <c:v>8.3958203752895338E-3</c:v>
                </c:pt>
                <c:pt idx="24">
                  <c:v>1.7710998165815381E-2</c:v>
                </c:pt>
                <c:pt idx="25">
                  <c:v>1.318506403048688E-2</c:v>
                </c:pt>
                <c:pt idx="26">
                  <c:v>1.4746510653088617E-2</c:v>
                </c:pt>
                <c:pt idx="27">
                  <c:v>8.3432938787645437E-3</c:v>
                </c:pt>
                <c:pt idx="28">
                  <c:v>1.0406752201569872E-2</c:v>
                </c:pt>
                <c:pt idx="29">
                  <c:v>7.4883137957571302E-3</c:v>
                </c:pt>
                <c:pt idx="30">
                  <c:v>3.7807352144231458E-3</c:v>
                </c:pt>
                <c:pt idx="31">
                  <c:v>4.9419418570146555E-3</c:v>
                </c:pt>
                <c:pt idx="32">
                  <c:v>4.6071228599828306E-3</c:v>
                </c:pt>
                <c:pt idx="33">
                  <c:v>6.8167132559906482E-3</c:v>
                </c:pt>
                <c:pt idx="34">
                  <c:v>1.2390350279774911E-2</c:v>
                </c:pt>
                <c:pt idx="35">
                  <c:v>3.2073694715558911E-4</c:v>
                </c:pt>
                <c:pt idx="36">
                  <c:v>5.2213564660190896E-3</c:v>
                </c:pt>
                <c:pt idx="37">
                  <c:v>3.8380077761749557E-4</c:v>
                </c:pt>
                <c:pt idx="38">
                  <c:v>2.5231475504521542E-3</c:v>
                </c:pt>
                <c:pt idx="39">
                  <c:v>3.5761801548785869E-4</c:v>
                </c:pt>
                <c:pt idx="40">
                  <c:v>3.110353243685519E-3</c:v>
                </c:pt>
                <c:pt idx="41">
                  <c:v>1.7371978011563025E-3</c:v>
                </c:pt>
                <c:pt idx="42">
                  <c:v>4.5558842724815947E-4</c:v>
                </c:pt>
                <c:pt idx="43">
                  <c:v>7.4211918572383859E-3</c:v>
                </c:pt>
                <c:pt idx="44">
                  <c:v>1.1973914160950301E-3</c:v>
                </c:pt>
                <c:pt idx="45">
                  <c:v>5.0047281416162361E-4</c:v>
                </c:pt>
                <c:pt idx="46">
                  <c:v>1.7959864199778555E-4</c:v>
                </c:pt>
                <c:pt idx="47">
                  <c:v>0</c:v>
                </c:pt>
                <c:pt idx="48">
                  <c:v>4.0929954296361039E-3</c:v>
                </c:pt>
                <c:pt idx="49">
                  <c:v>1.3740772370176555E-3</c:v>
                </c:pt>
                <c:pt idx="50">
                  <c:v>1.4842772123386334E-3</c:v>
                </c:pt>
                <c:pt idx="51">
                  <c:v>7.1726945530393334E-3</c:v>
                </c:pt>
                <c:pt idx="52">
                  <c:v>2.8384729785080695E-4</c:v>
                </c:pt>
                <c:pt idx="53">
                  <c:v>2.6444445706708631E-3</c:v>
                </c:pt>
                <c:pt idx="54">
                  <c:v>2.4075858204596905E-3</c:v>
                </c:pt>
                <c:pt idx="55">
                  <c:v>1.9141912849200337E-3</c:v>
                </c:pt>
                <c:pt idx="56">
                  <c:v>3.4061972804811443E-4</c:v>
                </c:pt>
                <c:pt idx="57">
                  <c:v>0</c:v>
                </c:pt>
                <c:pt idx="58">
                  <c:v>9.2319920208932608E-5</c:v>
                </c:pt>
                <c:pt idx="59">
                  <c:v>3.7946676260754617E-3</c:v>
                </c:pt>
                <c:pt idx="60">
                  <c:v>0</c:v>
                </c:pt>
                <c:pt idx="61">
                  <c:v>2.6925524292102112E-4</c:v>
                </c:pt>
                <c:pt idx="62">
                  <c:v>3.2216487990661918E-3</c:v>
                </c:pt>
                <c:pt idx="63">
                  <c:v>0</c:v>
                </c:pt>
                <c:pt idx="64">
                  <c:v>7.0670049877418557E-4</c:v>
                </c:pt>
                <c:pt idx="65">
                  <c:v>7.2341240013581076E-4</c:v>
                </c:pt>
                <c:pt idx="66">
                  <c:v>0</c:v>
                </c:pt>
                <c:pt idx="67">
                  <c:v>1.1893989589341852E-3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1.2185670811163305E-3</c:v>
                </c:pt>
                <c:pt idx="72">
                  <c:v>0</c:v>
                </c:pt>
                <c:pt idx="73">
                  <c:v>9.9116835551884996E-5</c:v>
                </c:pt>
                <c:pt idx="74">
                  <c:v>2.1788911631997104E-4</c:v>
                </c:pt>
                <c:pt idx="75">
                  <c:v>5.4955958490954845E-4</c:v>
                </c:pt>
                <c:pt idx="76">
                  <c:v>0</c:v>
                </c:pt>
                <c:pt idx="77">
                  <c:v>0</c:v>
                </c:pt>
                <c:pt idx="78">
                  <c:v>1.4842681735525642E-3</c:v>
                </c:pt>
                <c:pt idx="79">
                  <c:v>0</c:v>
                </c:pt>
                <c:pt idx="80">
                  <c:v>2.1788911631997104E-4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7.9038886851914305E-4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7.3131548082514463E-3</c:v>
                </c:pt>
                <c:pt idx="1">
                  <c:v>1.8427441742804297E-2</c:v>
                </c:pt>
                <c:pt idx="2">
                  <c:v>2.3700403767621715E-2</c:v>
                </c:pt>
                <c:pt idx="3">
                  <c:v>4.3878928849508676E-2</c:v>
                </c:pt>
                <c:pt idx="4">
                  <c:v>6.0548716584040499E-2</c:v>
                </c:pt>
                <c:pt idx="5">
                  <c:v>7.4839922071863407E-2</c:v>
                </c:pt>
                <c:pt idx="6">
                  <c:v>7.48169247296991E-2</c:v>
                </c:pt>
                <c:pt idx="7">
                  <c:v>6.6508313539192399E-2</c:v>
                </c:pt>
                <c:pt idx="8">
                  <c:v>5.5702848056560318E-2</c:v>
                </c:pt>
                <c:pt idx="9">
                  <c:v>4.3156155238630277E-2</c:v>
                </c:pt>
                <c:pt idx="10">
                  <c:v>3.6516494022333708E-2</c:v>
                </c:pt>
                <c:pt idx="11">
                  <c:v>2.9535158008167341E-2</c:v>
                </c:pt>
                <c:pt idx="12">
                  <c:v>2.8398432238331314E-2</c:v>
                </c:pt>
                <c:pt idx="13">
                  <c:v>2.600670865324279E-2</c:v>
                </c:pt>
                <c:pt idx="14">
                  <c:v>2.2957918149173903E-2</c:v>
                </c:pt>
                <c:pt idx="15">
                  <c:v>1.959045018939954E-2</c:v>
                </c:pt>
                <c:pt idx="16">
                  <c:v>1.6909617159959655E-2</c:v>
                </c:pt>
                <c:pt idx="17">
                  <c:v>1.6561371692900062E-2</c:v>
                </c:pt>
                <c:pt idx="18">
                  <c:v>1.4830000361386805E-2</c:v>
                </c:pt>
                <c:pt idx="19">
                  <c:v>1.4774149673273474E-2</c:v>
                </c:pt>
                <c:pt idx="20">
                  <c:v>1.4090800077533897E-2</c:v>
                </c:pt>
                <c:pt idx="21">
                  <c:v>1.2763524901193563E-2</c:v>
                </c:pt>
                <c:pt idx="22">
                  <c:v>1.1472388405397148E-2</c:v>
                </c:pt>
                <c:pt idx="23">
                  <c:v>1.1176708291855984E-2</c:v>
                </c:pt>
                <c:pt idx="24">
                  <c:v>1.0371801316105038E-2</c:v>
                </c:pt>
                <c:pt idx="25">
                  <c:v>1.0437508008003075E-2</c:v>
                </c:pt>
                <c:pt idx="26">
                  <c:v>8.2790431791525815E-3</c:v>
                </c:pt>
                <c:pt idx="27">
                  <c:v>9.4190542835835122E-3</c:v>
                </c:pt>
                <c:pt idx="28">
                  <c:v>8.2921845175321883E-3</c:v>
                </c:pt>
                <c:pt idx="29">
                  <c:v>7.8979443661439698E-3</c:v>
                </c:pt>
                <c:pt idx="30">
                  <c:v>7.8026696628918169E-3</c:v>
                </c:pt>
                <c:pt idx="31">
                  <c:v>6.5673838552087341E-3</c:v>
                </c:pt>
                <c:pt idx="32">
                  <c:v>6.9254853260530321E-3</c:v>
                </c:pt>
                <c:pt idx="33">
                  <c:v>6.38011978329933E-3</c:v>
                </c:pt>
                <c:pt idx="34">
                  <c:v>5.7230528643189664E-3</c:v>
                </c:pt>
                <c:pt idx="35">
                  <c:v>5.6869141837750468E-3</c:v>
                </c:pt>
                <c:pt idx="36">
                  <c:v>5.9628822897467995E-3</c:v>
                </c:pt>
                <c:pt idx="37">
                  <c:v>4.8130151815311628E-3</c:v>
                </c:pt>
                <c:pt idx="38">
                  <c:v>5.5095061156503486E-3</c:v>
                </c:pt>
                <c:pt idx="39">
                  <c:v>4.7440231550382244E-3</c:v>
                </c:pt>
                <c:pt idx="40">
                  <c:v>4.3629243420296136E-3</c:v>
                </c:pt>
                <c:pt idx="41">
                  <c:v>4.8130151815311628E-3</c:v>
                </c:pt>
                <c:pt idx="42">
                  <c:v>3.7814201187319923E-3</c:v>
                </c:pt>
                <c:pt idx="43">
                  <c:v>4.1625189317406035E-3</c:v>
                </c:pt>
                <c:pt idx="44">
                  <c:v>4.2545083003978539E-3</c:v>
                </c:pt>
                <c:pt idx="45">
                  <c:v>3.443030655457105E-3</c:v>
                </c:pt>
                <c:pt idx="46">
                  <c:v>4.2676496387774616E-3</c:v>
                </c:pt>
                <c:pt idx="47">
                  <c:v>3.8799801565790469E-3</c:v>
                </c:pt>
                <c:pt idx="48">
                  <c:v>3.1769185532700577E-3</c:v>
                </c:pt>
                <c:pt idx="49">
                  <c:v>3.7912761225166978E-3</c:v>
                </c:pt>
                <c:pt idx="50">
                  <c:v>3.548161362493963E-3</c:v>
                </c:pt>
                <c:pt idx="51">
                  <c:v>3.7255694306186611E-3</c:v>
                </c:pt>
                <c:pt idx="52">
                  <c:v>3.4660279976214178E-3</c:v>
                </c:pt>
                <c:pt idx="53">
                  <c:v>3.7058574230492505E-3</c:v>
                </c:pt>
                <c:pt idx="54">
                  <c:v>3.2327692413833889E-3</c:v>
                </c:pt>
                <c:pt idx="55">
                  <c:v>3.3510412867998542E-3</c:v>
                </c:pt>
                <c:pt idx="56">
                  <c:v>3.0060811543351634E-3</c:v>
                </c:pt>
                <c:pt idx="57">
                  <c:v>3.801132126301403E-3</c:v>
                </c:pt>
                <c:pt idx="58">
                  <c:v>3.5941560468225886E-3</c:v>
                </c:pt>
                <c:pt idx="59">
                  <c:v>3.2064865646241739E-3</c:v>
                </c:pt>
                <c:pt idx="60">
                  <c:v>3.3608972905845597E-3</c:v>
                </c:pt>
                <c:pt idx="61">
                  <c:v>3.1276385343465304E-3</c:v>
                </c:pt>
                <c:pt idx="62">
                  <c:v>3.4693133322163195E-3</c:v>
                </c:pt>
                <c:pt idx="63">
                  <c:v>3.374038628964167E-3</c:v>
                </c:pt>
                <c:pt idx="64">
                  <c:v>2.953515800816734E-3</c:v>
                </c:pt>
                <c:pt idx="65">
                  <c:v>2.2668808704822542E-3</c:v>
                </c:pt>
                <c:pt idx="66">
                  <c:v>2.220886186153629E-3</c:v>
                </c:pt>
                <c:pt idx="67">
                  <c:v>2.3654409083293088E-3</c:v>
                </c:pt>
                <c:pt idx="68">
                  <c:v>2.4245769310375417E-3</c:v>
                </c:pt>
                <c:pt idx="69">
                  <c:v>2.1978888439893162E-3</c:v>
                </c:pt>
                <c:pt idx="70">
                  <c:v>1.9317767418022688E-3</c:v>
                </c:pt>
                <c:pt idx="71">
                  <c:v>2.0993288061422616E-3</c:v>
                </c:pt>
                <c:pt idx="72">
                  <c:v>1.9712007569410907E-3</c:v>
                </c:pt>
                <c:pt idx="73">
                  <c:v>2.0270514450544215E-3</c:v>
                </c:pt>
                <c:pt idx="74">
                  <c:v>1.7445126698928653E-3</c:v>
                </c:pt>
                <c:pt idx="75">
                  <c:v>1.6525233012356143E-3</c:v>
                </c:pt>
                <c:pt idx="76">
                  <c:v>1.7018033201591416E-3</c:v>
                </c:pt>
                <c:pt idx="77">
                  <c:v>1.7576540082724725E-3</c:v>
                </c:pt>
                <c:pt idx="78">
                  <c:v>1.7707953466520798E-3</c:v>
                </c:pt>
                <c:pt idx="79">
                  <c:v>1.4554032255415053E-3</c:v>
                </c:pt>
                <c:pt idx="80">
                  <c:v>1.3864111990485671E-3</c:v>
                </c:pt>
                <c:pt idx="81">
                  <c:v>1.4028378720230762E-3</c:v>
                </c:pt>
                <c:pt idx="82">
                  <c:v>1.3929818682383707E-3</c:v>
                </c:pt>
                <c:pt idx="83">
                  <c:v>1.19257645794936E-3</c:v>
                </c:pt>
                <c:pt idx="84">
                  <c:v>9.3303502495211625E-4</c:v>
                </c:pt>
                <c:pt idx="85">
                  <c:v>8.4761632548466899E-4</c:v>
                </c:pt>
                <c:pt idx="86">
                  <c:v>7.7533896439682898E-4</c:v>
                </c:pt>
                <c:pt idx="87">
                  <c:v>6.5378158438546177E-4</c:v>
                </c:pt>
                <c:pt idx="88">
                  <c:v>6.3078424222114896E-4</c:v>
                </c:pt>
                <c:pt idx="89">
                  <c:v>1.1051865577249714E-2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104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29</c:v>
                </c:pt>
                <c:pt idx="1">
                  <c:v>506</c:v>
                </c:pt>
                <c:pt idx="2">
                  <c:v>10</c:v>
                </c:pt>
                <c:pt idx="3">
                  <c:v>1269</c:v>
                </c:pt>
                <c:pt idx="4">
                  <c:v>0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2</c:v>
                </c:pt>
                <c:pt idx="1">
                  <c:v>449</c:v>
                </c:pt>
                <c:pt idx="2">
                  <c:v>1</c:v>
                </c:pt>
                <c:pt idx="3">
                  <c:v>58</c:v>
                </c:pt>
                <c:pt idx="4">
                  <c:v>0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tabSelected="1"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35" t="s">
        <v>31</v>
      </c>
      <c r="N9" s="136"/>
      <c r="O9" s="136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7"/>
      <c r="N10" s="138" t="s">
        <v>189</v>
      </c>
      <c r="O10" s="138" t="s">
        <v>230</v>
      </c>
    </row>
    <row r="11" spans="1:15" x14ac:dyDescent="0.25">
      <c r="A11">
        <v>0</v>
      </c>
      <c r="B11" s="62" t="n">
        <v>7945.787255192809</v>
      </c>
      <c r="C11" s="62" t="n">
        <v>781.0087829779148</v>
      </c>
      <c r="D11" s="62" t="n">
        <v>2222.9819737224702</v>
      </c>
      <c r="E11" s="62">
        <f>SUM(B11:D11)</f>
        <v>10949.778011893193</v>
      </c>
      <c r="F11" s="68">
        <f>E11/SUM($E$11:$E$101)</f>
        <v>4.439548555513604E-2</v>
      </c>
      <c r="G11">
        <v>0</v>
      </c>
      <c r="H11" s="62" t="n">
        <v>32858.0</v>
      </c>
      <c r="I11" s="62" t="n">
        <v>2560.0</v>
      </c>
      <c r="J11" s="64" t="n">
        <v>4914.0</v>
      </c>
      <c r="K11" s="62">
        <f ref="K11:K42" si="0" t="shared">SUM(H11:J11)</f>
        <v>40286</v>
      </c>
      <c r="L11" s="68">
        <f>K11/SUM($K$11:$K$101)</f>
        <v>0.13235298949021462</v>
      </c>
      <c r="M11" s="136" t="s">
        <v>33</v>
      </c>
      <c r="N11" s="139" t="n">
        <v>4.948880986174843</v>
      </c>
      <c r="O11" s="139" t="n">
        <v>4.848068665265936</v>
      </c>
    </row>
    <row r="12" spans="1:15" x14ac:dyDescent="0.25">
      <c r="A12">
        <v>1</v>
      </c>
      <c r="B12" s="62" t="n">
        <v>28481.78192474412</v>
      </c>
      <c r="C12" s="62" t="n">
        <v>4700.049507015347</v>
      </c>
      <c r="D12" s="62" t="n">
        <v>4797.293806944509</v>
      </c>
      <c r="E12" s="62">
        <f ref="E12:E42" si="1" t="shared">SUM(B12:D12)</f>
        <v>37979.125238703971</v>
      </c>
      <c r="F12" s="68">
        <f ref="F12:F75" si="2" t="shared">E12/SUM($E$11:$E$101)</f>
        <v>0.15398501267333559</v>
      </c>
      <c r="G12">
        <v>1</v>
      </c>
      <c r="H12" s="62" t="n">
        <v>44666.0</v>
      </c>
      <c r="I12" s="62" t="n">
        <v>6274.0</v>
      </c>
      <c r="J12" s="64" t="n">
        <v>5063.0</v>
      </c>
      <c r="K12" s="62">
        <f si="0" t="shared"/>
        <v>56718</v>
      </c>
      <c r="L12" s="68">
        <f ref="L12:L75" si="3" t="shared">K12/SUM($K$11:$K$101)</f>
        <v>0.18633760755364129</v>
      </c>
      <c r="M12" s="136" t="s">
        <v>34</v>
      </c>
      <c r="N12" s="139" t="n">
        <v>7.298859566046883</v>
      </c>
      <c r="O12" s="139" t="n">
        <v>6.050034437541053</v>
      </c>
    </row>
    <row r="13" spans="1:15" x14ac:dyDescent="0.25">
      <c r="A13">
        <v>2</v>
      </c>
      <c r="B13" s="62" t="n">
        <v>31825.583307371664</v>
      </c>
      <c r="C13" s="62" t="n">
        <v>5036.045456281543</v>
      </c>
      <c r="D13" s="62" t="n">
        <v>3482.949658543455</v>
      </c>
      <c r="E13" s="62">
        <f si="1" t="shared"/>
        <v>40344.578422196661</v>
      </c>
      <c r="F13" s="68">
        <f si="2" t="shared"/>
        <v>0.16357565848597552</v>
      </c>
      <c r="G13">
        <v>2</v>
      </c>
      <c r="H13" s="62" t="n">
        <v>31320.0</v>
      </c>
      <c r="I13" s="62" t="n">
        <v>7409.0</v>
      </c>
      <c r="J13" s="64" t="n">
        <v>4483.0</v>
      </c>
      <c r="K13" s="62">
        <f si="0" t="shared"/>
        <v>43199</v>
      </c>
      <c r="L13" s="68">
        <f si="3" t="shared"/>
        <v>0.14192316916516362</v>
      </c>
      <c r="M13" s="140" t="s">
        <v>35</v>
      </c>
      <c r="N13" s="141" t="n">
        <v>11.764643409762536</v>
      </c>
      <c r="O13" s="141" t="n">
        <v>11.945556530900998</v>
      </c>
    </row>
    <row ht="15.75" r="14" spans="1:15" thickBot="1" x14ac:dyDescent="0.3">
      <c r="A14">
        <v>3</v>
      </c>
      <c r="B14" s="62" t="n">
        <v>24626.929491217667</v>
      </c>
      <c r="C14" s="62" t="n">
        <v>1813.4139250495675</v>
      </c>
      <c r="D14" s="62" t="n">
        <v>1978.9060972013522</v>
      </c>
      <c r="E14" s="62">
        <f si="1" t="shared"/>
        <v>28419.249513468589</v>
      </c>
      <c r="F14" s="68">
        <f si="2" t="shared"/>
        <v>0.11522483651199233</v>
      </c>
      <c r="G14">
        <v>3</v>
      </c>
      <c r="H14" s="62" t="n">
        <v>16914.0</v>
      </c>
      <c r="I14" s="62" t="n">
        <v>6419.0</v>
      </c>
      <c r="J14" s="64" t="n">
        <v>4114.0</v>
      </c>
      <c r="K14" s="62">
        <f si="0" t="shared"/>
        <v>27489</v>
      </c>
      <c r="L14" s="68">
        <f si="3" t="shared"/>
        <v>9.0310562679256065E-2</v>
      </c>
      <c r="M14" s="123" t="s">
        <v>3</v>
      </c>
      <c r="N14" s="142" t="n">
        <v>6.509645368435074</v>
      </c>
      <c r="O14" s="142" t="n">
        <v>6.446817317559532</v>
      </c>
    </row>
    <row r="15" spans="1:15" x14ac:dyDescent="0.25">
      <c r="A15">
        <v>4</v>
      </c>
      <c r="B15" s="62" t="n">
        <v>12787.307500677307</v>
      </c>
      <c r="C15" s="62" t="n">
        <v>5324.106148051954</v>
      </c>
      <c r="D15" s="62" t="n">
        <v>2735.1555905820724</v>
      </c>
      <c r="E15" s="62">
        <f si="1" t="shared"/>
        <v>20846.569239311331</v>
      </c>
      <c r="F15" s="68">
        <f si="2" t="shared"/>
        <v>8.4521673638749281E-2</v>
      </c>
      <c r="G15">
        <v>4</v>
      </c>
      <c r="H15" s="62" t="n">
        <v>9095.0</v>
      </c>
      <c r="I15" s="62" t="n">
        <v>5719.0</v>
      </c>
      <c r="J15" s="64" t="n">
        <v>2760.0</v>
      </c>
      <c r="K15" s="62">
        <f si="0" t="shared"/>
        <v>17805</v>
      </c>
      <c r="L15" s="68">
        <f si="3" t="shared"/>
        <v>5.8495382462226866E-2</v>
      </c>
    </row>
    <row r="16" spans="1:15" x14ac:dyDescent="0.25">
      <c r="A16">
        <v>5</v>
      </c>
      <c r="B16" s="62" t="n">
        <v>12997.543280848013</v>
      </c>
      <c r="C16" s="62" t="n">
        <v>3719.281581373277</v>
      </c>
      <c r="D16" s="62" t="n">
        <v>770.6728983864997</v>
      </c>
      <c r="E16" s="62">
        <f si="1" t="shared"/>
        <v>17487.497760607788</v>
      </c>
      <c r="F16" s="68">
        <f si="2" t="shared"/>
        <v>7.0902437783056466E-2</v>
      </c>
      <c r="G16">
        <v>5</v>
      </c>
      <c r="H16" s="62" t="n">
        <v>6028.0</v>
      </c>
      <c r="I16" s="62" t="n">
        <v>5404.0</v>
      </c>
      <c r="J16" s="64" t="n">
        <v>2576.0</v>
      </c>
      <c r="K16" s="62">
        <f si="0" t="shared"/>
        <v>14020</v>
      </c>
      <c r="L16" s="68">
        <f si="3" t="shared"/>
        <v>4.6060391020523485E-2</v>
      </c>
    </row>
    <row r="17" spans="1:12" x14ac:dyDescent="0.25">
      <c r="A17">
        <v>6</v>
      </c>
      <c r="B17" s="62" t="n">
        <v>11157.240370917838</v>
      </c>
      <c r="C17" s="62" t="n">
        <v>1705.6317452452213</v>
      </c>
      <c r="D17" s="62" t="n">
        <v>1038.2536399726077</v>
      </c>
      <c r="E17" s="62">
        <f si="1" t="shared"/>
        <v>13901.125756135669</v>
      </c>
      <c r="F17" s="68">
        <f si="2" t="shared"/>
        <v>5.6361620028856384E-2</v>
      </c>
      <c r="G17">
        <v>6</v>
      </c>
      <c r="H17" s="62" t="n">
        <v>5603.0</v>
      </c>
      <c r="I17" s="62" t="n">
        <v>3964.0</v>
      </c>
      <c r="J17" s="64" t="n">
        <v>2366.0</v>
      </c>
      <c r="K17" s="62">
        <f si="0" t="shared"/>
        <v>12226</v>
      </c>
      <c r="L17" s="68">
        <f si="3" t="shared"/>
        <v>4.0166500757269623E-2</v>
      </c>
    </row>
    <row r="18" spans="1:12" x14ac:dyDescent="0.25">
      <c r="A18">
        <v>7</v>
      </c>
      <c r="B18" s="62" t="n">
        <v>8629.02917227466</v>
      </c>
      <c r="C18" s="62" t="n">
        <v>3111.3367318571595</v>
      </c>
      <c r="D18" s="62" t="n">
        <v>2046.7832105647624</v>
      </c>
      <c r="E18" s="62">
        <f si="1" t="shared"/>
        <v>13787.149114696584</v>
      </c>
      <c r="F18" s="68">
        <f si="2" t="shared"/>
        <v>5.5899505789358941E-2</v>
      </c>
      <c r="G18">
        <v>7</v>
      </c>
      <c r="H18" s="62" t="n">
        <v>5281.0</v>
      </c>
      <c r="I18" s="62" t="n">
        <v>3271.0</v>
      </c>
      <c r="J18" s="64" t="n">
        <v>1939.0</v>
      </c>
      <c r="K18" s="62">
        <f si="0" t="shared"/>
        <v>10379</v>
      </c>
      <c r="L18" s="68">
        <f si="3" t="shared"/>
        <v>3.409848776048597E-2</v>
      </c>
    </row>
    <row r="19" spans="1:12" x14ac:dyDescent="0.25">
      <c r="A19">
        <v>8</v>
      </c>
      <c r="B19" s="62" t="n">
        <v>3958.2993772436357</v>
      </c>
      <c r="C19" s="62" t="n">
        <v>1308.9465646580632</v>
      </c>
      <c r="D19" s="62" t="n">
        <v>1626.1309999333052</v>
      </c>
      <c r="E19" s="62">
        <f si="1" t="shared"/>
        <v>6893.3769418350039</v>
      </c>
      <c r="F19" s="68">
        <f si="2" t="shared"/>
        <v>2.7948951669608414E-2</v>
      </c>
      <c r="G19">
        <v>8</v>
      </c>
      <c r="H19" s="62" t="n">
        <v>5029.0</v>
      </c>
      <c r="I19" s="62" t="n">
        <v>2478.0</v>
      </c>
      <c r="J19" s="64" t="n">
        <v>2041.0</v>
      </c>
      <c r="K19" s="62">
        <f si="0" t="shared"/>
        <v>9493</v>
      </c>
      <c r="L19" s="68">
        <f si="3" t="shared"/>
        <v>3.1187681309402956E-2</v>
      </c>
    </row>
    <row r="20" spans="1:12" x14ac:dyDescent="0.25">
      <c r="A20">
        <v>9</v>
      </c>
      <c r="B20" s="62" t="n">
        <v>3084.566602154467</v>
      </c>
      <c r="C20" s="62" t="n">
        <v>1432.060049942087</v>
      </c>
      <c r="D20" s="62" t="n">
        <v>788.9590851369405</v>
      </c>
      <c r="E20" s="62">
        <f si="1" t="shared"/>
        <v>5305.5857372334949</v>
      </c>
      <c r="F20" s="68">
        <f si="2" t="shared"/>
        <v>2.1511308695303891E-2</v>
      </c>
      <c r="G20">
        <v>9</v>
      </c>
      <c r="H20" s="62" t="n">
        <v>4317.0</v>
      </c>
      <c r="I20" s="62" t="n">
        <v>2034.0</v>
      </c>
      <c r="J20" s="64" t="n">
        <v>1906.0</v>
      </c>
      <c r="K20" s="62">
        <f si="0" t="shared"/>
        <v>8091</v>
      </c>
      <c r="L20" s="68">
        <f si="3" t="shared"/>
        <v>2.6581642207350608E-2</v>
      </c>
    </row>
    <row r="21" spans="1:12" x14ac:dyDescent="0.25">
      <c r="A21">
        <v>10</v>
      </c>
      <c r="B21" s="62" t="n">
        <v>3574.667180119267</v>
      </c>
      <c r="C21" s="62" t="n">
        <v>166.7024540649975</v>
      </c>
      <c r="D21" s="62" t="n">
        <v>3155.5133477927366</v>
      </c>
      <c r="E21" s="62">
        <f si="1" t="shared"/>
        <v>6896.8829819770017</v>
      </c>
      <c r="F21" s="68">
        <f si="2" t="shared"/>
        <v>2.7963166784682959E-2</v>
      </c>
      <c r="G21">
        <v>10</v>
      </c>
      <c r="H21" s="62" t="n">
        <v>3844.0</v>
      </c>
      <c r="I21" s="62" t="n">
        <v>1772.0</v>
      </c>
      <c r="J21" s="64" t="n">
        <v>2033.0</v>
      </c>
      <c r="K21" s="62">
        <f si="0" t="shared"/>
        <v>7655</v>
      </c>
      <c r="L21" s="68">
        <f si="3" t="shared"/>
        <v>2.5149236323973416E-2</v>
      </c>
    </row>
    <row r="22" spans="1:12" x14ac:dyDescent="0.25">
      <c r="A22">
        <v>11</v>
      </c>
      <c r="B22" s="62" t="n">
        <v>3421.4237855200868</v>
      </c>
      <c r="C22" s="62" t="n">
        <v>2435.7234918337144</v>
      </c>
      <c r="D22" s="62" t="n">
        <v>1288.7927615451074</v>
      </c>
      <c r="E22" s="62">
        <f si="1" t="shared"/>
        <v>7145.9400388989079</v>
      </c>
      <c r="F22" s="68">
        <f si="2" t="shared"/>
        <v>2.8972959765049457E-2</v>
      </c>
      <c r="G22">
        <v>11</v>
      </c>
      <c r="H22" s="62" t="n">
        <v>3438.0</v>
      </c>
      <c r="I22" s="62" t="n">
        <v>1381.0</v>
      </c>
      <c r="J22" s="64" t="n">
        <v>1699.0</v>
      </c>
      <c r="K22" s="62">
        <f si="0" t="shared"/>
        <v>6603</v>
      </c>
      <c r="L22" s="68">
        <f si="3" t="shared"/>
        <v>2.1693064330136704E-2</v>
      </c>
    </row>
    <row r="23" spans="1:12" x14ac:dyDescent="0.25">
      <c r="A23">
        <v>12</v>
      </c>
      <c r="B23" s="62" t="n">
        <v>1901.911559043401</v>
      </c>
      <c r="C23" s="62" t="n">
        <v>872.534152281751</v>
      </c>
      <c r="D23" s="62" t="n">
        <v>2229.743229144702</v>
      </c>
      <c r="E23" s="62">
        <f si="1" t="shared"/>
        <v>5004.1889404698541</v>
      </c>
      <c r="F23" s="68">
        <f si="2" t="shared"/>
        <v>2.0289306101045727E-2</v>
      </c>
      <c r="G23">
        <v>12</v>
      </c>
      <c r="H23" s="62" t="n">
        <v>3080.0</v>
      </c>
      <c r="I23" s="62" t="n">
        <v>1256.0</v>
      </c>
      <c r="J23" s="64" t="n">
        <v>1737.0</v>
      </c>
      <c r="K23" s="62">
        <f si="0" t="shared"/>
        <v>6037</v>
      </c>
      <c r="L23" s="68">
        <f si="3" t="shared"/>
        <v>1.9833564949422275E-2</v>
      </c>
    </row>
    <row r="24" spans="1:12" x14ac:dyDescent="0.25">
      <c r="A24">
        <v>13</v>
      </c>
      <c r="B24" s="62" t="n">
        <v>848.9504583288352</v>
      </c>
      <c r="C24" s="62" t="n">
        <v>655.289378062319</v>
      </c>
      <c r="D24" s="62" t="n">
        <v>3238.168310251198</v>
      </c>
      <c r="E24" s="62">
        <f si="1" t="shared"/>
        <v>4742.4081466423522</v>
      </c>
      <c r="F24" s="68">
        <f si="2" t="shared"/>
        <v>1.9227925181874789E-2</v>
      </c>
      <c r="G24">
        <v>13</v>
      </c>
      <c r="H24" s="62" t="n">
        <v>2693.0</v>
      </c>
      <c r="I24" s="62" t="n">
        <v>1027.0</v>
      </c>
      <c r="J24" s="64" t="n">
        <v>1816.0</v>
      </c>
      <c r="K24" s="62">
        <f si="0" t="shared"/>
        <v>5515</v>
      </c>
      <c r="L24" s="68">
        <f si="3" t="shared"/>
        <v>1.8118620290883524E-2</v>
      </c>
    </row>
    <row r="25" spans="1:12" x14ac:dyDescent="0.25">
      <c r="A25">
        <v>14</v>
      </c>
      <c r="B25" s="62" t="n">
        <v>3388.3640937865075</v>
      </c>
      <c r="C25" s="62" t="n">
        <v>2029.914872539387</v>
      </c>
      <c r="D25" s="62" t="n">
        <v>734.6461460725722</v>
      </c>
      <c r="E25" s="62">
        <f si="1" t="shared"/>
        <v>6152.9251123984668</v>
      </c>
      <c r="F25" s="68">
        <f si="2" t="shared"/>
        <v>2.4946816058976046E-2</v>
      </c>
      <c r="G25">
        <v>14</v>
      </c>
      <c r="H25" s="62" t="n">
        <v>2303.0</v>
      </c>
      <c r="I25" s="62" t="n">
        <v>796.0</v>
      </c>
      <c r="J25" s="64" t="n">
        <v>1474.0</v>
      </c>
      <c r="K25" s="62">
        <f si="0" t="shared"/>
        <v>4482</v>
      </c>
      <c r="L25" s="68">
        <f si="3" t="shared"/>
        <v>1.4724869654349947E-2</v>
      </c>
    </row>
    <row r="26" spans="1:12" x14ac:dyDescent="0.25">
      <c r="A26">
        <v>15</v>
      </c>
      <c r="B26" s="62" t="n">
        <v>2511.701961063859</v>
      </c>
      <c r="C26" s="62" t="n">
        <v>1680.969238329795</v>
      </c>
      <c r="D26" s="62" t="n">
        <v>1142.810401706624</v>
      </c>
      <c r="E26" s="62">
        <f si="1" t="shared"/>
        <v>5335.4816011002786</v>
      </c>
      <c r="F26" s="68">
        <f si="2" t="shared"/>
        <v>2.1632520412200301E-2</v>
      </c>
      <c r="G26">
        <v>15</v>
      </c>
      <c r="H26" s="62" t="n">
        <v>2122.0</v>
      </c>
      <c r="I26" s="62" t="n">
        <v>554.0</v>
      </c>
      <c r="J26" s="64" t="n">
        <v>1154.0</v>
      </c>
      <c r="K26" s="62">
        <f si="0" t="shared"/>
        <v>3895</v>
      </c>
      <c r="L26" s="68">
        <f si="3" t="shared"/>
        <v>1.279637824714258E-2</v>
      </c>
    </row>
    <row r="27" spans="1:12" x14ac:dyDescent="0.25">
      <c r="A27">
        <v>16</v>
      </c>
      <c r="B27" s="62" t="n">
        <v>613.1973292463991</v>
      </c>
      <c r="C27" s="62" t="n">
        <v>0.0</v>
      </c>
      <c r="D27" s="62" t="n">
        <v>454.12135595114614</v>
      </c>
      <c r="E27" s="62">
        <f si="1" t="shared"/>
        <v>1067.3186851975452</v>
      </c>
      <c r="F27" s="68">
        <f si="2" t="shared"/>
        <v>4.3274056533335863E-3</v>
      </c>
      <c r="G27">
        <v>16</v>
      </c>
      <c r="H27" s="62" t="n">
        <v>1745.0</v>
      </c>
      <c r="I27" s="62" t="n">
        <v>465.0</v>
      </c>
      <c r="J27" s="64" t="n">
        <v>1086.0</v>
      </c>
      <c r="K27" s="62">
        <f si="0" t="shared"/>
        <v>3220</v>
      </c>
      <c r="L27" s="68">
        <f si="3" t="shared"/>
        <v>1.0578777395583853E-2</v>
      </c>
    </row>
    <row r="28" spans="1:12" x14ac:dyDescent="0.25">
      <c r="A28">
        <v>17</v>
      </c>
      <c r="B28" s="62" t="n">
        <v>1238.7890388065484</v>
      </c>
      <c r="C28" s="62" t="n">
        <v>314.2575711018506</v>
      </c>
      <c r="D28" s="62" t="n">
        <v>245.59717542664703</v>
      </c>
      <c r="E28" s="62">
        <f si="1" t="shared"/>
        <v>1798.643785335046</v>
      </c>
      <c r="F28" s="68">
        <f si="2" t="shared"/>
        <v>7.2925372645861576E-3</v>
      </c>
      <c r="G28">
        <v>17</v>
      </c>
      <c r="H28" s="62" t="n">
        <v>1482.0</v>
      </c>
      <c r="I28" s="62" t="n">
        <v>351.0</v>
      </c>
      <c r="J28" s="64" t="n">
        <v>1281.0</v>
      </c>
      <c r="K28" s="62">
        <f si="0" t="shared"/>
        <v>3169</v>
      </c>
      <c r="L28" s="68">
        <f si="3" t="shared"/>
        <v>1.041122533124386E-2</v>
      </c>
    </row>
    <row r="29" spans="1:12" x14ac:dyDescent="0.25">
      <c r="A29">
        <v>18</v>
      </c>
      <c r="B29" s="62" t="n">
        <v>79.1071057710219</v>
      </c>
      <c r="C29" s="62" t="n">
        <v>0.0</v>
      </c>
      <c r="D29" s="62" t="n">
        <v>279.4949106864544</v>
      </c>
      <c r="E29" s="62">
        <f si="1" t="shared"/>
        <v>358.60201645747628</v>
      </c>
      <c r="F29" s="68">
        <f si="2" t="shared"/>
        <v>1.4539391231848321E-3</v>
      </c>
      <c r="G29">
        <v>18</v>
      </c>
      <c r="H29" s="62" t="n">
        <v>1265.0</v>
      </c>
      <c r="I29" s="62" t="n">
        <v>282.0</v>
      </c>
      <c r="J29" s="64" t="n">
        <v>1126.0</v>
      </c>
      <c r="K29" s="62">
        <f si="0" t="shared"/>
        <v>2604</v>
      </c>
      <c r="L29" s="68">
        <f si="3" t="shared"/>
        <v>8.5550112851243334E-3</v>
      </c>
    </row>
    <row r="30" spans="1:12" x14ac:dyDescent="0.25">
      <c r="A30">
        <v>19</v>
      </c>
      <c r="B30" s="62" t="n">
        <v>53.4613459214978</v>
      </c>
      <c r="C30" s="62" t="n">
        <v>573.834047316861</v>
      </c>
      <c r="D30" s="62" t="n">
        <v>392.200054144028</v>
      </c>
      <c r="E30" s="62">
        <f si="1" t="shared"/>
        <v>1019.4954473823868</v>
      </c>
      <c r="F30" s="68">
        <f si="2" t="shared"/>
        <v>4.133508036293621E-3</v>
      </c>
      <c r="G30">
        <v>19</v>
      </c>
      <c r="H30" s="62" t="n">
        <v>1100.0</v>
      </c>
      <c r="I30" s="62" t="n">
        <v>225.0</v>
      </c>
      <c r="J30" s="64" t="n">
        <v>887.0</v>
      </c>
      <c r="K30" s="62">
        <f si="0" t="shared"/>
        <v>2198</v>
      </c>
      <c r="L30" s="68">
        <f si="3" t="shared"/>
        <v>7.2211654395941951E-3</v>
      </c>
    </row>
    <row r="31" spans="1:12" x14ac:dyDescent="0.25">
      <c r="A31">
        <v>20</v>
      </c>
      <c r="B31" s="62" t="n">
        <v>0.0</v>
      </c>
      <c r="C31" s="62" t="n">
        <v>277.4739918008205</v>
      </c>
      <c r="D31" s="62" t="n">
        <v>504.4462196748004</v>
      </c>
      <c r="E31" s="62">
        <f si="1" t="shared"/>
        <v>781.92021147562082</v>
      </c>
      <c r="F31" s="68">
        <f si="2" t="shared"/>
        <v>3.1702676909185039E-3</v>
      </c>
      <c r="G31">
        <v>20</v>
      </c>
      <c r="H31" s="62" t="n">
        <v>941.0</v>
      </c>
      <c r="I31" s="62" t="n">
        <v>189.0</v>
      </c>
      <c r="J31" s="64" t="n">
        <v>857.0</v>
      </c>
      <c r="K31" s="62">
        <f si="0" t="shared"/>
        <v>1967</v>
      </c>
      <c r="L31" s="68">
        <f si="3" t="shared"/>
        <v>6.4622531481718752E-3</v>
      </c>
    </row>
    <row r="32" spans="1:12" x14ac:dyDescent="0.25">
      <c r="A32">
        <v>21</v>
      </c>
      <c r="B32" s="62" t="n">
        <v>90.2859894393106</v>
      </c>
      <c r="C32" s="62" t="n">
        <v>227.521124752485</v>
      </c>
      <c r="D32" s="62" t="n">
        <v>224.49057805661639</v>
      </c>
      <c r="E32" s="62">
        <f si="1" t="shared"/>
        <v>542.29769224841198</v>
      </c>
      <c r="F32" s="68">
        <f si="2" t="shared"/>
        <v>2.1987267081257813E-3</v>
      </c>
      <c r="G32">
        <v>21</v>
      </c>
      <c r="H32" s="62" t="n">
        <v>789.0</v>
      </c>
      <c r="I32" s="62" t="n">
        <v>149.0</v>
      </c>
      <c r="J32" s="64" t="n">
        <v>611.0</v>
      </c>
      <c r="K32" s="62">
        <f si="0" t="shared"/>
        <v>1598</v>
      </c>
      <c r="L32" s="68">
        <f si="3" t="shared"/>
        <v>5.2499646826531044E-3</v>
      </c>
    </row>
    <row r="33" spans="1:12" x14ac:dyDescent="0.25">
      <c r="A33">
        <v>22</v>
      </c>
      <c r="B33" s="62" t="n">
        <v>102.283514358069</v>
      </c>
      <c r="C33" s="62" t="n">
        <v>288.16258749818</v>
      </c>
      <c r="D33" s="62" t="n">
        <v>120.60217053173199</v>
      </c>
      <c r="E33" s="62">
        <f si="1" t="shared"/>
        <v>511.048272387981</v>
      </c>
      <c r="F33" s="68">
        <f si="2" t="shared"/>
        <v>2.0720270465880513E-3</v>
      </c>
      <c r="G33">
        <v>22</v>
      </c>
      <c r="H33" s="62" t="n">
        <v>671.0</v>
      </c>
      <c r="I33" s="62" t="n">
        <v>111.0</v>
      </c>
      <c r="J33" s="64" t="n">
        <v>1031.0</v>
      </c>
      <c r="K33" s="62">
        <f si="0" t="shared"/>
        <v>1835</v>
      </c>
      <c r="L33" s="68">
        <f si="3" t="shared"/>
        <v>6.0285889816448354E-3</v>
      </c>
    </row>
    <row r="34" spans="1:12" x14ac:dyDescent="0.25">
      <c r="A34">
        <v>23</v>
      </c>
      <c r="B34" s="62" t="n">
        <v>113.149135725981</v>
      </c>
      <c r="C34" s="62" t="n">
        <v>0.0</v>
      </c>
      <c r="D34" s="62" t="n">
        <v>376.5965212623849</v>
      </c>
      <c r="E34" s="62">
        <f si="1" t="shared"/>
        <v>489.74565698836591</v>
      </c>
      <c r="F34" s="68">
        <f si="2" t="shared"/>
        <v>1.9856563500101842E-3</v>
      </c>
      <c r="G34">
        <v>23</v>
      </c>
      <c r="H34" s="62" t="n">
        <v>571.0</v>
      </c>
      <c r="I34" s="62" t="n">
        <v>110.0</v>
      </c>
      <c r="J34" s="64" t="n">
        <v>827.0</v>
      </c>
      <c r="K34" s="62">
        <f si="0" t="shared"/>
        <v>1456</v>
      </c>
      <c r="L34" s="68">
        <f si="3" t="shared"/>
        <v>4.7834471701770466E-3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258.045470619578</v>
      </c>
      <c r="E35" s="62">
        <f si="1" t="shared"/>
        <v>258.045470619578</v>
      </c>
      <c r="F35" s="68">
        <f si="2" t="shared"/>
        <v>1.0462361840593176E-3</v>
      </c>
      <c r="G35">
        <v>24</v>
      </c>
      <c r="H35" s="62" t="n">
        <v>498.0</v>
      </c>
      <c r="I35" s="62" t="n">
        <v>79.0</v>
      </c>
      <c r="J35" s="64" t="n">
        <v>728.0</v>
      </c>
      <c r="K35" s="62">
        <f si="0" t="shared"/>
        <v>1265</v>
      </c>
      <c r="L35" s="68">
        <f si="3" t="shared"/>
        <v>4.1559482625507993E-3</v>
      </c>
    </row>
    <row r="36" spans="1:12" x14ac:dyDescent="0.25">
      <c r="A36">
        <v>25</v>
      </c>
      <c r="B36" s="62" t="n">
        <v>0.0</v>
      </c>
      <c r="C36" s="62" t="n">
        <v>507.647858760398</v>
      </c>
      <c r="D36" s="62" t="n">
        <v>934.2328189353375</v>
      </c>
      <c r="E36" s="62">
        <f si="1" t="shared"/>
        <v>1441.8806776957354</v>
      </c>
      <c r="F36" s="68">
        <f si="2" t="shared"/>
        <v>5.8460539318096246E-3</v>
      </c>
      <c r="G36">
        <v>25</v>
      </c>
      <c r="H36" s="62" t="n">
        <v>393.0</v>
      </c>
      <c r="I36" s="62" t="n">
        <v>65.0</v>
      </c>
      <c r="J36" s="64" t="n">
        <v>659.0</v>
      </c>
      <c r="K36" s="62">
        <f si="0" t="shared"/>
        <v>1144</v>
      </c>
      <c r="L36" s="68">
        <f si="3" t="shared"/>
        <v>3.7584227765676795E-3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332.2922842062177</v>
      </c>
      <c r="E37" s="62">
        <f si="1" t="shared"/>
        <v>332.29228420621769</v>
      </c>
      <c r="F37" s="68">
        <f si="2" t="shared"/>
        <v>1.3472672493941875E-3</v>
      </c>
      <c r="G37">
        <v>26</v>
      </c>
      <c r="H37" s="62" t="n">
        <v>358.0</v>
      </c>
      <c r="I37" s="62" t="n">
        <v>63.0</v>
      </c>
      <c r="J37" s="64" t="n">
        <v>749.0</v>
      </c>
      <c r="K37" s="62">
        <f si="0" t="shared"/>
        <v>1120</v>
      </c>
      <c r="L37" s="68">
        <f si="3" t="shared"/>
        <v>3.679574746290036E-3</v>
      </c>
    </row>
    <row r="38" spans="1:12" x14ac:dyDescent="0.25">
      <c r="A38">
        <v>27</v>
      </c>
      <c r="B38" s="62" t="n">
        <v>845.456127338339</v>
      </c>
      <c r="C38" s="62" t="n">
        <v>0.0</v>
      </c>
      <c r="D38" s="62" t="n">
        <v>1324.6288370722095</v>
      </c>
      <c r="E38" s="62">
        <f si="1" t="shared"/>
        <v>2170.0849644105483</v>
      </c>
      <c r="F38" s="68">
        <f si="2" t="shared"/>
        <v>8.7985323160217274E-3</v>
      </c>
      <c r="G38">
        <v>27</v>
      </c>
      <c r="H38" s="62" t="n">
        <v>287.0</v>
      </c>
      <c r="I38" s="62" t="n">
        <v>33.0</v>
      </c>
      <c r="J38" s="64" t="n">
        <v>794.0</v>
      </c>
      <c r="K38" s="62">
        <f si="0" t="shared"/>
        <v>1088</v>
      </c>
      <c r="L38" s="68">
        <f si="3" t="shared"/>
        <v>3.5744440392531779E-3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1267.6813488137034</v>
      </c>
      <c r="E39" s="62">
        <f si="1" t="shared"/>
        <v>1267.6813488137034</v>
      </c>
      <c r="F39" s="68">
        <f si="2" t="shared"/>
        <v>5.139768947703403E-3</v>
      </c>
      <c r="G39">
        <v>28</v>
      </c>
      <c r="H39" s="62" t="n">
        <v>206.0</v>
      </c>
      <c r="I39" s="62" t="n">
        <v>38.0</v>
      </c>
      <c r="J39" s="64" t="n">
        <v>718.0</v>
      </c>
      <c r="K39" s="62">
        <f si="0" t="shared"/>
        <v>964</v>
      </c>
      <c r="L39" s="68">
        <f si="3" t="shared"/>
        <v>3.1670625494853522E-3</v>
      </c>
    </row>
    <row r="40" spans="1:12" x14ac:dyDescent="0.25">
      <c r="A40">
        <v>29</v>
      </c>
      <c r="B40" s="62" t="n">
        <v>50.3163281591207</v>
      </c>
      <c r="C40" s="62" t="n">
        <v>107.823473188872</v>
      </c>
      <c r="D40" s="62" t="n">
        <v>215.1126021160905</v>
      </c>
      <c r="E40" s="62">
        <f si="1" t="shared"/>
        <v>373.25240346408322</v>
      </c>
      <c r="F40" s="68">
        <f si="2" t="shared"/>
        <v>1.5133385963086272E-3</v>
      </c>
      <c r="G40">
        <v>29</v>
      </c>
      <c r="H40" s="62" t="n">
        <v>180.0</v>
      </c>
      <c r="I40" s="62" t="n">
        <v>36.0</v>
      </c>
      <c r="J40" s="64" t="n">
        <v>579.0</v>
      </c>
      <c r="K40" s="62">
        <f si="0" t="shared"/>
        <v>807</v>
      </c>
      <c r="L40" s="68">
        <f si="3" t="shared"/>
        <v>2.6512650180857671E-3</v>
      </c>
    </row>
    <row r="41" spans="1:12" x14ac:dyDescent="0.25">
      <c r="A41">
        <v>30</v>
      </c>
      <c r="B41" s="62" t="n">
        <v>236.211031774193</v>
      </c>
      <c r="C41" s="62" t="n">
        <v>0.0</v>
      </c>
      <c r="D41" s="62" t="n">
        <v>118.0614535132571</v>
      </c>
      <c r="E41" s="62">
        <f si="1" t="shared"/>
        <v>354.27248528745008</v>
      </c>
      <c r="F41" s="68">
        <f si="2" t="shared"/>
        <v>1.4363851930219889E-3</v>
      </c>
      <c r="G41">
        <v>30</v>
      </c>
      <c r="H41" s="62" t="n">
        <v>176.0</v>
      </c>
      <c r="I41" s="62" t="n">
        <v>26.0</v>
      </c>
      <c r="J41" s="64" t="n">
        <v>586.0</v>
      </c>
      <c r="K41" s="62">
        <f si="0" t="shared"/>
        <v>771</v>
      </c>
      <c r="L41" s="68">
        <f si="3" t="shared"/>
        <v>2.5329929726693014E-3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687.540213523296</v>
      </c>
      <c r="E42" s="62">
        <f si="1" t="shared"/>
        <v>687.54021352329596</v>
      </c>
      <c r="F42" s="68">
        <f si="2" t="shared"/>
        <v>2.7876073455457345E-3</v>
      </c>
      <c r="G42">
        <v>31</v>
      </c>
      <c r="H42" s="62" t="n">
        <v>119.0</v>
      </c>
      <c r="I42" s="62" t="n">
        <v>23.0</v>
      </c>
      <c r="J42" s="64" t="n">
        <v>627.0</v>
      </c>
      <c r="K42" s="62">
        <f si="0" t="shared"/>
        <v>726</v>
      </c>
      <c r="L42" s="68">
        <f si="3" t="shared"/>
        <v>2.3851529158987199E-3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50.0203779605001</v>
      </c>
      <c r="E43" s="62">
        <f ref="E43:E74" si="4" t="shared">SUM(B43:D43)</f>
        <v>50.020377960500099</v>
      </c>
      <c r="F43" s="68">
        <f si="2" t="shared"/>
        <v>2.0280584362494089E-4</v>
      </c>
      <c r="G43">
        <v>32</v>
      </c>
      <c r="H43" s="62" t="n">
        <v>108.0</v>
      </c>
      <c r="I43" s="62" t="n">
        <v>17.0</v>
      </c>
      <c r="J43" s="64" t="n">
        <v>452.0</v>
      </c>
      <c r="K43" s="62">
        <f ref="K43:K74" si="5" t="shared">SUM(H43:J43)</f>
        <v>537</v>
      </c>
      <c r="L43" s="68">
        <f si="3" t="shared"/>
        <v>1.7642246774622762E-3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92.0</v>
      </c>
      <c r="I44" s="62" t="n">
        <v>13.0</v>
      </c>
      <c r="J44" s="64" t="n">
        <v>807.0</v>
      </c>
      <c r="K44" s="62">
        <f si="5" t="shared"/>
        <v>863</v>
      </c>
      <c r="L44" s="68">
        <f si="3" t="shared"/>
        <v>2.8352437554002687E-3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548.8434346986041</v>
      </c>
      <c r="E45" s="62">
        <f si="4" t="shared"/>
        <v>548.84343469860414</v>
      </c>
      <c r="F45" s="68">
        <f si="2" t="shared"/>
        <v>2.2252661881115407E-3</v>
      </c>
      <c r="G45">
        <v>34</v>
      </c>
      <c r="H45" s="62" t="n">
        <v>79.0</v>
      </c>
      <c r="I45" s="62" t="n">
        <v>10.0</v>
      </c>
      <c r="J45" s="64" t="n">
        <v>541.0</v>
      </c>
      <c r="K45" s="62">
        <f si="5" t="shared"/>
        <v>622</v>
      </c>
      <c r="L45" s="68">
        <f si="3" t="shared"/>
        <v>2.0434781180289309E-3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66.4095707402952</v>
      </c>
      <c r="E46" s="62">
        <f si="4" t="shared"/>
        <v>66.409570740295194</v>
      </c>
      <c r="F46" s="68">
        <f si="2" t="shared"/>
        <v>2.6925524292102139E-4</v>
      </c>
      <c r="G46">
        <v>35</v>
      </c>
      <c r="H46" s="62" t="n">
        <v>53.0</v>
      </c>
      <c r="I46" s="62" t="n">
        <v>5.0</v>
      </c>
      <c r="J46" s="64" t="n">
        <v>323.0</v>
      </c>
      <c r="K46" s="62">
        <f si="5" t="shared"/>
        <v>390</v>
      </c>
      <c r="L46" s="68">
        <f si="3" t="shared"/>
        <v>1.281280492011709E-3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366.082424987433</v>
      </c>
      <c r="E47" s="62">
        <f si="4" t="shared"/>
        <v>366.082424987433</v>
      </c>
      <c r="F47" s="68">
        <f si="2" t="shared"/>
        <v>1.4842681735525657E-3</v>
      </c>
      <c r="G47">
        <v>36</v>
      </c>
      <c r="H47" s="62" t="n">
        <v>39.0</v>
      </c>
      <c r="I47" s="62" t="n">
        <v>4.0</v>
      </c>
      <c r="J47" s="64" t="n">
        <v>223.0</v>
      </c>
      <c r="K47" s="62">
        <f si="5" t="shared"/>
        <v>297</v>
      </c>
      <c r="L47" s="68">
        <f si="3" t="shared"/>
        <v>9.7574437468583993E-4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248.288978311038</v>
      </c>
      <c r="E48" s="62">
        <f si="4" t="shared"/>
        <v>248.28897831103799</v>
      </c>
      <c r="F48" s="68">
        <f si="2" t="shared"/>
        <v>1.0066788329530102E-3</v>
      </c>
      <c r="G48">
        <v>37</v>
      </c>
      <c r="H48" s="62" t="n">
        <v>36.0</v>
      </c>
      <c r="I48" s="62" t="n">
        <v>3.0</v>
      </c>
      <c r="J48" s="64" t="n">
        <v>195.0</v>
      </c>
      <c r="K48" s="62">
        <f si="5" t="shared"/>
        <v>232</v>
      </c>
      <c r="L48" s="68">
        <f si="3" t="shared"/>
        <v>7.6219762601722172E-4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53.7405419735351</v>
      </c>
      <c r="E49" s="62">
        <f si="4" t="shared"/>
        <v>53.740541973535102</v>
      </c>
      <c r="F49" s="68">
        <f si="2" t="shared"/>
        <v>2.1788911631997126E-4</v>
      </c>
      <c r="G49">
        <v>38</v>
      </c>
      <c r="H49" s="62" t="n">
        <v>30.0</v>
      </c>
      <c r="I49" s="62" t="n">
        <v>9.0</v>
      </c>
      <c r="J49" s="64" t="n">
        <v>191.0</v>
      </c>
      <c r="K49" s="62">
        <f si="5" t="shared"/>
        <v>220</v>
      </c>
      <c r="L49" s="68">
        <f si="3" t="shared"/>
        <v>7.2277361087839996E-4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22.0</v>
      </c>
      <c r="I50" s="62" t="n">
        <v>6.0</v>
      </c>
      <c r="J50" s="64" t="n">
        <v>190.0</v>
      </c>
      <c r="K50" s="62">
        <f si="5" t="shared"/>
        <v>219</v>
      </c>
      <c r="L50" s="68">
        <f si="3" t="shared"/>
        <v>7.1948827628349804E-4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23.0</v>
      </c>
      <c r="I51" s="62" t="n">
        <v>4.0</v>
      </c>
      <c r="J51" s="64" t="n">
        <v>103.0</v>
      </c>
      <c r="K51" s="62">
        <f si="5" t="shared"/>
        <v>142</v>
      </c>
      <c r="L51" s="68">
        <f si="3" t="shared"/>
        <v>4.6651751247605812E-4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16.0</v>
      </c>
      <c r="I52" s="62" t="n">
        <v>2.0</v>
      </c>
      <c r="J52" s="64" t="n">
        <v>118.0</v>
      </c>
      <c r="K52" s="62">
        <f si="5" t="shared"/>
        <v>143</v>
      </c>
      <c r="L52" s="68">
        <f si="3" t="shared"/>
        <v>4.6980284707095994E-4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16.0</v>
      </c>
      <c r="I53" s="62" t="n">
        <v>4.0</v>
      </c>
      <c r="J53" s="64" t="n">
        <v>149.0</v>
      </c>
      <c r="K53" s="62">
        <f si="5" t="shared"/>
        <v>172</v>
      </c>
      <c r="L53" s="68">
        <f si="3" t="shared"/>
        <v>5.6507755032311269E-4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48.4854558600498</v>
      </c>
      <c r="E54" s="62">
        <f si="4" t="shared"/>
        <v>48.485455860049797</v>
      </c>
      <c r="F54" s="68">
        <f si="2" t="shared"/>
        <v>1.9658255655329563E-4</v>
      </c>
      <c r="G54">
        <v>43</v>
      </c>
      <c r="H54" s="62" t="n">
        <v>12.0</v>
      </c>
      <c r="I54" s="62" t="n">
        <v>5.0</v>
      </c>
      <c r="J54" s="64" t="n">
        <v>53.0</v>
      </c>
      <c r="K54" s="62">
        <f si="5" t="shared"/>
        <v>82</v>
      </c>
      <c r="L54" s="68">
        <f si="3" t="shared"/>
        <v>2.6939743678194904E-4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7.0</v>
      </c>
      <c r="I55" s="62" t="n">
        <v>2.0</v>
      </c>
      <c r="J55" s="64" t="n">
        <v>64.0</v>
      </c>
      <c r="K55" s="62">
        <f si="5" t="shared"/>
        <v>75</v>
      </c>
      <c r="L55" s="68">
        <f si="3" t="shared"/>
        <v>2.4640009461763634E-4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178.423663881329</v>
      </c>
      <c r="E56" s="62">
        <f si="4" t="shared"/>
        <v>178.42366388132899</v>
      </c>
      <c r="F56" s="68">
        <f si="2" t="shared"/>
        <v>7.2341240013581141E-4</v>
      </c>
      <c r="G56">
        <v>45</v>
      </c>
      <c r="H56" s="62" t="n">
        <v>5.0</v>
      </c>
      <c r="I56" s="62" t="n">
        <v>0.0</v>
      </c>
      <c r="J56" s="64" t="n">
        <v>54.0</v>
      </c>
      <c r="K56" s="62">
        <f si="5" t="shared"/>
        <v>64</v>
      </c>
      <c r="L56" s="68">
        <f si="3" t="shared"/>
        <v>2.1026141407371634E-4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3.0</v>
      </c>
      <c r="I57" s="62" t="n">
        <v>0.0</v>
      </c>
      <c r="J57" s="64" t="n">
        <v>68.0</v>
      </c>
      <c r="K57" s="62">
        <f si="5" t="shared"/>
        <v>71</v>
      </c>
      <c r="L57" s="68">
        <f si="3" t="shared"/>
        <v>2.3325875623802906E-4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3.0</v>
      </c>
      <c r="I58" s="62" t="n">
        <v>0.0</v>
      </c>
      <c r="J58" s="64" t="n">
        <v>52.0</v>
      </c>
      <c r="K58" s="62">
        <f si="5" t="shared"/>
        <v>44</v>
      </c>
      <c r="L58" s="68">
        <f si="3" t="shared"/>
        <v>1.4455472217567999E-4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51.787570040342004</v>
      </c>
      <c r="E59" s="62">
        <f si="4" t="shared"/>
        <v>51.787570040342004</v>
      </c>
      <c r="F59" s="68">
        <f si="2" t="shared"/>
        <v>2.0997086106808516E-4</v>
      </c>
      <c r="G59">
        <v>48</v>
      </c>
      <c r="H59" s="62" t="n">
        <v>2.0</v>
      </c>
      <c r="I59" s="62" t="n">
        <v>1.0</v>
      </c>
      <c r="J59" s="64" t="n">
        <v>61.0</v>
      </c>
      <c r="K59" s="62">
        <f si="5" t="shared"/>
        <v>65</v>
      </c>
      <c r="L59" s="68">
        <f si="3" t="shared"/>
        <v>2.1354674866861815E-4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128.9729258369803</v>
      </c>
      <c r="E60" s="62">
        <f si="4" t="shared"/>
        <v>128.97292583698029</v>
      </c>
      <c r="F60" s="68">
        <f si="2" t="shared"/>
        <v>5.2291614129347161E-4</v>
      </c>
      <c r="G60">
        <v>49</v>
      </c>
      <c r="H60" s="62" t="n">
        <v>1.0</v>
      </c>
      <c r="I60" s="62" t="n">
        <v>1.0</v>
      </c>
      <c r="J60" s="64" t="n">
        <v>45.0</v>
      </c>
      <c r="K60" s="62">
        <f si="5" t="shared"/>
        <v>42</v>
      </c>
      <c r="L60" s="68">
        <f si="3" t="shared"/>
        <v>1.3798405298587636E-4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87.0588541936009</v>
      </c>
      <c r="E61" s="62">
        <f si="4" t="shared"/>
        <v>87.058854193600894</v>
      </c>
      <c r="F61" s="68">
        <f si="2" t="shared"/>
        <v>3.5297702835625336E-4</v>
      </c>
      <c r="G61">
        <v>50</v>
      </c>
      <c r="H61" s="62" t="n">
        <v>3.0</v>
      </c>
      <c r="I61" s="62" t="n">
        <v>2.0</v>
      </c>
      <c r="J61" s="64" t="n">
        <v>63.0</v>
      </c>
      <c r="K61" s="62">
        <f si="5" t="shared"/>
        <v>58</v>
      </c>
      <c r="L61" s="68">
        <f si="3" t="shared"/>
        <v>1.9054940650430543E-4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35.7968269485413</v>
      </c>
      <c r="E62" s="62">
        <f si="4" t="shared"/>
        <v>35.796826948541302</v>
      </c>
      <c r="F62" s="68">
        <f si="2" t="shared"/>
        <v>1.4513696186238003E-4</v>
      </c>
      <c r="G62">
        <v>51</v>
      </c>
      <c r="H62" s="62" t="n">
        <v>1.0</v>
      </c>
      <c r="I62" s="62" t="n">
        <v>1.0</v>
      </c>
      <c r="J62" s="64" t="n">
        <v>26.0</v>
      </c>
      <c r="K62" s="62">
        <f si="5" t="shared"/>
        <v>37</v>
      </c>
      <c r="L62" s="68">
        <f si="3" t="shared"/>
        <v>1.2155738001136725E-4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131.804801667234</v>
      </c>
      <c r="E63" s="62">
        <f si="4" t="shared"/>
        <v>131.80480166723399</v>
      </c>
      <c r="F63" s="68">
        <f si="2" t="shared"/>
        <v>5.3439788114056377E-4</v>
      </c>
      <c r="G63">
        <v>52</v>
      </c>
      <c r="H63" s="62" t="n">
        <v>1.0</v>
      </c>
      <c r="I63" s="62" t="n">
        <v>1.0</v>
      </c>
      <c r="J63" s="64" t="n">
        <v>28.0</v>
      </c>
      <c r="K63" s="62">
        <f si="5" t="shared"/>
        <v>27</v>
      </c>
      <c r="L63" s="68">
        <f si="3" t="shared"/>
        <v>8.8704034062349075E-5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0.0</v>
      </c>
      <c r="I64" s="62" t="n">
        <v>0.0</v>
      </c>
      <c r="J64" s="64" t="n">
        <v>42.0</v>
      </c>
      <c r="K64" s="62">
        <f si="5" t="shared"/>
        <v>38</v>
      </c>
      <c r="L64" s="68">
        <f si="3" t="shared"/>
        <v>1.2484271460626908E-4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1.0</v>
      </c>
      <c r="I65" s="62" t="n">
        <v>0.0</v>
      </c>
      <c r="J65" s="64" t="n">
        <v>29.0</v>
      </c>
      <c r="K65" s="62">
        <f si="5" t="shared"/>
        <v>34</v>
      </c>
      <c r="L65" s="68">
        <f si="3" t="shared"/>
        <v>1.1170137622666181E-4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1.0</v>
      </c>
      <c r="I66" s="62" t="n">
        <v>0.0</v>
      </c>
      <c r="J66" s="64" t="n">
        <v>7.0</v>
      </c>
      <c r="K66" s="62">
        <f si="5" t="shared"/>
        <v>9</v>
      </c>
      <c r="L66" s="68">
        <f si="3" t="shared"/>
        <v>2.9568011354116359E-5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0.0</v>
      </c>
      <c r="I67" s="62" t="n">
        <v>1.0</v>
      </c>
      <c r="J67" s="64" t="n">
        <v>18.0</v>
      </c>
      <c r="K67" s="62">
        <f si="5" t="shared"/>
        <v>28</v>
      </c>
      <c r="L67" s="68">
        <f si="3" t="shared"/>
        <v>9.1989368657250902E-5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1.0</v>
      </c>
      <c r="I68" s="62" t="n">
        <v>0.0</v>
      </c>
      <c r="J68" s="64" t="n">
        <v>14.0</v>
      </c>
      <c r="K68" s="62">
        <f si="5" t="shared"/>
        <v>23</v>
      </c>
      <c r="L68" s="68">
        <f si="3" t="shared"/>
        <v>7.5562695682741807E-5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1.0</v>
      </c>
      <c r="I69" s="62" t="n">
        <v>0.0</v>
      </c>
      <c r="J69" s="64" t="n">
        <v>5.0</v>
      </c>
      <c r="K69" s="62">
        <f si="5" t="shared"/>
        <v>6</v>
      </c>
      <c r="L69" s="68">
        <f si="3" t="shared"/>
        <v>1.9712007569410905E-5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0.0</v>
      </c>
      <c r="I70" s="62" t="n">
        <v>0.0</v>
      </c>
      <c r="J70" s="64" t="n">
        <v>7.0</v>
      </c>
      <c r="K70" s="62">
        <f si="5" t="shared"/>
        <v>7</v>
      </c>
      <c r="L70" s="68">
        <f si="3" t="shared"/>
        <v>2.2997342164312725E-5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0.0</v>
      </c>
      <c r="I71" s="62" t="n">
        <v>0.0</v>
      </c>
      <c r="J71" s="64" t="n">
        <v>5.0</v>
      </c>
      <c r="K71" s="62">
        <f si="5" t="shared"/>
        <v>3</v>
      </c>
      <c r="L71" s="68">
        <f si="3" t="shared"/>
        <v>9.8560037847054526E-6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0.0</v>
      </c>
      <c r="I72" s="62" t="n">
        <v>0.0</v>
      </c>
      <c r="J72" s="64" t="n">
        <v>0.0</v>
      </c>
      <c r="K72" s="62">
        <f si="5" t="shared"/>
        <v>1</v>
      </c>
      <c r="L72" s="68">
        <f si="3" t="shared"/>
        <v>3.2853345949018178E-6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0.0</v>
      </c>
      <c r="I73" s="62" t="n">
        <v>0.0</v>
      </c>
      <c r="J73" s="64" t="n">
        <v>0.0</v>
      </c>
      <c r="K73" s="62">
        <f si="5" t="shared"/>
        <v>1</v>
      </c>
      <c r="L73" s="68">
        <f si="3" t="shared"/>
        <v>3.2853345949018178E-6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1.0</v>
      </c>
      <c r="K74" s="62">
        <f si="5" t="shared"/>
        <v>1</v>
      </c>
      <c r="L74" s="68">
        <f si="3" t="shared"/>
        <v>3.2853345949018178E-6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0.0</v>
      </c>
      <c r="I75" s="62" t="n">
        <v>0.0</v>
      </c>
      <c r="J75" s="64" t="n">
        <v>7.0</v>
      </c>
      <c r="K75" s="62">
        <f ref="K75:K101" si="7" t="shared">SUM(H75:J75)</f>
        <v>1</v>
      </c>
      <c r="L75" s="68">
        <f si="3" t="shared"/>
        <v>3.2853345949018178E-6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0.0</v>
      </c>
      <c r="K76" s="62">
        <f si="7" t="shared"/>
        <v>1</v>
      </c>
      <c r="L76" s="68">
        <f ref="L76:L101" si="9" t="shared">K76/SUM($K$11:$K$101)</f>
        <v>3.2853345949018178E-6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0.0</v>
      </c>
      <c r="K77" s="62">
        <f si="7" t="shared"/>
        <v>1</v>
      </c>
      <c r="L77" s="68">
        <f si="9" t="shared"/>
        <v>3.2853345949018178E-6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3.0</v>
      </c>
      <c r="K78" s="62">
        <f si="7" t="shared"/>
        <v>1</v>
      </c>
      <c r="L78" s="68">
        <f si="9" t="shared"/>
        <v>3.2853345949018178E-6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0.0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0.0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0.0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0.0</v>
      </c>
      <c r="K82" s="62">
        <f si="7" t="shared"/>
        <v>0</v>
      </c>
      <c r="L82" s="68">
        <f si="9" t="shared"/>
        <v>0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0.0</v>
      </c>
      <c r="K83" s="62">
        <f si="7" t="shared"/>
        <v>1</v>
      </c>
      <c r="L83" s="68">
        <f si="9" t="shared"/>
        <v>3.2853345949018178E-6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0.0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0.0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0.0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0.0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0.0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0</v>
      </c>
      <c r="L93" s="68">
        <f si="9" t="shared"/>
        <v>0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0.0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topLeftCell="A52"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2064.0</v>
      </c>
      <c r="I11" s="62" t="n">
        <v>144.0</v>
      </c>
      <c r="J11" s="64" t="n">
        <v>1.0</v>
      </c>
      <c r="K11" s="62">
        <f ref="K11:K42" si="1" t="shared">SUM(H11:J11)</f>
        <v>2226</v>
      </c>
      <c r="L11" s="68">
        <f>K11/SUM($K$11:$K$101)</f>
        <v>7.3131548082514463E-3</v>
      </c>
      <c r="M11" t="s">
        <v>33</v>
      </c>
      <c r="N11" s="8" t="n">
        <v>11.515046933537182</v>
      </c>
      <c r="O11" s="8" t="n">
        <v>15.079919796394007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5188.0</v>
      </c>
      <c r="I12" s="62" t="n">
        <v>386.0</v>
      </c>
      <c r="J12" s="64" t="n">
        <v>25.0</v>
      </c>
      <c r="K12" s="62">
        <f si="1" t="shared"/>
        <v>5609</v>
      </c>
      <c r="L12" s="68">
        <f ref="L12:L75" si="3" t="shared">K12/SUM($K$11:$K$101)</f>
        <v>1.8427441742804297E-2</v>
      </c>
      <c r="M12" t="s">
        <v>34</v>
      </c>
      <c r="N12" s="8" t="n">
        <v>16.461503396599273</v>
      </c>
      <c r="O12" s="8" t="n">
        <v>19.213212710342088</v>
      </c>
    </row>
    <row r="13" spans="1:15" x14ac:dyDescent="0.25">
      <c r="A13">
        <v>2</v>
      </c>
      <c r="B13" s="62" t="n">
        <v>1116.7136807063498</v>
      </c>
      <c r="C13" s="62" t="n">
        <v>0.0</v>
      </c>
      <c r="D13" s="62" t="n">
        <v>0.0</v>
      </c>
      <c r="E13" s="62">
        <f si="0" t="shared"/>
        <v>1116.7136807063498</v>
      </c>
      <c r="F13" s="68">
        <f si="2" t="shared"/>
        <v>4.5276759060478653E-3</v>
      </c>
      <c r="G13">
        <v>2</v>
      </c>
      <c r="H13" s="62" t="n">
        <v>5947.0</v>
      </c>
      <c r="I13" s="62" t="n">
        <v>419.0</v>
      </c>
      <c r="J13" s="64" t="n">
        <v>585.0</v>
      </c>
      <c r="K13" s="62">
        <f si="1" t="shared"/>
        <v>7214</v>
      </c>
      <c r="L13" s="68">
        <f si="3" t="shared"/>
        <v>2.3700403767621715E-2</v>
      </c>
      <c r="M13" s="6" t="s">
        <v>35</v>
      </c>
      <c r="N13" s="16" t="n">
        <v>24.74586865893219</v>
      </c>
      <c r="O13" s="16" t="n">
        <v>34.180893179459886</v>
      </c>
    </row>
    <row ht="15.75" r="14" spans="1:15" thickBot="1" x14ac:dyDescent="0.3">
      <c r="A14">
        <v>3</v>
      </c>
      <c r="B14" s="62" t="n">
        <v>5347.715792902078</v>
      </c>
      <c r="C14" s="62" t="n">
        <v>565.0599669629638</v>
      </c>
      <c r="D14" s="62" t="n">
        <v>1430.018367394705</v>
      </c>
      <c r="E14" s="62">
        <f si="0" t="shared"/>
        <v>7342.7941272597463</v>
      </c>
      <c r="F14" s="68">
        <f si="2" t="shared"/>
        <v>2.977109766581789E-2</v>
      </c>
      <c r="G14">
        <v>3</v>
      </c>
      <c r="H14" s="62" t="n">
        <v>10752.0</v>
      </c>
      <c r="I14" s="62" t="n">
        <v>843.0</v>
      </c>
      <c r="J14" s="64" t="n">
        <v>1838.0</v>
      </c>
      <c r="K14" s="62">
        <f si="1" t="shared"/>
        <v>13356</v>
      </c>
      <c r="L14" s="68">
        <f si="3" t="shared"/>
        <v>4.3878928849508676E-2</v>
      </c>
      <c r="M14" s="1" t="s">
        <v>3</v>
      </c>
      <c r="N14" s="17" t="n">
        <v>14.605749498931058</v>
      </c>
      <c r="O14" s="17" t="n">
        <v>19.54419460776008</v>
      </c>
    </row>
    <row r="15" spans="1:15" x14ac:dyDescent="0.25">
      <c r="A15">
        <v>4</v>
      </c>
      <c r="B15" s="62" t="n">
        <v>9998.834357731741</v>
      </c>
      <c r="C15" s="62" t="n">
        <v>1036.8790004790972</v>
      </c>
      <c r="D15" s="62" t="n">
        <v>754.0499648760704</v>
      </c>
      <c r="E15" s="62">
        <f si="0" t="shared"/>
        <v>11789.763323086909</v>
      </c>
      <c r="F15" s="68">
        <f si="2" t="shared"/>
        <v>4.7801176127960622E-2</v>
      </c>
      <c r="G15">
        <v>4</v>
      </c>
      <c r="H15" s="62" t="n">
        <v>15218.0</v>
      </c>
      <c r="I15" s="62" t="n">
        <v>1598.0</v>
      </c>
      <c r="J15" s="64" t="n">
        <v>1091.0</v>
      </c>
      <c r="K15" s="62">
        <f si="1" t="shared"/>
        <v>18430</v>
      </c>
      <c r="L15" s="68">
        <f si="3" t="shared"/>
        <v>6.0548716584040499E-2</v>
      </c>
    </row>
    <row r="16" spans="1:15" x14ac:dyDescent="0.25">
      <c r="A16">
        <v>5</v>
      </c>
      <c r="B16" s="62" t="n">
        <v>14979.16146512555</v>
      </c>
      <c r="C16" s="62" t="n">
        <v>4962.363836607089</v>
      </c>
      <c r="D16" s="62" t="n">
        <v>1734.2247212563198</v>
      </c>
      <c r="E16" s="62">
        <f si="0" t="shared"/>
        <v>21675.750022988959</v>
      </c>
      <c r="F16" s="68">
        <f si="2" t="shared"/>
        <v>8.7883557638988571E-2</v>
      </c>
      <c r="G16">
        <v>5</v>
      </c>
      <c r="H16" s="62" t="n">
        <v>18194.0</v>
      </c>
      <c r="I16" s="62" t="n">
        <v>2217.0</v>
      </c>
      <c r="J16" s="64" t="n">
        <v>1603.0</v>
      </c>
      <c r="K16" s="62">
        <f si="1" t="shared"/>
        <v>22780</v>
      </c>
      <c r="L16" s="68">
        <f si="3" t="shared"/>
        <v>7.4839922071863407E-2</v>
      </c>
    </row>
    <row r="17" spans="1:12" x14ac:dyDescent="0.25">
      <c r="A17">
        <v>6</v>
      </c>
      <c r="B17" s="62" t="n">
        <v>20277.502754947735</v>
      </c>
      <c r="C17" s="62" t="n">
        <v>833.7817056201649</v>
      </c>
      <c r="D17" s="62" t="n">
        <v>2044.2513101437169</v>
      </c>
      <c r="E17" s="62">
        <f si="0" t="shared"/>
        <v>23155.535770711616</v>
      </c>
      <c r="F17" s="68">
        <f si="2" t="shared"/>
        <v>9.3883296329248883E-2</v>
      </c>
      <c r="G17">
        <v>6</v>
      </c>
      <c r="H17" s="62" t="n">
        <v>17907.0</v>
      </c>
      <c r="I17" s="62" t="n">
        <v>3079.0</v>
      </c>
      <c r="J17" s="64" t="n">
        <v>1721.0</v>
      </c>
      <c r="K17" s="62">
        <f si="1" t="shared"/>
        <v>22773</v>
      </c>
      <c r="L17" s="68">
        <f si="3" t="shared"/>
        <v>7.48169247296991E-2</v>
      </c>
    </row>
    <row r="18" spans="1:12" x14ac:dyDescent="0.25">
      <c r="A18">
        <v>7</v>
      </c>
      <c r="B18" s="62" t="n">
        <v>14609.614851438886</v>
      </c>
      <c r="C18" s="62" t="n">
        <v>1648.869651543933</v>
      </c>
      <c r="D18" s="62" t="n">
        <v>2502.942050485996</v>
      </c>
      <c r="E18" s="62">
        <f si="0" t="shared"/>
        <v>18761.426553468817</v>
      </c>
      <c r="F18" s="68">
        <f si="2" t="shared"/>
        <v>7.6067536770479172E-2</v>
      </c>
      <c r="G18">
        <v>7</v>
      </c>
      <c r="H18" s="62" t="n">
        <v>14556.0</v>
      </c>
      <c r="I18" s="62" t="n">
        <v>2880.0</v>
      </c>
      <c r="J18" s="64" t="n">
        <v>2850.0</v>
      </c>
      <c r="K18" s="62">
        <f si="1" t="shared"/>
        <v>20244</v>
      </c>
      <c r="L18" s="68">
        <f si="3" t="shared"/>
        <v>6.6508313539192399E-2</v>
      </c>
    </row>
    <row r="19" spans="1:12" x14ac:dyDescent="0.25">
      <c r="A19">
        <v>8</v>
      </c>
      <c r="B19" s="62" t="n">
        <v>12647.7213259447</v>
      </c>
      <c r="C19" s="62" t="n">
        <v>1500.3025109692144</v>
      </c>
      <c r="D19" s="62" t="n">
        <v>1589.0045740552407</v>
      </c>
      <c r="E19" s="62">
        <f si="0" t="shared"/>
        <v>15737.028410969157</v>
      </c>
      <c r="F19" s="68">
        <f si="2" t="shared"/>
        <v>6.3805222054830524E-2</v>
      </c>
      <c r="G19">
        <v>8</v>
      </c>
      <c r="H19" s="62" t="n">
        <v>11744.0</v>
      </c>
      <c r="I19" s="62" t="n">
        <v>3139.0</v>
      </c>
      <c r="J19" s="64" t="n">
        <v>2282.0</v>
      </c>
      <c r="K19" s="62">
        <f si="1" t="shared"/>
        <v>16955</v>
      </c>
      <c r="L19" s="68">
        <f si="3" t="shared"/>
        <v>5.5702848056560318E-2</v>
      </c>
    </row>
    <row r="20" spans="1:12" x14ac:dyDescent="0.25">
      <c r="A20">
        <v>9</v>
      </c>
      <c r="B20" s="62" t="n">
        <v>9813.336427191034</v>
      </c>
      <c r="C20" s="62" t="n">
        <v>2441.2256733999434</v>
      </c>
      <c r="D20" s="62" t="n">
        <v>860.672012545974</v>
      </c>
      <c r="E20" s="62">
        <f si="0" t="shared"/>
        <v>13115.234113136952</v>
      </c>
      <c r="F20" s="68">
        <f si="2" t="shared"/>
        <v>5.3175250310058784E-2</v>
      </c>
      <c r="G20">
        <v>9</v>
      </c>
      <c r="H20" s="62" t="n">
        <v>9146.0</v>
      </c>
      <c r="I20" s="62" t="n">
        <v>2768.0</v>
      </c>
      <c r="J20" s="64" t="n">
        <v>1225.0</v>
      </c>
      <c r="K20" s="62">
        <f si="1" t="shared"/>
        <v>13136</v>
      </c>
      <c r="L20" s="68">
        <f si="3" t="shared"/>
        <v>4.3156155238630277E-2</v>
      </c>
    </row>
    <row r="21" spans="1:12" x14ac:dyDescent="0.25">
      <c r="A21">
        <v>10</v>
      </c>
      <c r="B21" s="62" t="n">
        <v>16698.46770565418</v>
      </c>
      <c r="C21" s="62" t="n">
        <v>320.1353905303737</v>
      </c>
      <c r="D21" s="62" t="n">
        <v>656.2595455406841</v>
      </c>
      <c r="E21" s="62">
        <f si="0" t="shared"/>
        <v>17674.862641725238</v>
      </c>
      <c r="F21" s="68">
        <f si="2" t="shared"/>
        <v>7.1662102030510058E-2</v>
      </c>
      <c r="G21">
        <v>10</v>
      </c>
      <c r="H21" s="62" t="n">
        <v>7371.0</v>
      </c>
      <c r="I21" s="62" t="n">
        <v>2727.0</v>
      </c>
      <c r="J21" s="64" t="n">
        <v>1216.0</v>
      </c>
      <c r="K21" s="62">
        <f si="1" t="shared"/>
        <v>11115</v>
      </c>
      <c r="L21" s="68">
        <f si="3" t="shared"/>
        <v>3.6516494022333708E-2</v>
      </c>
    </row>
    <row r="22" spans="1:12" x14ac:dyDescent="0.25">
      <c r="A22">
        <v>11</v>
      </c>
      <c r="B22" s="62" t="n">
        <v>5916.268929145748</v>
      </c>
      <c r="C22" s="62" t="n">
        <v>2543.330769345162</v>
      </c>
      <c r="D22" s="62" t="n">
        <v>1614.4581786449692</v>
      </c>
      <c r="E22" s="62">
        <f si="0" t="shared"/>
        <v>10074.05787713588</v>
      </c>
      <c r="F22" s="68">
        <f si="2" t="shared"/>
        <v>4.0844909410968293E-2</v>
      </c>
      <c r="G22">
        <v>11</v>
      </c>
      <c r="H22" s="62" t="n">
        <v>5334.0</v>
      </c>
      <c r="I22" s="62" t="n">
        <v>2203.0</v>
      </c>
      <c r="J22" s="64" t="n">
        <v>1579.0</v>
      </c>
      <c r="K22" s="62">
        <f si="1" t="shared"/>
        <v>8990</v>
      </c>
      <c r="L22" s="68">
        <f si="3" t="shared"/>
        <v>2.9535158008167341E-2</v>
      </c>
    </row>
    <row r="23" spans="1:12" x14ac:dyDescent="0.25">
      <c r="A23">
        <v>12</v>
      </c>
      <c r="B23" s="62" t="n">
        <v>7989.272615045282</v>
      </c>
      <c r="C23" s="62" t="n">
        <v>2936.1903760701525</v>
      </c>
      <c r="D23" s="62" t="n">
        <v>653.0998493369284</v>
      </c>
      <c r="E23" s="62">
        <f si="0" t="shared"/>
        <v>11578.562840452361</v>
      </c>
      <c r="F23" s="68">
        <f si="2" t="shared"/>
        <v>4.6944871281793366E-2</v>
      </c>
      <c r="G23">
        <v>12</v>
      </c>
      <c r="H23" s="62" t="n">
        <v>4623.0</v>
      </c>
      <c r="I23" s="62" t="n">
        <v>2267.0</v>
      </c>
      <c r="J23" s="64" t="n">
        <v>1823.0</v>
      </c>
      <c r="K23" s="62">
        <f si="1" t="shared"/>
        <v>8644</v>
      </c>
      <c r="L23" s="68">
        <f si="3" t="shared"/>
        <v>2.8398432238331314E-2</v>
      </c>
    </row>
    <row r="24" spans="1:12" x14ac:dyDescent="0.25">
      <c r="A24">
        <v>13</v>
      </c>
      <c r="B24" s="62" t="n">
        <v>6764.273128627415</v>
      </c>
      <c r="C24" s="62" t="n">
        <v>1709.9148458943953</v>
      </c>
      <c r="D24" s="62" t="n">
        <v>1936.3430019264588</v>
      </c>
      <c r="E24" s="62">
        <f si="0" t="shared"/>
        <v>10410.53097644827</v>
      </c>
      <c r="F24" s="68">
        <f si="2" t="shared"/>
        <v>4.220912762653304E-2</v>
      </c>
      <c r="G24">
        <v>13</v>
      </c>
      <c r="H24" s="62" t="n">
        <v>4092.0</v>
      </c>
      <c r="I24" s="62" t="n">
        <v>2158.0</v>
      </c>
      <c r="J24" s="64" t="n">
        <v>1362.0</v>
      </c>
      <c r="K24" s="62">
        <f si="1" t="shared"/>
        <v>7916</v>
      </c>
      <c r="L24" s="68">
        <f si="3" t="shared"/>
        <v>2.600670865324279E-2</v>
      </c>
    </row>
    <row r="25" spans="1:12" x14ac:dyDescent="0.25">
      <c r="A25">
        <v>14</v>
      </c>
      <c r="B25" s="62" t="n">
        <v>4785.592362252804</v>
      </c>
      <c r="C25" s="62" t="n">
        <v>2659.1787939963488</v>
      </c>
      <c r="D25" s="62" t="n">
        <v>644.297569010983</v>
      </c>
      <c r="E25" s="62">
        <f si="0" t="shared"/>
        <v>8089.0687252601365</v>
      </c>
      <c r="F25" s="68">
        <f si="2" t="shared"/>
        <v>3.2796841484524122E-2</v>
      </c>
      <c r="G25">
        <v>14</v>
      </c>
      <c r="H25" s="62" t="n">
        <v>3589.0</v>
      </c>
      <c r="I25" s="62" t="n">
        <v>1784.0</v>
      </c>
      <c r="J25" s="64" t="n">
        <v>1724.0</v>
      </c>
      <c r="K25" s="62">
        <f si="1" t="shared"/>
        <v>6988</v>
      </c>
      <c r="L25" s="68">
        <f si="3" t="shared"/>
        <v>2.2957918149173903E-2</v>
      </c>
    </row>
    <row r="26" spans="1:12" x14ac:dyDescent="0.25">
      <c r="A26">
        <v>15</v>
      </c>
      <c r="B26" s="62" t="n">
        <v>5096.240765815051</v>
      </c>
      <c r="C26" s="62" t="n">
        <v>1873.776402214543</v>
      </c>
      <c r="D26" s="62" t="n">
        <v>499.38070182457636</v>
      </c>
      <c r="E26" s="62">
        <f si="0" t="shared"/>
        <v>7469.3978698541705</v>
      </c>
      <c r="F26" s="68">
        <f si="2" t="shared"/>
        <v>3.0284408037906895E-2</v>
      </c>
      <c r="G26">
        <v>15</v>
      </c>
      <c r="H26" s="62" t="n">
        <v>3241.0</v>
      </c>
      <c r="I26" s="62" t="n">
        <v>2002.0</v>
      </c>
      <c r="J26" s="64" t="n">
        <v>783.0</v>
      </c>
      <c r="K26" s="62">
        <f si="1" t="shared"/>
        <v>5963</v>
      </c>
      <c r="L26" s="68">
        <f si="3" t="shared"/>
        <v>1.959045018939954E-2</v>
      </c>
    </row>
    <row r="27" spans="1:12" x14ac:dyDescent="0.25">
      <c r="A27">
        <v>16</v>
      </c>
      <c r="B27" s="62" t="n">
        <v>2722.6060546578133</v>
      </c>
      <c r="C27" s="62" t="n">
        <v>535.6098979808193</v>
      </c>
      <c r="D27" s="62" t="n">
        <v>848.8330013015748</v>
      </c>
      <c r="E27" s="62">
        <f si="0" t="shared"/>
        <v>4107.0489539402079</v>
      </c>
      <c r="F27" s="68">
        <f si="2" t="shared"/>
        <v>1.665188392959609E-2</v>
      </c>
      <c r="G27">
        <v>16</v>
      </c>
      <c r="H27" s="62" t="n">
        <v>2803.0</v>
      </c>
      <c r="I27" s="62" t="n">
        <v>1599.0</v>
      </c>
      <c r="J27" s="64" t="n">
        <v>708.0</v>
      </c>
      <c r="K27" s="62">
        <f si="1" t="shared"/>
        <v>5147</v>
      </c>
      <c r="L27" s="68">
        <f si="3" t="shared"/>
        <v>1.6909617159959655E-2</v>
      </c>
    </row>
    <row r="28" spans="1:12" x14ac:dyDescent="0.25">
      <c r="A28">
        <v>17</v>
      </c>
      <c r="B28" s="62" t="n">
        <v>3916.8087296342505</v>
      </c>
      <c r="C28" s="62" t="n">
        <v>1829.933927777904</v>
      </c>
      <c r="D28" s="62" t="n">
        <v>1452.3340591970823</v>
      </c>
      <c r="E28" s="62">
        <f si="0" t="shared"/>
        <v>7199.0767166092373</v>
      </c>
      <c r="F28" s="68">
        <f si="2" t="shared"/>
        <v>2.9188400535188747E-2</v>
      </c>
      <c r="G28">
        <v>17</v>
      </c>
      <c r="H28" s="62" t="n">
        <v>2511.0</v>
      </c>
      <c r="I28" s="62" t="n">
        <v>1498.0</v>
      </c>
      <c r="J28" s="64" t="n">
        <v>1201.0</v>
      </c>
      <c r="K28" s="62">
        <f si="1" t="shared"/>
        <v>5041</v>
      </c>
      <c r="L28" s="68">
        <f si="3" t="shared"/>
        <v>1.6561371692900062E-2</v>
      </c>
    </row>
    <row r="29" spans="1:12" x14ac:dyDescent="0.25">
      <c r="A29">
        <v>18</v>
      </c>
      <c r="B29" s="62" t="n">
        <v>2495.4088371571806</v>
      </c>
      <c r="C29" s="62" t="n">
        <v>853.9592040501541</v>
      </c>
      <c r="D29" s="62" t="n">
        <v>883.3397799565126</v>
      </c>
      <c r="E29" s="62">
        <f si="0" t="shared"/>
        <v>4232.7078211638473</v>
      </c>
      <c r="F29" s="68">
        <f si="2" t="shared"/>
        <v>1.7161363338095741E-2</v>
      </c>
      <c r="G29">
        <v>18</v>
      </c>
      <c r="H29" s="62" t="n">
        <v>2353.0</v>
      </c>
      <c r="I29" s="62" t="n">
        <v>1487.0</v>
      </c>
      <c r="J29" s="64" t="n">
        <v>820.0</v>
      </c>
      <c r="K29" s="62">
        <f si="1" t="shared"/>
        <v>4514</v>
      </c>
      <c r="L29" s="68">
        <f si="3" t="shared"/>
        <v>1.4830000361386805E-2</v>
      </c>
    </row>
    <row r="30" spans="1:12" x14ac:dyDescent="0.25">
      <c r="A30">
        <v>19</v>
      </c>
      <c r="B30" s="62" t="n">
        <v>820.4281844282502</v>
      </c>
      <c r="C30" s="62" t="n">
        <v>471.5365030171727</v>
      </c>
      <c r="D30" s="62" t="n">
        <v>153.6314539383735</v>
      </c>
      <c r="E30" s="62">
        <f si="0" t="shared"/>
        <v>1445.5961413837963</v>
      </c>
      <c r="F30" s="68">
        <f si="2" t="shared"/>
        <v>5.8611181472041944E-3</v>
      </c>
      <c r="G30">
        <v>19</v>
      </c>
      <c r="H30" s="62" t="n">
        <v>2317.0</v>
      </c>
      <c r="I30" s="62" t="n">
        <v>1350.0</v>
      </c>
      <c r="J30" s="64" t="n">
        <v>827.0</v>
      </c>
      <c r="K30" s="62">
        <f si="1" t="shared"/>
        <v>4497</v>
      </c>
      <c r="L30" s="68">
        <f si="3" t="shared"/>
        <v>1.4774149673273474E-2</v>
      </c>
    </row>
    <row r="31" spans="1:12" x14ac:dyDescent="0.25">
      <c r="A31">
        <v>20</v>
      </c>
      <c r="B31" s="62" t="n">
        <v>1212.4652870466368</v>
      </c>
      <c r="C31" s="62" t="n">
        <v>144.443782254263</v>
      </c>
      <c r="D31" s="62" t="n">
        <v>1959.0687624360658</v>
      </c>
      <c r="E31" s="62">
        <f si="0" t="shared"/>
        <v>3315.9778317369655</v>
      </c>
      <c r="F31" s="68">
        <f si="2" t="shared"/>
        <v>1.3444514196555532E-2</v>
      </c>
      <c r="G31">
        <v>20</v>
      </c>
      <c r="H31" s="62" t="n">
        <v>2059.0</v>
      </c>
      <c r="I31" s="62" t="n">
        <v>1146.0</v>
      </c>
      <c r="J31" s="64" t="n">
        <v>880.0</v>
      </c>
      <c r="K31" s="62">
        <f si="1" t="shared"/>
        <v>4289</v>
      </c>
      <c r="L31" s="68">
        <f si="3" t="shared"/>
        <v>1.4090800077533897E-2</v>
      </c>
    </row>
    <row r="32" spans="1:12" x14ac:dyDescent="0.25">
      <c r="A32">
        <v>21</v>
      </c>
      <c r="B32" s="62" t="n">
        <v>769.9963397355793</v>
      </c>
      <c r="C32" s="62" t="n">
        <v>513.7761341895405</v>
      </c>
      <c r="D32" s="62" t="n">
        <v>1266.9202219522492</v>
      </c>
      <c r="E32" s="62">
        <f si="0" t="shared"/>
        <v>2550.6926958773693</v>
      </c>
      <c r="F32" s="68">
        <f si="2" t="shared"/>
        <v>1.034169282814856E-2</v>
      </c>
      <c r="G32">
        <v>21</v>
      </c>
      <c r="H32" s="62" t="n">
        <v>2110.0</v>
      </c>
      <c r="I32" s="62" t="n">
        <v>1102.0</v>
      </c>
      <c r="J32" s="64" t="n">
        <v>815.0</v>
      </c>
      <c r="K32" s="62">
        <f si="1" t="shared"/>
        <v>3885</v>
      </c>
      <c r="L32" s="68">
        <f si="3" t="shared"/>
        <v>1.2763524901193563E-2</v>
      </c>
    </row>
    <row r="33" spans="1:12" x14ac:dyDescent="0.25">
      <c r="A33">
        <v>22</v>
      </c>
      <c r="B33" s="62" t="n">
        <v>1245.43488345239</v>
      </c>
      <c r="C33" s="62" t="n">
        <v>1765.244025369244</v>
      </c>
      <c r="D33" s="62" t="n">
        <v>240.5688620960721</v>
      </c>
      <c r="E33" s="62">
        <f si="0" t="shared"/>
        <v>3251.247770917706</v>
      </c>
      <c r="F33" s="68">
        <f si="2" t="shared"/>
        <v>1.3182068466882912E-2</v>
      </c>
      <c r="G33">
        <v>22</v>
      </c>
      <c r="H33" s="62" t="n">
        <v>1777.0</v>
      </c>
      <c r="I33" s="62" t="n">
        <v>1039.0</v>
      </c>
      <c r="J33" s="64" t="n">
        <v>478.0</v>
      </c>
      <c r="K33" s="62">
        <f si="1" t="shared"/>
        <v>3492</v>
      </c>
      <c r="L33" s="68">
        <f si="3" t="shared"/>
        <v>1.1472388405397148E-2</v>
      </c>
    </row>
    <row r="34" spans="1:12" x14ac:dyDescent="0.25">
      <c r="A34">
        <v>23</v>
      </c>
      <c r="B34" s="62" t="n">
        <v>613.8474520205199</v>
      </c>
      <c r="C34" s="62" t="n">
        <v>0.0</v>
      </c>
      <c r="D34" s="62" t="n">
        <v>1456.9119548785625</v>
      </c>
      <c r="E34" s="62">
        <f si="0" t="shared"/>
        <v>2070.7594068990825</v>
      </c>
      <c r="F34" s="68">
        <f si="2" t="shared"/>
        <v>8.3958203752895338E-3</v>
      </c>
      <c r="G34">
        <v>23</v>
      </c>
      <c r="H34" s="62" t="n">
        <v>1722.0</v>
      </c>
      <c r="I34" s="62" t="n">
        <v>976.0</v>
      </c>
      <c r="J34" s="64" t="n">
        <v>756.0</v>
      </c>
      <c r="K34" s="62">
        <f si="1" t="shared"/>
        <v>3402</v>
      </c>
      <c r="L34" s="68">
        <f si="3" t="shared"/>
        <v>1.1176708291855984E-2</v>
      </c>
    </row>
    <row r="35" spans="1:12" x14ac:dyDescent="0.25">
      <c r="A35">
        <v>24</v>
      </c>
      <c r="B35" s="62" t="n">
        <v>2601.901216692639</v>
      </c>
      <c r="C35" s="62" t="n">
        <v>1120.887597900089</v>
      </c>
      <c r="D35" s="62" t="n">
        <v>645.4818746393332</v>
      </c>
      <c r="E35" s="62">
        <f si="0" t="shared"/>
        <v>4368.2706892320612</v>
      </c>
      <c r="F35" s="68">
        <f si="2" t="shared"/>
        <v>1.7710998165815381E-2</v>
      </c>
      <c r="G35">
        <v>24</v>
      </c>
      <c r="H35" s="62" t="n">
        <v>1469.0</v>
      </c>
      <c r="I35" s="62" t="n">
        <v>802.0</v>
      </c>
      <c r="J35" s="64" t="n">
        <v>652.0</v>
      </c>
      <c r="K35" s="62">
        <f si="1" t="shared"/>
        <v>3157</v>
      </c>
      <c r="L35" s="68">
        <f si="3" t="shared"/>
        <v>1.0371801316105038E-2</v>
      </c>
    </row>
    <row r="36" spans="1:12" x14ac:dyDescent="0.25">
      <c r="A36">
        <v>25</v>
      </c>
      <c r="B36" s="62" t="n">
        <v>950.5211106230428</v>
      </c>
      <c r="C36" s="62" t="n">
        <v>602.1060710682924</v>
      </c>
      <c r="D36" s="62" t="n">
        <v>1699.3594201249139</v>
      </c>
      <c r="E36" s="62">
        <f si="0" t="shared"/>
        <v>3251.9866018162493</v>
      </c>
      <c r="F36" s="68">
        <f si="2" t="shared"/>
        <v>1.318506403048688E-2</v>
      </c>
      <c r="G36">
        <v>25</v>
      </c>
      <c r="H36" s="62" t="n">
        <v>1541.0</v>
      </c>
      <c r="I36" s="62" t="n">
        <v>920.0</v>
      </c>
      <c r="J36" s="64" t="n">
        <v>628.0</v>
      </c>
      <c r="K36" s="62">
        <f si="1" t="shared"/>
        <v>3177</v>
      </c>
      <c r="L36" s="68">
        <f si="3" t="shared"/>
        <v>1.0437508008003075E-2</v>
      </c>
    </row>
    <row r="37" spans="1:12" x14ac:dyDescent="0.25">
      <c r="A37">
        <v>26</v>
      </c>
      <c r="B37" s="62" t="n">
        <v>1796.0216958682697</v>
      </c>
      <c r="C37" s="62" t="n">
        <v>0.0</v>
      </c>
      <c r="D37" s="62" t="n">
        <v>1841.082754781405</v>
      </c>
      <c r="E37" s="62">
        <f si="0" t="shared"/>
        <v>3637.1044506496746</v>
      </c>
      <c r="F37" s="68">
        <f si="2" t="shared"/>
        <v>1.4746510653088617E-2</v>
      </c>
      <c r="G37">
        <v>26</v>
      </c>
      <c r="H37" s="62" t="n">
        <v>1276.0</v>
      </c>
      <c r="I37" s="62" t="n">
        <v>810.0</v>
      </c>
      <c r="J37" s="64" t="n">
        <v>671.0</v>
      </c>
      <c r="K37" s="62">
        <f si="1" t="shared"/>
        <v>2520</v>
      </c>
      <c r="L37" s="68">
        <f si="3" t="shared"/>
        <v>8.2790431791525815E-3</v>
      </c>
    </row>
    <row r="38" spans="1:12" x14ac:dyDescent="0.25">
      <c r="A38">
        <v>27</v>
      </c>
      <c r="B38" s="62" t="n">
        <v>1543.548573507662</v>
      </c>
      <c r="C38" s="62" t="n">
        <v>105.181536382843</v>
      </c>
      <c r="D38" s="62" t="n">
        <v>409.07407263161184</v>
      </c>
      <c r="E38" s="62">
        <f si="0" t="shared"/>
        <v>2057.8041825221167</v>
      </c>
      <c r="F38" s="68">
        <f si="2" t="shared"/>
        <v>8.3432938787645437E-3</v>
      </c>
      <c r="G38">
        <v>27</v>
      </c>
      <c r="H38" s="62" t="n">
        <v>1219.0</v>
      </c>
      <c r="I38" s="62" t="n">
        <v>679.0</v>
      </c>
      <c r="J38" s="64" t="n">
        <v>710.0</v>
      </c>
      <c r="K38" s="62">
        <f si="1" t="shared"/>
        <v>2867</v>
      </c>
      <c r="L38" s="68">
        <f si="3" t="shared"/>
        <v>9.4190542835835122E-3</v>
      </c>
    </row>
    <row r="39" spans="1:12" x14ac:dyDescent="0.25">
      <c r="A39">
        <v>28</v>
      </c>
      <c r="B39" s="62" t="n">
        <v>1096.977955535649</v>
      </c>
      <c r="C39" s="62" t="n">
        <v>1391.81390904726</v>
      </c>
      <c r="D39" s="62" t="n">
        <v>77.947185730014</v>
      </c>
      <c r="E39" s="62">
        <f si="0" t="shared"/>
        <v>2566.7390503129232</v>
      </c>
      <c r="F39" s="68">
        <f si="2" t="shared"/>
        <v>1.0406752201569872E-2</v>
      </c>
      <c r="G39">
        <v>28</v>
      </c>
      <c r="H39" s="62" t="n">
        <v>1306.0</v>
      </c>
      <c r="I39" s="62" t="n">
        <v>685.0</v>
      </c>
      <c r="J39" s="64" t="n">
        <v>648.0</v>
      </c>
      <c r="K39" s="62">
        <f si="1" t="shared"/>
        <v>2524</v>
      </c>
      <c r="L39" s="68">
        <f si="3" t="shared"/>
        <v>8.2921845175321883E-3</v>
      </c>
    </row>
    <row r="40" spans="1:12" x14ac:dyDescent="0.25">
      <c r="A40">
        <v>29</v>
      </c>
      <c r="B40" s="62" t="n">
        <v>707.7066488180589</v>
      </c>
      <c r="C40" s="62" t="n">
        <v>416.452345823069</v>
      </c>
      <c r="D40" s="62" t="n">
        <v>722.771447083753</v>
      </c>
      <c r="E40" s="62">
        <f si="0" t="shared"/>
        <v>1846.9304417248807</v>
      </c>
      <c r="F40" s="68">
        <f si="2" t="shared"/>
        <v>7.4883137957571302E-3</v>
      </c>
      <c r="G40">
        <v>29</v>
      </c>
      <c r="H40" s="62" t="n">
        <v>1084.0</v>
      </c>
      <c r="I40" s="62" t="n">
        <v>602.0</v>
      </c>
      <c r="J40" s="64" t="n">
        <v>878.0</v>
      </c>
      <c r="K40" s="62">
        <f si="1" t="shared"/>
        <v>2404</v>
      </c>
      <c r="L40" s="68">
        <f si="3" t="shared"/>
        <v>7.8979443661439698E-3</v>
      </c>
    </row>
    <row r="41" spans="1:12" x14ac:dyDescent="0.25">
      <c r="A41">
        <v>30</v>
      </c>
      <c r="B41" s="62" t="n">
        <v>382.0300843130934</v>
      </c>
      <c r="C41" s="62" t="n">
        <v>550.456874710415</v>
      </c>
      <c r="D41" s="62" t="n">
        <v>0.0</v>
      </c>
      <c r="E41" s="62">
        <f si="0" t="shared"/>
        <v>932.48695902350846</v>
      </c>
      <c r="F41" s="68">
        <f si="2" t="shared"/>
        <v>3.7807352144231458E-3</v>
      </c>
      <c r="G41">
        <v>30</v>
      </c>
      <c r="H41" s="62" t="n">
        <v>1021.0</v>
      </c>
      <c r="I41" s="62" t="n">
        <v>502.0</v>
      </c>
      <c r="J41" s="64" t="n">
        <v>516.0</v>
      </c>
      <c r="K41" s="62">
        <f si="1" t="shared"/>
        <v>2375</v>
      </c>
      <c r="L41" s="68">
        <f si="3" t="shared"/>
        <v>7.8026696628918169E-3</v>
      </c>
    </row>
    <row r="42" spans="1:12" x14ac:dyDescent="0.25">
      <c r="A42">
        <v>31</v>
      </c>
      <c r="B42" s="62" t="n">
        <v>840.4059111117081</v>
      </c>
      <c r="C42" s="62" t="n">
        <v>0.0</v>
      </c>
      <c r="D42" s="62" t="n">
        <v>378.48302782756826</v>
      </c>
      <c r="E42" s="62">
        <f si="0" t="shared"/>
        <v>1218.8889389392764</v>
      </c>
      <c r="F42" s="68">
        <f si="2" t="shared"/>
        <v>4.9419418570146555E-3</v>
      </c>
      <c r="G42">
        <v>31</v>
      </c>
      <c r="H42" s="62" t="n">
        <v>1020.0</v>
      </c>
      <c r="I42" s="62" t="n">
        <v>503.0</v>
      </c>
      <c r="J42" s="64" t="n">
        <v>651.0</v>
      </c>
      <c r="K42" s="62">
        <f si="1" t="shared"/>
        <v>1999</v>
      </c>
      <c r="L42" s="68">
        <f si="3" t="shared"/>
        <v>6.5673838552087341E-3</v>
      </c>
    </row>
    <row r="43" spans="1:12" x14ac:dyDescent="0.25">
      <c r="A43">
        <v>32</v>
      </c>
      <c r="B43" s="62" t="n">
        <v>505.09706913748437</v>
      </c>
      <c r="C43" s="62" t="n">
        <v>0.0</v>
      </c>
      <c r="D43" s="62" t="n">
        <v>631.2115433154411</v>
      </c>
      <c r="E43" s="62">
        <f ref="E43:E74" si="4" t="shared">SUM(B43:D43)</f>
        <v>1136.3086124529254</v>
      </c>
      <c r="F43" s="68">
        <f si="2" t="shared"/>
        <v>4.6071228599828306E-3</v>
      </c>
      <c r="G43">
        <v>32</v>
      </c>
      <c r="H43" s="62" t="n">
        <v>981.0</v>
      </c>
      <c r="I43" s="62" t="n">
        <v>482.0</v>
      </c>
      <c r="J43" s="64" t="n">
        <v>577.0</v>
      </c>
      <c r="K43" s="62">
        <f ref="K43:K74" si="5" t="shared">SUM(H43:J43)</f>
        <v>2108</v>
      </c>
      <c r="L43" s="68">
        <f si="3" t="shared"/>
        <v>6.9254853260530321E-3</v>
      </c>
    </row>
    <row r="44" spans="1:12" x14ac:dyDescent="0.25">
      <c r="A44">
        <v>33</v>
      </c>
      <c r="B44" s="62" t="n">
        <v>240.682396784839</v>
      </c>
      <c r="C44" s="62" t="n">
        <v>1440.60334635965</v>
      </c>
      <c r="D44" s="62" t="n">
        <v>0.0</v>
      </c>
      <c r="E44" s="62">
        <f si="4" t="shared"/>
        <v>1681.2857431444891</v>
      </c>
      <c r="F44" s="68">
        <f si="2" t="shared"/>
        <v>6.8167132559906482E-3</v>
      </c>
      <c r="G44">
        <v>33</v>
      </c>
      <c r="H44" s="62" t="n">
        <v>942.0</v>
      </c>
      <c r="I44" s="62" t="n">
        <v>455.0</v>
      </c>
      <c r="J44" s="64" t="n">
        <v>525.0</v>
      </c>
      <c r="K44" s="62">
        <f si="5" t="shared"/>
        <v>1942</v>
      </c>
      <c r="L44" s="68">
        <f si="3" t="shared"/>
        <v>6.38011978329933E-3</v>
      </c>
    </row>
    <row r="45" spans="1:12" x14ac:dyDescent="0.25">
      <c r="A45">
        <v>34</v>
      </c>
      <c r="B45" s="62" t="n">
        <v>1312.0961041845494</v>
      </c>
      <c r="C45" s="62" t="n">
        <v>0.0</v>
      </c>
      <c r="D45" s="62" t="n">
        <v>1743.88094746048</v>
      </c>
      <c r="E45" s="62">
        <f si="4" t="shared"/>
        <v>3055.9770516450294</v>
      </c>
      <c r="F45" s="68">
        <f si="2" t="shared"/>
        <v>1.2390350279774911E-2</v>
      </c>
      <c r="G45">
        <v>34</v>
      </c>
      <c r="H45" s="62" t="n">
        <v>892.0</v>
      </c>
      <c r="I45" s="62" t="n">
        <v>432.0</v>
      </c>
      <c r="J45" s="64" t="n">
        <v>651.0</v>
      </c>
      <c r="K45" s="62">
        <f si="5" t="shared"/>
        <v>1742</v>
      </c>
      <c r="L45" s="68">
        <f si="3" t="shared"/>
        <v>5.7230528643189664E-3</v>
      </c>
    </row>
    <row r="46" spans="1:12" x14ac:dyDescent="0.25">
      <c r="A46">
        <v>35</v>
      </c>
      <c r="B46" s="62" t="n">
        <v>79.1071057710219</v>
      </c>
      <c r="C46" s="62" t="n">
        <v>0.0</v>
      </c>
      <c r="D46" s="62" t="n">
        <v>0.0</v>
      </c>
      <c r="E46" s="62">
        <f si="4" t="shared"/>
        <v>79.107105771021907</v>
      </c>
      <c r="F46" s="68">
        <f si="2" t="shared"/>
        <v>3.2073694715558911E-4</v>
      </c>
      <c r="G46">
        <v>35</v>
      </c>
      <c r="H46" s="62" t="n">
        <v>840.0</v>
      </c>
      <c r="I46" s="62" t="n">
        <v>395.0</v>
      </c>
      <c r="J46" s="64" t="n">
        <v>599.0</v>
      </c>
      <c r="K46" s="62">
        <f si="5" t="shared"/>
        <v>1731</v>
      </c>
      <c r="L46" s="68">
        <f si="3" t="shared"/>
        <v>5.6869141837750468E-3</v>
      </c>
    </row>
    <row r="47" spans="1:12" x14ac:dyDescent="0.25">
      <c r="A47">
        <v>36</v>
      </c>
      <c r="B47" s="62" t="n">
        <v>236.211031774193</v>
      </c>
      <c r="C47" s="62" t="n">
        <v>226.397482863218</v>
      </c>
      <c r="D47" s="62" t="n">
        <v>825.195718359834</v>
      </c>
      <c r="E47" s="62">
        <f si="4" t="shared"/>
        <v>1287.804232997245</v>
      </c>
      <c r="F47" s="68">
        <f si="2" t="shared"/>
        <v>5.2213564660190896E-3</v>
      </c>
      <c r="G47">
        <v>36</v>
      </c>
      <c r="H47" s="62" t="n">
        <v>753.0</v>
      </c>
      <c r="I47" s="62" t="n">
        <v>322.0</v>
      </c>
      <c r="J47" s="64" t="n">
        <v>454.0</v>
      </c>
      <c r="K47" s="62">
        <f si="5" t="shared"/>
        <v>1815</v>
      </c>
      <c r="L47" s="68">
        <f si="3" t="shared"/>
        <v>5.9628822897467995E-3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94.661276099443</v>
      </c>
      <c r="E48" s="62">
        <f si="4" t="shared"/>
        <v>94.661276099443</v>
      </c>
      <c r="F48" s="68">
        <f si="2" t="shared"/>
        <v>3.8380077761749557E-4</v>
      </c>
      <c r="G48">
        <v>37</v>
      </c>
      <c r="H48" s="62" t="n">
        <v>803.0</v>
      </c>
      <c r="I48" s="62" t="n">
        <v>338.0</v>
      </c>
      <c r="J48" s="64" t="n">
        <v>504.0</v>
      </c>
      <c r="K48" s="62">
        <f si="5" t="shared"/>
        <v>1465</v>
      </c>
      <c r="L48" s="68">
        <f si="3" t="shared"/>
        <v>4.8130151815311628E-3</v>
      </c>
    </row>
    <row r="49" spans="1:12" x14ac:dyDescent="0.25">
      <c r="A49">
        <v>38</v>
      </c>
      <c r="B49" s="62" t="n">
        <v>252.3943202102808</v>
      </c>
      <c r="C49" s="62" t="n">
        <v>0.0</v>
      </c>
      <c r="D49" s="62" t="n">
        <v>369.9190799752245</v>
      </c>
      <c r="E49" s="62">
        <f si="4" t="shared"/>
        <v>622.31340018550532</v>
      </c>
      <c r="F49" s="68">
        <f si="2" t="shared"/>
        <v>2.5231475504521542E-3</v>
      </c>
      <c r="G49">
        <v>38</v>
      </c>
      <c r="H49" s="62" t="n">
        <v>746.0</v>
      </c>
      <c r="I49" s="62" t="n">
        <v>305.0</v>
      </c>
      <c r="J49" s="64" t="n">
        <v>710.0</v>
      </c>
      <c r="K49" s="62">
        <f si="5" t="shared"/>
        <v>1677</v>
      </c>
      <c r="L49" s="68">
        <f si="3" t="shared"/>
        <v>5.5095061156503486E-3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88.2035151475626</v>
      </c>
      <c r="E50" s="62">
        <f si="4" t="shared"/>
        <v>88.203515147562598</v>
      </c>
      <c r="F50" s="68">
        <f si="2" t="shared"/>
        <v>3.5761801548785869E-4</v>
      </c>
      <c r="G50">
        <v>39</v>
      </c>
      <c r="H50" s="62" t="n">
        <v>709.0</v>
      </c>
      <c r="I50" s="62" t="n">
        <v>265.0</v>
      </c>
      <c r="J50" s="64" t="n">
        <v>445.0</v>
      </c>
      <c r="K50" s="62">
        <f si="5" t="shared"/>
        <v>1444</v>
      </c>
      <c r="L50" s="68">
        <f si="3" t="shared"/>
        <v>4.7440231550382244E-3</v>
      </c>
    </row>
    <row r="51" spans="1:12" x14ac:dyDescent="0.25">
      <c r="A51">
        <v>40</v>
      </c>
      <c r="B51" s="62" t="n">
        <v>45.4464015281568</v>
      </c>
      <c r="C51" s="62" t="n">
        <v>277.4739918008205</v>
      </c>
      <c r="D51" s="62" t="n">
        <v>444.2224170504966</v>
      </c>
      <c r="E51" s="62">
        <f si="4" t="shared"/>
        <v>767.14281037947387</v>
      </c>
      <c r="F51" s="68">
        <f si="2" t="shared"/>
        <v>3.110353243685519E-3</v>
      </c>
      <c r="G51">
        <v>40</v>
      </c>
      <c r="H51" s="62" t="n">
        <v>693.0</v>
      </c>
      <c r="I51" s="62" t="n">
        <v>256.0</v>
      </c>
      <c r="J51" s="64" t="n">
        <v>336.0</v>
      </c>
      <c r="K51" s="62">
        <f si="5" t="shared"/>
        <v>1328</v>
      </c>
      <c r="L51" s="68">
        <f si="3" t="shared"/>
        <v>4.3629243420296136E-3</v>
      </c>
    </row>
    <row r="52" spans="1:12" x14ac:dyDescent="0.25">
      <c r="A52">
        <v>41</v>
      </c>
      <c r="B52" s="62" t="n">
        <v>102.283514358069</v>
      </c>
      <c r="C52" s="62" t="n">
        <v>0.0</v>
      </c>
      <c r="D52" s="62" t="n">
        <v>326.1819038607861</v>
      </c>
      <c r="E52" s="62">
        <f si="4" t="shared"/>
        <v>428.46541821885512</v>
      </c>
      <c r="F52" s="68">
        <f si="2" t="shared"/>
        <v>1.7371978011563025E-3</v>
      </c>
      <c r="G52">
        <v>41</v>
      </c>
      <c r="H52" s="62" t="n">
        <v>659.0</v>
      </c>
      <c r="I52" s="62" t="n">
        <v>244.0</v>
      </c>
      <c r="J52" s="64" t="n">
        <v>405.0</v>
      </c>
      <c r="K52" s="62">
        <f si="5" t="shared"/>
        <v>1465</v>
      </c>
      <c r="L52" s="68">
        <f si="3" t="shared"/>
        <v>4.8130151815311628E-3</v>
      </c>
    </row>
    <row r="53" spans="1:12" x14ac:dyDescent="0.25">
      <c r="A53">
        <v>42</v>
      </c>
      <c r="B53" s="62" t="n">
        <v>44.8395879111538</v>
      </c>
      <c r="C53" s="62" t="n">
        <v>0.0</v>
      </c>
      <c r="D53" s="62" t="n">
        <v>67.5275161034971</v>
      </c>
      <c r="E53" s="62">
        <f si="4" t="shared"/>
        <v>112.36710401465091</v>
      </c>
      <c r="F53" s="68">
        <f si="2" t="shared"/>
        <v>4.5558842724815947E-4</v>
      </c>
      <c r="G53">
        <v>42</v>
      </c>
      <c r="H53" s="62" t="n">
        <v>656.0</v>
      </c>
      <c r="I53" s="62" t="n">
        <v>248.0</v>
      </c>
      <c r="J53" s="64" t="n">
        <v>460.0</v>
      </c>
      <c r="K53" s="62">
        <f si="5" t="shared"/>
        <v>1151</v>
      </c>
      <c r="L53" s="68">
        <f si="3" t="shared"/>
        <v>3.7814201187319923E-3</v>
      </c>
    </row>
    <row r="54" spans="1:12" x14ac:dyDescent="0.25">
      <c r="A54">
        <v>43</v>
      </c>
      <c r="B54" s="62" t="n">
        <v>749.45542913892</v>
      </c>
      <c r="C54" s="62" t="n">
        <v>0.0</v>
      </c>
      <c r="D54" s="62" t="n">
        <v>1080.91994358924</v>
      </c>
      <c r="E54" s="62">
        <f si="4" t="shared"/>
        <v>1830.3753727281598</v>
      </c>
      <c r="F54" s="68">
        <f si="2" t="shared"/>
        <v>7.4211918572383859E-3</v>
      </c>
      <c r="G54">
        <v>43</v>
      </c>
      <c r="H54" s="62" t="n">
        <v>600.0</v>
      </c>
      <c r="I54" s="62" t="n">
        <v>239.0</v>
      </c>
      <c r="J54" s="64" t="n">
        <v>345.0</v>
      </c>
      <c r="K54" s="62">
        <f si="5" t="shared"/>
        <v>1267</v>
      </c>
      <c r="L54" s="68">
        <f si="3" t="shared"/>
        <v>4.1625189317406035E-3</v>
      </c>
    </row>
    <row r="55" spans="1:12" x14ac:dyDescent="0.25">
      <c r="A55">
        <v>44</v>
      </c>
      <c r="B55" s="62" t="n">
        <v>106.9226918429956</v>
      </c>
      <c r="C55" s="62" t="n">
        <v>87.8600882386326</v>
      </c>
      <c r="D55" s="62" t="n">
        <v>100.543873870695</v>
      </c>
      <c r="E55" s="62">
        <f si="4" t="shared"/>
        <v>295.32665395232323</v>
      </c>
      <c r="F55" s="68">
        <f si="2" t="shared"/>
        <v>1.1973914160950301E-3</v>
      </c>
      <c r="G55">
        <v>44</v>
      </c>
      <c r="H55" s="62" t="n">
        <v>605.0</v>
      </c>
      <c r="I55" s="62" t="n">
        <v>224.0</v>
      </c>
      <c r="J55" s="64" t="n">
        <v>367.0</v>
      </c>
      <c r="K55" s="62">
        <f si="5" t="shared"/>
        <v>1295</v>
      </c>
      <c r="L55" s="68">
        <f si="3" t="shared"/>
        <v>4.2545083003978539E-3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123.43746548849899</v>
      </c>
      <c r="E56" s="62">
        <f si="4" t="shared"/>
        <v>123.43746548849899</v>
      </c>
      <c r="F56" s="68">
        <f si="2" t="shared"/>
        <v>5.0047281416162361E-4</v>
      </c>
      <c r="G56">
        <v>45</v>
      </c>
      <c r="H56" s="62" t="n">
        <v>509.0</v>
      </c>
      <c r="I56" s="62" t="n">
        <v>204.0</v>
      </c>
      <c r="J56" s="64" t="n">
        <v>453.0</v>
      </c>
      <c r="K56" s="62">
        <f si="5" t="shared"/>
        <v>1048</v>
      </c>
      <c r="L56" s="68">
        <f si="3" t="shared"/>
        <v>3.443030655457105E-3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44.2965143082149</v>
      </c>
      <c r="E57" s="62">
        <f si="4" t="shared"/>
        <v>44.296514308214903</v>
      </c>
      <c r="F57" s="68">
        <f si="2" t="shared"/>
        <v>1.7959864199778555E-4</v>
      </c>
      <c r="G57">
        <v>46</v>
      </c>
      <c r="H57" s="62" t="n">
        <v>524.0</v>
      </c>
      <c r="I57" s="62" t="n">
        <v>202.0</v>
      </c>
      <c r="J57" s="64" t="n">
        <v>497.0</v>
      </c>
      <c r="K57" s="62">
        <f si="5" t="shared"/>
        <v>1299</v>
      </c>
      <c r="L57" s="68">
        <f si="3" t="shared"/>
        <v>4.2676496387774616E-3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514.0</v>
      </c>
      <c r="I58" s="62" t="n">
        <v>196.0</v>
      </c>
      <c r="J58" s="64" t="n">
        <v>420.0</v>
      </c>
      <c r="K58" s="62">
        <f si="5" t="shared"/>
        <v>1181</v>
      </c>
      <c r="L58" s="68">
        <f si="3" t="shared"/>
        <v>3.8799801565790469E-3</v>
      </c>
    </row>
    <row r="59" spans="1:12" x14ac:dyDescent="0.25">
      <c r="A59">
        <v>48</v>
      </c>
      <c r="B59" s="62" t="n">
        <v>0.0</v>
      </c>
      <c r="C59" s="62" t="n">
        <v>801.3551720693459</v>
      </c>
      <c r="D59" s="62" t="n">
        <v>208.1481771517988</v>
      </c>
      <c r="E59" s="62">
        <f si="4" t="shared"/>
        <v>1009.5033492211447</v>
      </c>
      <c r="F59" s="68">
        <f si="2" t="shared"/>
        <v>4.0929954296361039E-3</v>
      </c>
      <c r="G59">
        <v>48</v>
      </c>
      <c r="H59" s="62" t="n">
        <v>506.0</v>
      </c>
      <c r="I59" s="62" t="n">
        <v>186.0</v>
      </c>
      <c r="J59" s="64" t="n">
        <v>431.0</v>
      </c>
      <c r="K59" s="62">
        <f si="5" t="shared"/>
        <v>967</v>
      </c>
      <c r="L59" s="68">
        <f si="3" t="shared"/>
        <v>3.1769185532700577E-3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338.9047451199295</v>
      </c>
      <c r="E60" s="62">
        <f si="4" t="shared"/>
        <v>338.90474511992949</v>
      </c>
      <c r="F60" s="68">
        <f si="2" t="shared"/>
        <v>1.3740772370176555E-3</v>
      </c>
      <c r="G60">
        <v>49</v>
      </c>
      <c r="H60" s="62" t="n">
        <v>523.0</v>
      </c>
      <c r="I60" s="62" t="n">
        <v>190.0</v>
      </c>
      <c r="J60" s="64" t="n">
        <v>495.0</v>
      </c>
      <c r="K60" s="62">
        <f si="5" t="shared"/>
        <v>1154</v>
      </c>
      <c r="L60" s="68">
        <f si="3" t="shared"/>
        <v>3.7912761225166978E-3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366.0846543289914</v>
      </c>
      <c r="E61" s="62">
        <f si="4" t="shared"/>
        <v>366.08465432899141</v>
      </c>
      <c r="F61" s="68">
        <f si="2" t="shared"/>
        <v>1.4842772123386334E-3</v>
      </c>
      <c r="G61">
        <v>50</v>
      </c>
      <c r="H61" s="62" t="n">
        <v>501.0</v>
      </c>
      <c r="I61" s="62" t="n">
        <v>160.0</v>
      </c>
      <c r="J61" s="64" t="n">
        <v>407.0</v>
      </c>
      <c r="K61" s="62">
        <f si="5" t="shared"/>
        <v>1080</v>
      </c>
      <c r="L61" s="68">
        <f si="3" t="shared"/>
        <v>3.548161362493963E-3</v>
      </c>
    </row>
    <row r="62" spans="1:12" x14ac:dyDescent="0.25">
      <c r="A62">
        <v>51</v>
      </c>
      <c r="B62" s="62" t="n">
        <v>1081.667159112532</v>
      </c>
      <c r="C62" s="62" t="n">
        <v>0.0</v>
      </c>
      <c r="D62" s="62" t="n">
        <v>687.418416161915</v>
      </c>
      <c r="E62" s="62">
        <f si="4" t="shared"/>
        <v>1769.0855752744471</v>
      </c>
      <c r="F62" s="68">
        <f si="2" t="shared"/>
        <v>7.1726945530393334E-3</v>
      </c>
      <c r="G62">
        <v>51</v>
      </c>
      <c r="H62" s="62" t="n">
        <v>437.0</v>
      </c>
      <c r="I62" s="62" t="n">
        <v>157.0</v>
      </c>
      <c r="J62" s="64" t="n">
        <v>484.0</v>
      </c>
      <c r="K62" s="62">
        <f si="5" t="shared"/>
        <v>1134</v>
      </c>
      <c r="L62" s="68">
        <f si="3" t="shared"/>
        <v>3.7255694306186611E-3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70.0085799688365</v>
      </c>
      <c r="E63" s="62">
        <f si="4" t="shared"/>
        <v>70.0085799688365</v>
      </c>
      <c r="F63" s="68">
        <f si="2" t="shared"/>
        <v>2.8384729785080695E-4</v>
      </c>
      <c r="G63">
        <v>52</v>
      </c>
      <c r="H63" s="62" t="n">
        <v>458.0</v>
      </c>
      <c r="I63" s="62" t="n">
        <v>127.0</v>
      </c>
      <c r="J63" s="64" t="n">
        <v>433.0</v>
      </c>
      <c r="K63" s="62">
        <f si="5" t="shared"/>
        <v>1055</v>
      </c>
      <c r="L63" s="68">
        <f si="3" t="shared"/>
        <v>3.4660279976214178E-3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652.230303408683</v>
      </c>
      <c r="E64" s="62">
        <f si="4" t="shared"/>
        <v>652.23030340868297</v>
      </c>
      <c r="F64" s="68">
        <f si="2" t="shared"/>
        <v>2.6444445706708631E-3</v>
      </c>
      <c r="G64">
        <v>53</v>
      </c>
      <c r="H64" s="62" t="n">
        <v>429.0</v>
      </c>
      <c r="I64" s="62" t="n">
        <v>164.0</v>
      </c>
      <c r="J64" s="64" t="n">
        <v>543.0</v>
      </c>
      <c r="K64" s="62">
        <f si="5" t="shared"/>
        <v>1128</v>
      </c>
      <c r="L64" s="68">
        <f si="3" t="shared"/>
        <v>3.7058574230492505E-3</v>
      </c>
    </row>
    <row r="65" spans="1:12" x14ac:dyDescent="0.25">
      <c r="A65">
        <v>54</v>
      </c>
      <c r="B65" s="62" t="n">
        <v>0.0</v>
      </c>
      <c r="C65" s="62" t="n">
        <v>288.16258749818</v>
      </c>
      <c r="D65" s="62" t="n">
        <v>305.648471193249</v>
      </c>
      <c r="E65" s="62">
        <f si="4" t="shared"/>
        <v>593.81105869142903</v>
      </c>
      <c r="F65" s="68">
        <f si="2" t="shared"/>
        <v>2.4075858204596905E-3</v>
      </c>
      <c r="G65">
        <v>54</v>
      </c>
      <c r="H65" s="62" t="n">
        <v>377.0</v>
      </c>
      <c r="I65" s="62" t="n">
        <v>147.0</v>
      </c>
      <c r="J65" s="64" t="n">
        <v>429.0</v>
      </c>
      <c r="K65" s="62">
        <f si="5" t="shared"/>
        <v>984</v>
      </c>
      <c r="L65" s="68">
        <f si="3" t="shared"/>
        <v>3.2327692413833889E-3</v>
      </c>
    </row>
    <row r="66" spans="1:12" x14ac:dyDescent="0.25">
      <c r="A66">
        <v>55</v>
      </c>
      <c r="B66" s="62" t="n">
        <v>50.3163281591207</v>
      </c>
      <c r="C66" s="62" t="n">
        <v>107.823473188872</v>
      </c>
      <c r="D66" s="62" t="n">
        <v>313.9795905245028</v>
      </c>
      <c r="E66" s="62">
        <f si="4" t="shared"/>
        <v>472.1193918724955</v>
      </c>
      <c r="F66" s="68">
        <f si="2" t="shared"/>
        <v>1.9141912849200337E-3</v>
      </c>
      <c r="G66">
        <v>55</v>
      </c>
      <c r="H66" s="62" t="n">
        <v>404.0</v>
      </c>
      <c r="I66" s="62" t="n">
        <v>133.0</v>
      </c>
      <c r="J66" s="64" t="n">
        <v>493.0</v>
      </c>
      <c r="K66" s="62">
        <f si="5" t="shared"/>
        <v>1020</v>
      </c>
      <c r="L66" s="68">
        <f si="3" t="shared"/>
        <v>3.3510412867998542E-3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84.011028643132</v>
      </c>
      <c r="E67" s="62">
        <f si="4" t="shared"/>
        <v>84.011028643131993</v>
      </c>
      <c r="F67" s="68">
        <f si="2" t="shared"/>
        <v>3.4061972804811443E-4</v>
      </c>
      <c r="G67">
        <v>56</v>
      </c>
      <c r="H67" s="62" t="n">
        <v>386.0</v>
      </c>
      <c r="I67" s="62" t="n">
        <v>135.0</v>
      </c>
      <c r="J67" s="64" t="n">
        <v>523.0</v>
      </c>
      <c r="K67" s="62">
        <f si="5" t="shared"/>
        <v>915</v>
      </c>
      <c r="L67" s="68">
        <f si="3" t="shared"/>
        <v>3.0060811543351634E-3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362.0</v>
      </c>
      <c r="I68" s="62" t="n">
        <v>117.0</v>
      </c>
      <c r="J68" s="64" t="n">
        <v>630.0</v>
      </c>
      <c r="K68" s="62">
        <f si="5" t="shared"/>
        <v>1157</v>
      </c>
      <c r="L68" s="68">
        <f si="3" t="shared"/>
        <v>3.801132126301403E-3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22.7699420272825</v>
      </c>
      <c r="E69" s="62">
        <f si="4" t="shared"/>
        <v>22.7699420272825</v>
      </c>
      <c r="F69" s="68">
        <f si="2" t="shared"/>
        <v>9.2319920208932608E-5</v>
      </c>
      <c r="G69">
        <v>58</v>
      </c>
      <c r="H69" s="62" t="n">
        <v>367.0</v>
      </c>
      <c r="I69" s="62" t="n">
        <v>128.0</v>
      </c>
      <c r="J69" s="64" t="n">
        <v>570.0</v>
      </c>
      <c r="K69" s="62">
        <f si="5" t="shared"/>
        <v>1094</v>
      </c>
      <c r="L69" s="68">
        <f si="3" t="shared"/>
        <v>3.5941560468225886E-3</v>
      </c>
    </row>
    <row r="70" spans="1:12" x14ac:dyDescent="0.25">
      <c r="A70">
        <v>59</v>
      </c>
      <c r="B70" s="62" t="n">
        <v>0.0</v>
      </c>
      <c r="C70" s="62" t="n">
        <v>507.647858760398</v>
      </c>
      <c r="D70" s="62" t="n">
        <v>428.2754139525668</v>
      </c>
      <c r="E70" s="62">
        <f si="4" t="shared"/>
        <v>935.92327271296472</v>
      </c>
      <c r="F70" s="68">
        <f si="2" t="shared"/>
        <v>3.7946676260754617E-3</v>
      </c>
      <c r="G70">
        <v>59</v>
      </c>
      <c r="H70" s="62" t="n">
        <v>334.0</v>
      </c>
      <c r="I70" s="62" t="n">
        <v>109.0</v>
      </c>
      <c r="J70" s="64" t="n">
        <v>654.0</v>
      </c>
      <c r="K70" s="62">
        <f si="5" t="shared"/>
        <v>976</v>
      </c>
      <c r="L70" s="68">
        <f si="3" t="shared"/>
        <v>3.2064865646241739E-3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336.0</v>
      </c>
      <c r="I71" s="62" t="n">
        <v>105.0</v>
      </c>
      <c r="J71" s="64" t="n">
        <v>455.0</v>
      </c>
      <c r="K71" s="62">
        <f si="5" t="shared"/>
        <v>1023</v>
      </c>
      <c r="L71" s="68">
        <f si="3" t="shared"/>
        <v>3.3608972905845597E-3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66.4095707402952</v>
      </c>
      <c r="E72" s="62">
        <f si="4" t="shared"/>
        <v>66.409570740295194</v>
      </c>
      <c r="F72" s="68">
        <f si="2" t="shared"/>
        <v>2.6925524292102112E-4</v>
      </c>
      <c r="G72">
        <v>61</v>
      </c>
      <c r="H72" s="62" t="n">
        <v>302.0</v>
      </c>
      <c r="I72" s="62" t="n">
        <v>102.0</v>
      </c>
      <c r="J72" s="64" t="n">
        <v>532.0</v>
      </c>
      <c r="K72" s="62">
        <f si="5" t="shared"/>
        <v>952</v>
      </c>
      <c r="L72" s="68">
        <f si="3" t="shared"/>
        <v>3.1276385343465304E-3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794.592935316507</v>
      </c>
      <c r="E73" s="62">
        <f si="4" t="shared"/>
        <v>794.59293531650701</v>
      </c>
      <c r="F73" s="68">
        <f si="2" t="shared"/>
        <v>3.2216487990661918E-3</v>
      </c>
      <c r="G73">
        <v>62</v>
      </c>
      <c r="H73" s="62" t="n">
        <v>289.0</v>
      </c>
      <c r="I73" s="62" t="n">
        <v>95.0</v>
      </c>
      <c r="J73" s="64" t="n">
        <v>549.0</v>
      </c>
      <c r="K73" s="62">
        <f si="5" t="shared"/>
        <v>1056</v>
      </c>
      <c r="L73" s="68">
        <f si="3" t="shared"/>
        <v>3.4693133322163195E-3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294.0</v>
      </c>
      <c r="I74" s="62" t="n">
        <v>101.0</v>
      </c>
      <c r="J74" s="64" t="n">
        <v>667.0</v>
      </c>
      <c r="K74" s="62">
        <f si="5" t="shared"/>
        <v>1027</v>
      </c>
      <c r="L74" s="68">
        <f si="3" t="shared"/>
        <v>3.374038628964167E-3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174.3018121259475</v>
      </c>
      <c r="E75" s="62">
        <f ref="E75:E101" si="6" t="shared">SUM(B75:D75)</f>
        <v>174.30181212594749</v>
      </c>
      <c r="F75" s="68">
        <f si="2" t="shared"/>
        <v>7.0670049877418557E-4</v>
      </c>
      <c r="G75">
        <v>64</v>
      </c>
      <c r="H75" s="62" t="n">
        <v>271.0</v>
      </c>
      <c r="I75" s="62" t="n">
        <v>97.0</v>
      </c>
      <c r="J75" s="64" t="n">
        <v>512.0</v>
      </c>
      <c r="K75" s="62">
        <f ref="K75:K101" si="7" t="shared">SUM(H75:J75)</f>
        <v>899</v>
      </c>
      <c r="L75" s="68">
        <f si="3" t="shared"/>
        <v>2.953515800816734E-3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178.423663881329</v>
      </c>
      <c r="E76" s="62">
        <f si="6" t="shared"/>
        <v>178.42366388132899</v>
      </c>
      <c r="F76" s="68">
        <f ref="F76:F101" si="8" t="shared">E76/SUM($E$11:$E$100)</f>
        <v>7.2341240013581076E-4</v>
      </c>
      <c r="G76">
        <v>65</v>
      </c>
      <c r="H76" s="62" t="n">
        <v>300.0</v>
      </c>
      <c r="I76" s="62" t="n">
        <v>86.0</v>
      </c>
      <c r="J76" s="64" t="n">
        <v>465.0</v>
      </c>
      <c r="K76" s="62">
        <f si="7" t="shared"/>
        <v>690</v>
      </c>
      <c r="L76" s="68">
        <f ref="L76:L101" si="9" t="shared">K76/SUM($K$11:$K$101)</f>
        <v>2.2668808704822542E-3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226.0</v>
      </c>
      <c r="I77" s="62" t="n">
        <v>76.0</v>
      </c>
      <c r="J77" s="64" t="n">
        <v>312.0</v>
      </c>
      <c r="K77" s="62">
        <f si="7" t="shared"/>
        <v>676</v>
      </c>
      <c r="L77" s="68">
        <f si="9" t="shared"/>
        <v>2.220886186153629E-3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293.355380734191</v>
      </c>
      <c r="E78" s="62">
        <f si="6" t="shared"/>
        <v>293.35538073419099</v>
      </c>
      <c r="F78" s="68">
        <f si="8" t="shared"/>
        <v>1.1893989589341852E-3</v>
      </c>
      <c r="G78">
        <v>67</v>
      </c>
      <c r="H78" s="62" t="n">
        <v>261.0</v>
      </c>
      <c r="I78" s="62" t="n">
        <v>69.0</v>
      </c>
      <c r="J78" s="64" t="n">
        <v>451.0</v>
      </c>
      <c r="K78" s="62">
        <f si="7" t="shared"/>
        <v>720</v>
      </c>
      <c r="L78" s="68">
        <f si="9" t="shared"/>
        <v>2.3654409083293088E-3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219.0</v>
      </c>
      <c r="I79" s="62" t="n">
        <v>61.0</v>
      </c>
      <c r="J79" s="64" t="n">
        <v>318.0</v>
      </c>
      <c r="K79" s="62">
        <f si="7" t="shared"/>
        <v>738</v>
      </c>
      <c r="L79" s="68">
        <f si="9" t="shared"/>
        <v>2.4245769310375417E-3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252.0</v>
      </c>
      <c r="I80" s="62" t="n">
        <v>52.0</v>
      </c>
      <c r="J80" s="64" t="n">
        <v>360.0</v>
      </c>
      <c r="K80" s="62">
        <f si="7" t="shared"/>
        <v>669</v>
      </c>
      <c r="L80" s="68">
        <f si="9" t="shared"/>
        <v>2.1978888439893162E-3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210.0</v>
      </c>
      <c r="I81" s="62" t="n">
        <v>71.0</v>
      </c>
      <c r="J81" s="64" t="n">
        <v>400.0</v>
      </c>
      <c r="K81" s="62">
        <f si="7" t="shared"/>
        <v>588</v>
      </c>
      <c r="L81" s="68">
        <f si="9" t="shared"/>
        <v>1.9317767418022688E-3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300.5494559633405</v>
      </c>
      <c r="E82" s="62">
        <f si="6" t="shared"/>
        <v>300.54945596334051</v>
      </c>
      <c r="F82" s="68">
        <f si="8" t="shared"/>
        <v>1.2185670811163305E-3</v>
      </c>
      <c r="G82">
        <v>71</v>
      </c>
      <c r="H82" s="62" t="n">
        <v>192.0</v>
      </c>
      <c r="I82" s="62" t="n">
        <v>67.0</v>
      </c>
      <c r="J82" s="64" t="n">
        <v>369.0</v>
      </c>
      <c r="K82" s="62">
        <f si="7" t="shared"/>
        <v>639</v>
      </c>
      <c r="L82" s="68">
        <f si="9" t="shared"/>
        <v>2.0993288061422616E-3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194.0</v>
      </c>
      <c r="I83" s="62" t="n">
        <v>54.0</v>
      </c>
      <c r="J83" s="64" t="n">
        <v>407.0</v>
      </c>
      <c r="K83" s="62">
        <f si="7" t="shared"/>
        <v>600</v>
      </c>
      <c r="L83" s="68">
        <f si="9" t="shared"/>
        <v>1.9712007569410907E-3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24.4463447795067</v>
      </c>
      <c r="E84" s="62">
        <f si="6" t="shared"/>
        <v>24.446344779506699</v>
      </c>
      <c r="F84" s="68">
        <f si="8" t="shared"/>
        <v>9.9116835551884996E-5</v>
      </c>
      <c r="G84">
        <v>73</v>
      </c>
      <c r="H84" s="62" t="n">
        <v>174.0</v>
      </c>
      <c r="I84" s="62" t="n">
        <v>53.0</v>
      </c>
      <c r="J84" s="64" t="n">
        <v>378.0</v>
      </c>
      <c r="K84" s="62">
        <f si="7" t="shared"/>
        <v>617</v>
      </c>
      <c r="L84" s="68">
        <f si="9" t="shared"/>
        <v>2.0270514450544215E-3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53.7405419735351</v>
      </c>
      <c r="E85" s="62">
        <f si="6" t="shared"/>
        <v>53.740541973535102</v>
      </c>
      <c r="F85" s="68">
        <f si="8" t="shared"/>
        <v>2.1788911631997104E-4</v>
      </c>
      <c r="G85">
        <v>74</v>
      </c>
      <c r="H85" s="62" t="n">
        <v>201.0</v>
      </c>
      <c r="I85" s="62" t="n">
        <v>52.0</v>
      </c>
      <c r="J85" s="64" t="n">
        <v>321.0</v>
      </c>
      <c r="K85" s="62">
        <f si="7" t="shared"/>
        <v>531</v>
      </c>
      <c r="L85" s="68">
        <f si="9" t="shared"/>
        <v>1.7445126698928653E-3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135.5443100536507</v>
      </c>
      <c r="E86" s="62">
        <f si="6" t="shared"/>
        <v>135.54431005365069</v>
      </c>
      <c r="F86" s="68">
        <f si="8" t="shared"/>
        <v>5.4955958490954845E-4</v>
      </c>
      <c r="G86">
        <v>75</v>
      </c>
      <c r="H86" s="62" t="n">
        <v>201.0</v>
      </c>
      <c r="I86" s="62" t="n">
        <v>44.0</v>
      </c>
      <c r="J86" s="64" t="n">
        <v>377.0</v>
      </c>
      <c r="K86" s="62">
        <f si="7" t="shared"/>
        <v>503</v>
      </c>
      <c r="L86" s="68">
        <f si="9" t="shared"/>
        <v>1.6525233012356143E-3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188.0</v>
      </c>
      <c r="I87" s="62" t="n">
        <v>47.0</v>
      </c>
      <c r="J87" s="64" t="n">
        <v>267.0</v>
      </c>
      <c r="K87" s="62">
        <f si="7" t="shared"/>
        <v>518</v>
      </c>
      <c r="L87" s="68">
        <f si="9" t="shared"/>
        <v>1.7018033201591416E-3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175.0</v>
      </c>
      <c r="I88" s="62" t="n">
        <v>30.0</v>
      </c>
      <c r="J88" s="64" t="n">
        <v>416.0</v>
      </c>
      <c r="K88" s="62">
        <f si="7" t="shared"/>
        <v>535</v>
      </c>
      <c r="L88" s="68">
        <f si="9" t="shared"/>
        <v>1.7576540082724725E-3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366.082424987433</v>
      </c>
      <c r="E89" s="62">
        <f si="6" t="shared"/>
        <v>366.082424987433</v>
      </c>
      <c r="F89" s="68">
        <f si="8" t="shared"/>
        <v>1.4842681735525642E-3</v>
      </c>
      <c r="G89">
        <v>78</v>
      </c>
      <c r="H89" s="62" t="n">
        <v>157.0</v>
      </c>
      <c r="I89" s="62" t="n">
        <v>38.0</v>
      </c>
      <c r="J89" s="64" t="n">
        <v>319.0</v>
      </c>
      <c r="K89" s="62">
        <f si="7" t="shared"/>
        <v>539</v>
      </c>
      <c r="L89" s="68">
        <f si="9" t="shared"/>
        <v>1.7707953466520798E-3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144.0</v>
      </c>
      <c r="I90" s="62" t="n">
        <v>38.0</v>
      </c>
      <c r="J90" s="64" t="n">
        <v>317.0</v>
      </c>
      <c r="K90" s="62">
        <f si="7" t="shared"/>
        <v>443</v>
      </c>
      <c r="L90" s="68">
        <f si="9" t="shared"/>
        <v>1.4554032255415053E-3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53.7405419735351</v>
      </c>
      <c r="E91" s="62">
        <f si="6" t="shared"/>
        <v>53.740541973535102</v>
      </c>
      <c r="F91" s="68">
        <f si="8" t="shared"/>
        <v>2.1788911631997104E-4</v>
      </c>
      <c r="G91">
        <v>80</v>
      </c>
      <c r="H91" s="62" t="n">
        <v>161.0</v>
      </c>
      <c r="I91" s="62" t="n">
        <v>36.0</v>
      </c>
      <c r="J91" s="64" t="n">
        <v>245.0</v>
      </c>
      <c r="K91" s="62">
        <f si="7" t="shared"/>
        <v>422</v>
      </c>
      <c r="L91" s="68">
        <f si="9" t="shared"/>
        <v>1.3864111990485671E-3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136.0</v>
      </c>
      <c r="I92" s="62" t="n">
        <v>33.0</v>
      </c>
      <c r="J92" s="64" t="n">
        <v>330.0</v>
      </c>
      <c r="K92" s="62">
        <f si="7" t="shared"/>
        <v>427</v>
      </c>
      <c r="L92" s="68">
        <f si="9" t="shared"/>
        <v>1.4028378720230762E-3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134.0</v>
      </c>
      <c r="I93" s="62" t="n">
        <v>33.0</v>
      </c>
      <c r="J93" s="64" t="n">
        <v>301.0</v>
      </c>
      <c r="K93" s="62">
        <f si="7" t="shared"/>
        <v>424</v>
      </c>
      <c r="L93" s="68">
        <f si="9" t="shared"/>
        <v>1.3929818682383707E-3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115.0</v>
      </c>
      <c r="I94" s="62" t="n">
        <v>36.0</v>
      </c>
      <c r="J94" s="64" t="n">
        <v>161.0</v>
      </c>
      <c r="K94" s="62">
        <f si="7" t="shared"/>
        <v>363</v>
      </c>
      <c r="L94" s="68">
        <f si="9" t="shared"/>
        <v>1.19257645794936E-3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113.0</v>
      </c>
      <c r="I95" s="62" t="n">
        <v>16.0</v>
      </c>
      <c r="J95" s="64" t="n">
        <v>122.0</v>
      </c>
      <c r="K95" s="62">
        <f si="7" t="shared"/>
        <v>284</v>
      </c>
      <c r="L95" s="68">
        <f si="9" t="shared"/>
        <v>9.3303502495211625E-4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107.0</v>
      </c>
      <c r="I96" s="62" t="n">
        <v>22.0</v>
      </c>
      <c r="J96" s="64" t="n">
        <v>138.0</v>
      </c>
      <c r="K96" s="62">
        <f si="7" t="shared"/>
        <v>258</v>
      </c>
      <c r="L96" s="68">
        <f si="9" t="shared"/>
        <v>8.4761632548466899E-4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99.0</v>
      </c>
      <c r="I97" s="62" t="n">
        <v>22.0</v>
      </c>
      <c r="J97" s="64" t="n">
        <v>105.0</v>
      </c>
      <c r="K97" s="62">
        <f si="7" t="shared"/>
        <v>236</v>
      </c>
      <c r="L97" s="68">
        <f si="9" t="shared"/>
        <v>7.7533896439682898E-4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101.0</v>
      </c>
      <c r="I98" s="62" t="n">
        <v>17.0</v>
      </c>
      <c r="J98" s="64" t="n">
        <v>129.0</v>
      </c>
      <c r="K98" s="62">
        <f si="7" t="shared"/>
        <v>199</v>
      </c>
      <c r="L98" s="68">
        <f si="9" t="shared"/>
        <v>6.5378158438546177E-4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87.0</v>
      </c>
      <c r="I99" s="62" t="n">
        <v>16.0</v>
      </c>
      <c r="J99" s="64" t="n">
        <v>58.0</v>
      </c>
      <c r="K99" s="62">
        <f si="7" t="shared"/>
        <v>192</v>
      </c>
      <c r="L99" s="68">
        <f si="9" t="shared"/>
        <v>6.3078424222114896E-4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194.9428538766106</v>
      </c>
      <c r="E100" s="62">
        <f si="6" t="shared"/>
        <v>194.9428538766106</v>
      </c>
      <c r="F100" s="68">
        <f si="8" t="shared"/>
        <v>7.9038886851914305E-4</v>
      </c>
      <c r="G100">
        <v>89</v>
      </c>
      <c r="H100" s="62" t="n">
        <v>1225.0</v>
      </c>
      <c r="I100" s="62" t="n">
        <v>211.0</v>
      </c>
      <c r="J100" s="64" t="n">
        <v>1997.0</v>
      </c>
      <c r="K100" s="62">
        <f si="7" t="shared"/>
        <v>3364</v>
      </c>
      <c r="L100" s="68">
        <f si="9" t="shared"/>
        <v>1.1051865577249714E-2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16463.263831340169</v>
      </c>
      <c r="C11" s="11">
        <f>SUM(TDFD!C11:C15)</f>
        <v>1601.9389674420609</v>
      </c>
      <c r="D11" s="11">
        <f>SUM(TDFD!D11:D15)</f>
        <v>2184.0683322707755</v>
      </c>
      <c r="E11" s="11">
        <f>SUM(TDFD!E11:E15)</f>
        <v>20249.271131053007</v>
      </c>
      <c r="H11" t="s">
        <v>15</v>
      </c>
      <c r="I11" s="11">
        <f>SUM(TDFD!H11:H15)</f>
        <v>40044</v>
      </c>
      <c r="J11" s="11">
        <f>SUM(TDFD!I11:I15)</f>
        <v>3281</v>
      </c>
      <c r="K11" s="11">
        <f>SUM(TDFD!J11:J15)</f>
        <v>3510</v>
      </c>
      <c r="L11" s="11">
        <f>SUM(TDFD!K11:K15)</f>
        <v>46835</v>
      </c>
    </row>
    <row r="12" spans="1:12" x14ac:dyDescent="0.25">
      <c r="A12" t="s">
        <v>16</v>
      </c>
      <c r="B12" s="11">
        <f>SUM(TDFD!B16:B20)</f>
        <v>72327.336824647908</v>
      </c>
      <c r="C12" s="11">
        <f>SUM(TDFD!C16:C20)</f>
        <v>11386.543378140346</v>
      </c>
      <c r="D12" s="11">
        <f>SUM(TDFD!D16:D20)</f>
        <v>8731.094668487247</v>
      </c>
      <c r="E12" s="11">
        <f>SUM(TDFD!E16:E20)</f>
        <v>92444.974871275495</v>
      </c>
      <c r="H12" t="s">
        <v>16</v>
      </c>
      <c r="I12" s="11">
        <f>SUM(TDFD!H16:H20)</f>
        <v>72054</v>
      </c>
      <c r="J12" s="11">
        <f>SUM(TDFD!I16:I20)</f>
        <v>14420</v>
      </c>
      <c r="K12" s="11">
        <f>SUM(TDFD!J16:J20)</f>
        <v>9414</v>
      </c>
      <c r="L12" s="11">
        <f>SUM(TDFD!K16:K20)</f>
        <v>95888</v>
      </c>
    </row>
    <row r="13" spans="1:12" x14ac:dyDescent="0.25">
      <c r="A13" t="s">
        <v>17</v>
      </c>
      <c r="B13" s="11">
        <f>SUM(TDFD!B21:B25)</f>
        <v>42153.874740725427</v>
      </c>
      <c r="C13" s="11">
        <f>SUM(TDFD!C21:C25)</f>
        <v>10168.750175836432</v>
      </c>
      <c r="D13" s="11">
        <f>SUM(TDFD!D21:D25)</f>
        <v>5504.4581444600244</v>
      </c>
      <c r="E13" s="11">
        <f>SUM(TDFD!E21:E25)</f>
        <v>57827.083061021884</v>
      </c>
      <c r="H13" t="s">
        <v>17</v>
      </c>
      <c r="I13" s="11">
        <f>SUM(TDFD!H21:H25)</f>
        <v>24421</v>
      </c>
      <c r="J13" s="11">
        <f>SUM(TDFD!I21:I25)</f>
        <v>11163</v>
      </c>
      <c r="K13" s="11">
        <f>SUM(TDFD!J21:J25)</f>
        <v>8069</v>
      </c>
      <c r="L13" s="11">
        <f>SUM(TDFD!K21:K25)</f>
        <v>43653</v>
      </c>
    </row>
    <row r="14" spans="1:12" x14ac:dyDescent="0.25">
      <c r="A14" t="s">
        <v>18</v>
      </c>
      <c r="B14" s="11">
        <f>SUM(TDFD!B26:B30)</f>
        <v>15051.492571692548</v>
      </c>
      <c r="C14" s="11">
        <f>SUM(TDFD!C26:C30)</f>
        <v>5564.8159350405931</v>
      </c>
      <c r="D14" s="11">
        <f>SUM(TDFD!D26:D30)</f>
        <v>3837.5189962181198</v>
      </c>
      <c r="E14" s="11">
        <f>SUM(TDFD!E26:E30)</f>
        <v>24453.827502951259</v>
      </c>
      <c r="H14" t="s">
        <v>18</v>
      </c>
      <c r="I14" s="11">
        <f>SUM(TDFD!H26:H30)</f>
        <v>13126</v>
      </c>
      <c r="J14" s="11">
        <f>SUM(TDFD!I26:I30)</f>
        <v>7814</v>
      </c>
      <c r="K14" s="11">
        <f>SUM(TDFD!J26:J30)</f>
        <v>4222</v>
      </c>
      <c r="L14" s="11">
        <f>SUM(TDFD!K26:K30)</f>
        <v>25162</v>
      </c>
    </row>
    <row r="15" spans="1:12" x14ac:dyDescent="0.25">
      <c r="A15" t="s">
        <v>19</v>
      </c>
      <c r="B15" s="11">
        <f>SUM(TDFD!B31:B35)</f>
        <v>6443.6451789477651</v>
      </c>
      <c r="C15" s="11">
        <f>SUM(TDFD!C31:C35)</f>
        <v>3544.3515397131364</v>
      </c>
      <c r="D15" s="11">
        <f>SUM(TDFD!D31:D35)</f>
        <v>5568.9516760022825</v>
      </c>
      <c r="E15" s="11">
        <f>SUM(TDFD!E31:E35)</f>
        <v>15556.948394663184</v>
      </c>
      <c r="H15" t="s">
        <v>19</v>
      </c>
      <c r="I15" s="11">
        <f>SUM(TDFD!H31:H35)</f>
        <v>9229</v>
      </c>
      <c r="J15" s="11">
        <f>SUM(TDFD!I31:I35)</f>
        <v>5213</v>
      </c>
      <c r="K15" s="11">
        <f>SUM(TDFD!J31:J35)</f>
        <v>3783</v>
      </c>
      <c r="L15" s="11">
        <f>SUM(TDFD!K31:K35)</f>
        <v>18225</v>
      </c>
    </row>
    <row r="16" spans="1:12" x14ac:dyDescent="0.25">
      <c r="A16" t="s">
        <v>20</v>
      </c>
      <c r="B16" s="11">
        <f>SUM(TDFD!B36:B40)</f>
        <v>6094.7759843526828</v>
      </c>
      <c r="C16" s="11">
        <f>SUM(TDFD!C36:C40)</f>
        <v>2515.5538623214643</v>
      </c>
      <c r="D16" s="11">
        <f>SUM(TDFD!D36:D40)</f>
        <v>4750.234880351697</v>
      </c>
      <c r="E16" s="11">
        <f>SUM(TDFD!E36:E40)</f>
        <v>13360.564727025843</v>
      </c>
      <c r="H16" t="s">
        <v>20</v>
      </c>
      <c r="I16" s="11">
        <f>SUM(TDFD!H36:H40)</f>
        <v>6463</v>
      </c>
      <c r="J16" s="11">
        <f>SUM(TDFD!I36:I40)</f>
        <v>3593</v>
      </c>
      <c r="K16" s="11">
        <f>SUM(TDFD!J36:J40)</f>
        <v>3436</v>
      </c>
      <c r="L16" s="11">
        <f>SUM(TDFD!K36:K40)</f>
        <v>13492</v>
      </c>
    </row>
    <row r="17" spans="1:12" x14ac:dyDescent="0.25">
      <c r="A17" t="s">
        <v>21</v>
      </c>
      <c r="B17" s="11">
        <f>SUM(TDFD!B41:B45)</f>
        <v>3280.3115655316742</v>
      </c>
      <c r="C17" s="11">
        <f>SUM(TDFD!C41:C45)</f>
        <v>1991.0602210700649</v>
      </c>
      <c r="D17" s="11">
        <f>SUM(TDFD!D41:D45)</f>
        <v>2753.5755186034894</v>
      </c>
      <c r="E17" s="11">
        <f>SUM(TDFD!E41:E45)</f>
        <v>8024.947305205229</v>
      </c>
      <c r="H17" t="s">
        <v>21</v>
      </c>
      <c r="I17" s="11">
        <f>SUM(TDFD!H41:H45)</f>
        <v>4988</v>
      </c>
      <c r="J17" s="11">
        <f>SUM(TDFD!I41:I45)</f>
        <v>2216</v>
      </c>
      <c r="K17" s="11">
        <f>SUM(TDFD!J41:J45)</f>
        <v>2962</v>
      </c>
      <c r="L17" s="11">
        <f>SUM(TDFD!K41:K45)</f>
        <v>10166</v>
      </c>
    </row>
    <row r="18" spans="1:12" x14ac:dyDescent="0.25">
      <c r="A18" t="s">
        <v>22</v>
      </c>
      <c r="B18" s="11">
        <f>SUM(TDFD!B46:B50)</f>
        <v>567.71245775549573</v>
      </c>
      <c r="C18" s="11">
        <f>SUM(TDFD!C46:C50)</f>
        <v>226.39748286321799</v>
      </c>
      <c r="D18" s="11">
        <f>SUM(TDFD!D46:D50)</f>
        <v>1377.9795895820644</v>
      </c>
      <c r="E18" s="11">
        <f>SUM(TDFD!E46:E50)</f>
        <v>2172.089530200778</v>
      </c>
      <c r="H18" t="s">
        <v>22</v>
      </c>
      <c r="I18" s="11">
        <f>SUM(TDFD!H46:H50)</f>
        <v>3805</v>
      </c>
      <c r="J18" s="11">
        <f>SUM(TDFD!I46:I50)</f>
        <v>1631</v>
      </c>
      <c r="K18" s="11">
        <f>SUM(TDFD!J46:J50)</f>
        <v>2696</v>
      </c>
      <c r="L18" s="11">
        <f>SUM(TDFD!K46:K50)</f>
        <v>8132</v>
      </c>
    </row>
    <row r="19" spans="1:12" x14ac:dyDescent="0.25">
      <c r="A19" t="s">
        <v>23</v>
      </c>
      <c r="B19" s="11">
        <f>SUM(TDFD!B51:B55)</f>
        <v>1048.9476247792952</v>
      </c>
      <c r="C19" s="11">
        <f>SUM(TDFD!C51:C55)</f>
        <v>365.33408003945311</v>
      </c>
      <c r="D19" s="11">
        <f>SUM(TDFD!D51:D55)</f>
        <v>2019.3956544747145</v>
      </c>
      <c r="E19" s="11">
        <f>SUM(TDFD!E51:E55)</f>
        <v>3433.6773592934628</v>
      </c>
      <c r="H19" t="s">
        <v>23</v>
      </c>
      <c r="I19" s="11">
        <f>SUM(TDFD!H51:H55)</f>
        <v>3194</v>
      </c>
      <c r="J19" s="11">
        <f>SUM(TDFD!I51:I55)</f>
        <v>1212</v>
      </c>
      <c r="K19" s="11">
        <f>SUM(TDFD!J51:J55)</f>
        <v>2100</v>
      </c>
      <c r="L19" s="11">
        <f>SUM(TDFD!K51:K55)</f>
        <v>6506</v>
      </c>
    </row>
    <row r="20" spans="1:12" x14ac:dyDescent="0.25">
      <c r="A20" t="s">
        <v>24</v>
      </c>
      <c r="B20" s="11">
        <f>SUM(TDFD!B56:B70)</f>
        <v>1131.9834872716528</v>
      </c>
      <c r="C20" s="11">
        <f>SUM(TDFD!C56:C70)</f>
        <v>1704.9890915167957</v>
      </c>
      <c r="D20" s="11">
        <f>SUM(TDFD!D56:D70)</f>
        <v>3645.2133022776011</v>
      </c>
      <c r="E20" s="11">
        <f>SUM(TDFD!E56:E70)</f>
        <v>6482.1858810660506</v>
      </c>
      <c r="H20" t="s">
        <v>24</v>
      </c>
      <c r="I20" s="11">
        <f>SUM(TDFD!H56:H70)</f>
        <v>6496</v>
      </c>
      <c r="J20" s="11">
        <f>SUM(TDFD!I56:I70)</f>
        <v>2371</v>
      </c>
      <c r="K20" s="11">
        <f>SUM(TDFD!J56:J70)</f>
        <v>7325</v>
      </c>
      <c r="L20" s="11">
        <f>SUM(TDFD!K56:K70)</f>
        <v>16192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2636.1298364058812</v>
      </c>
      <c r="E21" s="11">
        <f>SUM(TDFD!E71:E100)</f>
        <v>2636.1298364058812</v>
      </c>
      <c r="H21" t="s">
        <v>25</v>
      </c>
      <c r="I21" s="11">
        <f>SUM(TDFD!H71:H100)</f>
        <v>6734</v>
      </c>
      <c r="J21" s="11">
        <f>SUM(TDFD!I71:I100)</f>
        <v>1745</v>
      </c>
      <c r="K21" s="11">
        <f>SUM(TDFD!J71:J100)</f>
        <v>11653</v>
      </c>
      <c r="L21" s="11">
        <f>SUM(TDFD!K71:K100)</f>
        <v>20132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topLeftCell="BG19" workbookViewId="0">
      <selection activeCell="BO46" sqref="BO46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58.1371028820498</v>
      </c>
      <c r="C7" s="66" t="n">
        <v>0.0</v>
      </c>
      <c r="D7" s="66" t="n">
        <v>44.1767819790036</v>
      </c>
      <c r="E7" s="66" t="n">
        <v>0.0</v>
      </c>
      <c r="F7" s="66" t="n">
        <v>0.0</v>
      </c>
      <c r="G7" s="66" t="n">
        <v>207.495301986925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42.6753128970407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/>
      <c r="W7" s="66">
        <f>SUM(B7:V7)</f>
        <v>352.48449974501909</v>
      </c>
      <c r="X7" s="19"/>
      <c r="Y7" s="32">
        <v>1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75.0</v>
      </c>
      <c r="AY7" s="88" t="n">
        <v>27.0</v>
      </c>
      <c r="AZ7" s="88" t="n">
        <v>32.0</v>
      </c>
      <c r="BA7" s="88" t="n">
        <v>15.0</v>
      </c>
      <c r="BB7" s="88" t="n">
        <v>48.0</v>
      </c>
      <c r="BC7" s="88" t="n">
        <v>165.0</v>
      </c>
      <c r="BD7" s="88" t="n">
        <v>1.0</v>
      </c>
      <c r="BE7" s="88" t="n">
        <v>1.0</v>
      </c>
      <c r="BF7" s="88" t="n">
        <v>1.0</v>
      </c>
      <c r="BG7" s="88" t="n">
        <v>0.0</v>
      </c>
      <c r="BH7" s="88" t="n">
        <v>0.0</v>
      </c>
      <c r="BI7" s="88" t="n">
        <v>6.0</v>
      </c>
      <c r="BJ7" s="88" t="n">
        <v>13.0</v>
      </c>
      <c r="BK7" s="88" t="n">
        <v>0.0</v>
      </c>
      <c r="BL7" s="88" t="n">
        <v>3.0</v>
      </c>
      <c r="BM7" s="88" t="n">
        <v>0.0</v>
      </c>
      <c r="BN7" s="88" t="n">
        <v>0.0</v>
      </c>
      <c r="BO7" s="88" t="n">
        <v>0.0</v>
      </c>
      <c r="BP7" s="88" t="n">
        <v>3.0</v>
      </c>
      <c r="BQ7" s="88" t="n">
        <v>0.0</v>
      </c>
      <c r="BR7" s="88">
        <f>U28</f>
        <v>8962.8428254185419</v>
      </c>
      <c r="BS7" s="88">
        <f>V28</f>
        <v>0</v>
      </c>
      <c r="BT7" s="88">
        <f>W28</f>
        <v>246641.69960016204</v>
      </c>
    </row>
    <row r="8" spans="1:72" x14ac:dyDescent="0.25">
      <c r="A8">
        <v>2</v>
      </c>
      <c r="B8" s="66" t="n">
        <v>40.3293628842083</v>
      </c>
      <c r="C8" s="66" t="n">
        <v>314.8292336732017</v>
      </c>
      <c r="D8" s="66" t="n">
        <v>0.0</v>
      </c>
      <c r="E8" s="66" t="n">
        <v>0.0</v>
      </c>
      <c r="F8" s="66" t="n">
        <v>72.0038825272497</v>
      </c>
      <c r="G8" s="66" t="n">
        <v>1344.3219359752582</v>
      </c>
      <c r="H8" s="66" t="n">
        <v>0.0</v>
      </c>
      <c r="I8" s="66" t="n">
        <v>0.0</v>
      </c>
      <c r="J8" s="66" t="n">
        <v>306.8355885271748</v>
      </c>
      <c r="K8" s="66" t="n">
        <v>0.0</v>
      </c>
      <c r="L8" s="66" t="n">
        <v>0.0</v>
      </c>
      <c r="M8" s="66" t="n">
        <v>221.2895242387898</v>
      </c>
      <c r="N8" s="66" t="n">
        <v>97.5893639412697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45.3707609733312</v>
      </c>
      <c r="U8" s="66" t="n">
        <v>0.0</v>
      </c>
      <c r="V8" s="66"/>
      <c r="W8" s="66">
        <f ref="W8:W27" si="0" t="shared">SUM(B8:V8)</f>
        <v>2442.5696527404834</v>
      </c>
      <c r="X8" s="19"/>
      <c r="Y8">
        <v>2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1" t="shared">SUM(Z8:AT8)</f>
        <v>15869</v>
      </c>
      <c r="AV8" s="87"/>
      <c r="AX8" t="n">
        <v>235.0</v>
      </c>
      <c r="AY8" s="62" t="n">
        <v>2395.0</v>
      </c>
      <c r="AZ8" s="62" t="n">
        <v>294.0</v>
      </c>
      <c r="BA8" s="62" t="n">
        <v>25.0</v>
      </c>
      <c r="BB8" s="62" t="n">
        <v>170.0</v>
      </c>
      <c r="BC8" s="62" t="n">
        <v>995.0</v>
      </c>
      <c r="BD8" s="62" t="n">
        <v>715.0</v>
      </c>
      <c r="BE8" s="62" t="n">
        <v>2.0</v>
      </c>
      <c r="BF8" s="62" t="n">
        <v>298.0</v>
      </c>
      <c r="BG8" s="62" t="n">
        <v>24.0</v>
      </c>
      <c r="BH8" s="62" t="n">
        <v>37.0</v>
      </c>
      <c r="BI8" s="62" t="n">
        <v>399.0</v>
      </c>
      <c r="BJ8" s="62" t="n">
        <v>113.0</v>
      </c>
      <c r="BK8" s="62" t="n">
        <v>3.0</v>
      </c>
      <c r="BL8" s="62" t="n">
        <v>31.0</v>
      </c>
      <c r="BM8" s="62" t="n">
        <v>0.0</v>
      </c>
      <c r="BN8" s="62" t="n">
        <v>1.0</v>
      </c>
      <c r="BO8" s="62" t="n">
        <v>1.0</v>
      </c>
      <c r="BP8" s="62" t="n">
        <v>34.0</v>
      </c>
      <c r="BQ8" s="62" t="n">
        <v>0.0</v>
      </c>
      <c r="BR8" s="62"/>
      <c r="BS8" s="62"/>
      <c r="BT8" s="62"/>
    </row>
    <row r="9" spans="1:72" x14ac:dyDescent="0.25">
      <c r="A9">
        <v>3</v>
      </c>
      <c r="B9" s="66" t="n">
        <v>131.4954595299607</v>
      </c>
      <c r="C9" s="66" t="n">
        <v>269.88970483637</v>
      </c>
      <c r="D9" s="66" t="n">
        <v>4647.31321279691</v>
      </c>
      <c r="E9" s="66" t="n">
        <v>2301.5499567167935</v>
      </c>
      <c r="F9" s="66" t="n">
        <v>1652.5216306524162</v>
      </c>
      <c r="G9" s="66" t="n">
        <v>1028.2925488441717</v>
      </c>
      <c r="H9" s="66" t="n">
        <v>0.0</v>
      </c>
      <c r="I9" s="66" t="n">
        <v>86.327424290835</v>
      </c>
      <c r="J9" s="66" t="n">
        <v>0.0</v>
      </c>
      <c r="K9" s="66" t="n">
        <v>68.9004302318935</v>
      </c>
      <c r="L9" s="66" t="n">
        <v>643.0654159418191</v>
      </c>
      <c r="M9" s="66" t="n">
        <v>236.211031774193</v>
      </c>
      <c r="N9" s="66" t="n">
        <v>53.7405419735351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53.9381242170849</v>
      </c>
      <c r="U9" s="66" t="n">
        <v>0.0</v>
      </c>
      <c r="V9" s="66"/>
      <c r="W9" s="66">
        <f si="0" t="shared"/>
        <v>11173.245481805985</v>
      </c>
      <c r="X9" s="19"/>
      <c r="Y9">
        <v>3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1" t="shared"/>
        <v>28690</v>
      </c>
      <c r="AV9" s="87"/>
      <c r="AX9" t="n">
        <v>522.0</v>
      </c>
      <c r="AY9" s="88" t="n">
        <v>414.0</v>
      </c>
      <c r="AZ9" s="88" t="n">
        <v>6539.0</v>
      </c>
      <c r="BA9" s="88" t="n">
        <v>117.0</v>
      </c>
      <c r="BB9" s="88" t="n">
        <v>342.0</v>
      </c>
      <c r="BC9" s="88" t="n">
        <v>1247.0</v>
      </c>
      <c r="BD9" s="88" t="n">
        <v>88.0</v>
      </c>
      <c r="BE9" s="88" t="n">
        <v>172.0</v>
      </c>
      <c r="BF9" s="88" t="n">
        <v>70.0</v>
      </c>
      <c r="BG9" s="88" t="n">
        <v>28.0</v>
      </c>
      <c r="BH9" s="88" t="n">
        <v>194.0</v>
      </c>
      <c r="BI9" s="88" t="n">
        <v>259.0</v>
      </c>
      <c r="BJ9" s="88" t="n">
        <v>83.0</v>
      </c>
      <c r="BK9" s="88" t="n">
        <v>5.0</v>
      </c>
      <c r="BL9" s="88" t="n">
        <v>32.0</v>
      </c>
      <c r="BM9" s="88" t="n">
        <v>2.0</v>
      </c>
      <c r="BN9" s="88" t="n">
        <v>8.0</v>
      </c>
      <c r="BO9" s="88" t="n">
        <v>0.0</v>
      </c>
      <c r="BP9" s="88" t="n">
        <v>91.0</v>
      </c>
      <c r="BQ9" s="88" t="n">
        <v>0.0</v>
      </c>
      <c r="BR9" s="88"/>
      <c r="BS9" s="88"/>
      <c r="BT9" s="88"/>
    </row>
    <row r="10" spans="1:72" x14ac:dyDescent="0.25">
      <c r="A10">
        <v>4</v>
      </c>
      <c r="B10" s="66" t="n">
        <v>270.816065714621</v>
      </c>
      <c r="C10" s="66" t="n">
        <v>34.475990089522</v>
      </c>
      <c r="D10" s="66" t="n">
        <v>285.0625310467966</v>
      </c>
      <c r="E10" s="66" t="n">
        <v>581.5925505460199</v>
      </c>
      <c r="F10" s="66" t="n">
        <v>765.469453958752</v>
      </c>
      <c r="G10" s="66" t="n">
        <v>148.771699104541</v>
      </c>
      <c r="H10" s="66" t="n">
        <v>0.0</v>
      </c>
      <c r="I10" s="66" t="n">
        <v>359.14203194086423</v>
      </c>
      <c r="J10" s="66" t="n">
        <v>109.757812307087</v>
      </c>
      <c r="K10" s="66" t="n">
        <v>479.6949841671025</v>
      </c>
      <c r="L10" s="66" t="n">
        <v>43.1637121454175</v>
      </c>
      <c r="M10" s="66" t="n">
        <v>259.25648018158</v>
      </c>
      <c r="N10" s="66" t="n">
        <v>0.0</v>
      </c>
      <c r="O10" s="66" t="n">
        <v>69.1600963343665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/>
      <c r="W10" s="66">
        <f si="0" t="shared"/>
        <v>3406.3634075366708</v>
      </c>
      <c r="X10" s="19"/>
      <c r="Y10">
        <v>4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1" t="shared"/>
        <v>9577</v>
      </c>
      <c r="AV10" s="87"/>
      <c r="AX10" s="6" t="n">
        <v>471.0</v>
      </c>
      <c r="AY10" s="89" t="n">
        <v>190.0</v>
      </c>
      <c r="AZ10" s="89" t="n">
        <v>1191.0</v>
      </c>
      <c r="BA10" s="89" t="n">
        <v>1426.0</v>
      </c>
      <c r="BB10" s="89" t="n">
        <v>783.0</v>
      </c>
      <c r="BC10" s="89" t="n">
        <v>925.0</v>
      </c>
      <c r="BD10" s="89" t="n">
        <v>70.0</v>
      </c>
      <c r="BE10" s="89" t="n">
        <v>168.0</v>
      </c>
      <c r="BF10" s="89" t="n">
        <v>44.0</v>
      </c>
      <c r="BG10" s="89" t="n">
        <v>63.0</v>
      </c>
      <c r="BH10" s="89" t="n">
        <v>148.0</v>
      </c>
      <c r="BI10" s="89" t="n">
        <v>205.0</v>
      </c>
      <c r="BJ10" s="89" t="n">
        <v>28.0</v>
      </c>
      <c r="BK10" s="89" t="n">
        <v>12.0</v>
      </c>
      <c r="BL10" s="89" t="n">
        <v>12.0</v>
      </c>
      <c r="BM10" s="89" t="n">
        <v>2.0</v>
      </c>
      <c r="BN10" s="89" t="n">
        <v>10.0</v>
      </c>
      <c r="BO10" s="89" t="n">
        <v>0.0</v>
      </c>
      <c r="BP10" s="89" t="n">
        <v>52.0</v>
      </c>
      <c r="BQ10" s="89" t="n">
        <v>0.0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0.0</v>
      </c>
      <c r="C11" s="66" t="n">
        <v>0.0</v>
      </c>
      <c r="D11" s="66" t="n">
        <v>0.0</v>
      </c>
      <c r="E11" s="66" t="n">
        <v>31.9081948047657</v>
      </c>
      <c r="F11" s="66" t="n">
        <v>2441.186599105123</v>
      </c>
      <c r="G11" s="66" t="n">
        <v>733.8692311638929</v>
      </c>
      <c r="H11" s="66" t="n">
        <v>0.0</v>
      </c>
      <c r="I11" s="66" t="n">
        <v>0.0</v>
      </c>
      <c r="J11" s="66" t="n">
        <v>65.6450348394614</v>
      </c>
      <c r="K11" s="66" t="n">
        <v>907.2765316868013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/>
      <c r="W11" s="66">
        <f si="0" t="shared"/>
        <v>4179.8855916000448</v>
      </c>
      <c r="X11" s="19"/>
      <c r="Y11">
        <v>5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1" t="shared"/>
        <v>9209</v>
      </c>
      <c r="AV11" s="87"/>
      <c r="AW11" t="s">
        <v>284</v>
      </c>
      <c r="AX11" t="n">
        <v>198.0</v>
      </c>
      <c r="AY11" s="88" t="n">
        <v>80.0</v>
      </c>
      <c r="AZ11" s="88" t="n">
        <v>99.0</v>
      </c>
      <c r="BA11" s="88" t="n">
        <v>83.0</v>
      </c>
      <c r="BB11" s="88" t="n">
        <v>1300.0</v>
      </c>
      <c r="BC11" s="88" t="n">
        <v>1409.0</v>
      </c>
      <c r="BD11" s="88" t="n">
        <v>19.0</v>
      </c>
      <c r="BE11" s="88" t="n">
        <v>2.0</v>
      </c>
      <c r="BF11" s="88" t="n">
        <v>8.0</v>
      </c>
      <c r="BG11" s="88" t="n">
        <v>77.0</v>
      </c>
      <c r="BH11" s="88" t="n">
        <v>14.0</v>
      </c>
      <c r="BI11" s="88" t="n">
        <v>150.0</v>
      </c>
      <c r="BJ11" s="88" t="n">
        <v>43.0</v>
      </c>
      <c r="BK11" s="88" t="n">
        <v>0.0</v>
      </c>
      <c r="BL11" s="88" t="n">
        <v>20.0</v>
      </c>
      <c r="BM11" s="88" t="n">
        <v>2.0</v>
      </c>
      <c r="BN11" s="88" t="n">
        <v>0.0</v>
      </c>
      <c r="BO11" s="88" t="n">
        <v>0.0</v>
      </c>
      <c r="BP11" s="88" t="n">
        <v>25.0</v>
      </c>
      <c r="BQ11" s="88" t="n">
        <v>0.0</v>
      </c>
      <c r="BR11" s="88">
        <f>U55</f>
        <v>25724.242764300438</v>
      </c>
      <c r="BS11" s="88">
        <f>V55</f>
        <v>0</v>
      </c>
      <c r="BT11" s="88">
        <f>W55</f>
        <v>707886</v>
      </c>
    </row>
    <row r="12" spans="1:72" x14ac:dyDescent="0.25">
      <c r="A12">
        <v>6</v>
      </c>
      <c r="B12" s="66" t="n">
        <v>58.1371028820498</v>
      </c>
      <c r="C12" s="66" t="n">
        <v>169.7018974422854</v>
      </c>
      <c r="D12" s="66" t="n">
        <v>1241.9885924570153</v>
      </c>
      <c r="E12" s="66" t="n">
        <v>248.288978311038</v>
      </c>
      <c r="F12" s="66" t="n">
        <v>671.1914803072475</v>
      </c>
      <c r="G12" s="66" t="n">
        <v>3938.5329963029485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1908.3531408529711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/>
      <c r="W12" s="66">
        <f si="0" t="shared"/>
        <v>8236.1941885555552</v>
      </c>
      <c r="X12" s="19"/>
      <c r="Y12">
        <v>6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1" t="shared"/>
        <v>26887</v>
      </c>
      <c r="AV12" s="87"/>
      <c r="AX12" t="n">
        <v>142.0</v>
      </c>
      <c r="AY12" s="62" t="n">
        <v>484.0</v>
      </c>
      <c r="AZ12" s="62" t="n">
        <v>95.0</v>
      </c>
      <c r="BA12" s="62" t="n">
        <v>26.0</v>
      </c>
      <c r="BB12" s="62" t="n">
        <v>667.0</v>
      </c>
      <c r="BC12" s="62" t="n">
        <v>10815.0</v>
      </c>
      <c r="BD12" s="62" t="n">
        <v>45.0</v>
      </c>
      <c r="BE12" s="62" t="n">
        <v>3.0</v>
      </c>
      <c r="BF12" s="62" t="n">
        <v>41.0</v>
      </c>
      <c r="BG12" s="62" t="n">
        <v>59.0</v>
      </c>
      <c r="BH12" s="62" t="n">
        <v>22.0</v>
      </c>
      <c r="BI12" s="62" t="n">
        <v>1318.0</v>
      </c>
      <c r="BJ12" s="62" t="n">
        <v>532.0</v>
      </c>
      <c r="BK12" s="62" t="n">
        <v>2.0</v>
      </c>
      <c r="BL12" s="62" t="n">
        <v>141.0</v>
      </c>
      <c r="BM12" s="62" t="n">
        <v>1.0</v>
      </c>
      <c r="BN12" s="62" t="n">
        <v>1.0</v>
      </c>
      <c r="BO12" s="62" t="n">
        <v>2.0</v>
      </c>
      <c r="BP12" s="62" t="n">
        <v>140.0</v>
      </c>
      <c r="BQ12" s="62" t="n">
        <v>0.0</v>
      </c>
      <c r="BR12" s="62"/>
      <c r="BS12" s="62"/>
      <c r="BT12" s="62"/>
    </row>
    <row r="13" spans="1:72" x14ac:dyDescent="0.25">
      <c r="A13">
        <v>7</v>
      </c>
      <c r="B13" s="66" t="n">
        <v>104.0568748506637</v>
      </c>
      <c r="C13" s="66" t="n">
        <v>708.2807553692816</v>
      </c>
      <c r="D13" s="66" t="n">
        <v>115.57049901791979</v>
      </c>
      <c r="E13" s="66" t="n">
        <v>0.0</v>
      </c>
      <c r="F13" s="66" t="n">
        <v>778.0929670395607</v>
      </c>
      <c r="G13" s="66" t="n">
        <v>1661.1861525239467</v>
      </c>
      <c r="H13" s="66" t="n">
        <v>10101.006144144592</v>
      </c>
      <c r="I13" s="66" t="n">
        <v>0.0</v>
      </c>
      <c r="J13" s="66" t="n">
        <v>297.6149171278485</v>
      </c>
      <c r="K13" s="66" t="n">
        <v>0.0</v>
      </c>
      <c r="L13" s="66" t="n">
        <v>0.0</v>
      </c>
      <c r="M13" s="66" t="n">
        <v>1124.5869550300092</v>
      </c>
      <c r="N13" s="66" t="n">
        <v>2017.2639397593136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53.4613459214978</v>
      </c>
      <c r="T13" s="66" t="n">
        <v>0.0</v>
      </c>
      <c r="U13" s="66" t="n">
        <v>0.0</v>
      </c>
      <c r="V13" s="66"/>
      <c r="W13" s="66">
        <f si="0" t="shared"/>
        <v>16961.120550784632</v>
      </c>
      <c r="X13" s="19"/>
      <c r="Y13">
        <v>7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1" t="shared"/>
        <v>84061</v>
      </c>
      <c r="AV13" s="87"/>
      <c r="AX13" t="n">
        <v>175.0</v>
      </c>
      <c r="AY13" s="88" t="n">
        <v>812.0</v>
      </c>
      <c r="AZ13" s="88" t="n">
        <v>322.0</v>
      </c>
      <c r="BA13" s="88" t="n">
        <v>43.0</v>
      </c>
      <c r="BB13" s="88" t="n">
        <v>214.0</v>
      </c>
      <c r="BC13" s="88" t="n">
        <v>1818.0</v>
      </c>
      <c r="BD13" s="88" t="n">
        <v>25579.0</v>
      </c>
      <c r="BE13" s="88" t="n">
        <v>12.0</v>
      </c>
      <c r="BF13" s="88" t="n">
        <v>640.0</v>
      </c>
      <c r="BG13" s="88" t="n">
        <v>59.0</v>
      </c>
      <c r="BH13" s="88" t="n">
        <v>72.0</v>
      </c>
      <c r="BI13" s="88" t="n">
        <v>2980.0</v>
      </c>
      <c r="BJ13" s="88" t="n">
        <v>3968.0</v>
      </c>
      <c r="BK13" s="88" t="n">
        <v>2.0</v>
      </c>
      <c r="BL13" s="88" t="n">
        <v>203.0</v>
      </c>
      <c r="BM13" s="88" t="n">
        <v>2.0</v>
      </c>
      <c r="BN13" s="88" t="n">
        <v>3.0</v>
      </c>
      <c r="BO13" s="88" t="n">
        <v>63.0</v>
      </c>
      <c r="BP13" s="88" t="n">
        <v>89.0</v>
      </c>
      <c r="BQ13" s="88" t="n">
        <v>0.0</v>
      </c>
      <c r="BR13" s="88"/>
      <c r="BS13" s="88"/>
      <c r="BT13" s="88"/>
    </row>
    <row r="14" spans="1:72" x14ac:dyDescent="0.25">
      <c r="A14">
        <v>8</v>
      </c>
      <c r="B14" s="66" t="n">
        <v>77.7549175564256</v>
      </c>
      <c r="C14" s="66" t="n">
        <v>0.0</v>
      </c>
      <c r="D14" s="66" t="n">
        <v>0.0</v>
      </c>
      <c r="E14" s="66" t="n">
        <v>259.092123030095</v>
      </c>
      <c r="F14" s="66" t="n">
        <v>825.3925101514502</v>
      </c>
      <c r="G14" s="66" t="n">
        <v>0.0</v>
      </c>
      <c r="H14" s="66" t="n">
        <v>0.0</v>
      </c>
      <c r="I14" s="66" t="n">
        <v>265.057656811762</v>
      </c>
      <c r="J14" s="66" t="n">
        <v>0.0</v>
      </c>
      <c r="K14" s="66" t="n">
        <v>0.0</v>
      </c>
      <c r="L14" s="66" t="n">
        <v>584.583072278711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/>
      <c r="W14" s="66">
        <f si="0" t="shared"/>
        <v>2011.8802798284437</v>
      </c>
      <c r="X14" s="19"/>
      <c r="Y14">
        <v>8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1" t="shared"/>
        <v>4667</v>
      </c>
      <c r="AV14" s="87"/>
      <c r="AX14" s="6" t="n">
        <v>56.0</v>
      </c>
      <c r="AY14" s="89" t="n">
        <v>61.0</v>
      </c>
      <c r="AZ14" s="89" t="n">
        <v>454.0</v>
      </c>
      <c r="BA14" s="89" t="n">
        <v>112.0</v>
      </c>
      <c r="BB14" s="89" t="n">
        <v>100.0</v>
      </c>
      <c r="BC14" s="89" t="n">
        <v>245.0</v>
      </c>
      <c r="BD14" s="89" t="n">
        <v>25.0</v>
      </c>
      <c r="BE14" s="89" t="n">
        <v>321.0</v>
      </c>
      <c r="BF14" s="89" t="n">
        <v>38.0</v>
      </c>
      <c r="BG14" s="89" t="n">
        <v>13.0</v>
      </c>
      <c r="BH14" s="89" t="n">
        <v>362.0</v>
      </c>
      <c r="BI14" s="89" t="n">
        <v>58.0</v>
      </c>
      <c r="BJ14" s="89" t="n">
        <v>9.0</v>
      </c>
      <c r="BK14" s="89" t="n">
        <v>49.0</v>
      </c>
      <c r="BL14" s="89" t="n">
        <v>5.0</v>
      </c>
      <c r="BM14" s="89" t="n">
        <v>2.0</v>
      </c>
      <c r="BN14" s="89" t="n">
        <v>16.0</v>
      </c>
      <c r="BO14" s="89" t="n">
        <v>0.0</v>
      </c>
      <c r="BP14" s="89" t="n">
        <v>45.0</v>
      </c>
      <c r="BQ14" s="89" t="n">
        <v>0.0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1256.824225311796</v>
      </c>
      <c r="C15" s="66" t="n">
        <v>321.3848288677281</v>
      </c>
      <c r="D15" s="66" t="n">
        <v>871.13536970536</v>
      </c>
      <c r="E15" s="66" t="n">
        <v>173.888033030776</v>
      </c>
      <c r="F15" s="66" t="n">
        <v>1409.6319139279087</v>
      </c>
      <c r="G15" s="66" t="n">
        <v>511.376441197225</v>
      </c>
      <c r="H15" s="66" t="n">
        <v>838.6540533731769</v>
      </c>
      <c r="I15" s="66" t="n">
        <v>0.0</v>
      </c>
      <c r="J15" s="66" t="n">
        <v>11664.369638929686</v>
      </c>
      <c r="K15" s="66" t="n">
        <v>0.0</v>
      </c>
      <c r="L15" s="66" t="n">
        <v>72.1209538418816</v>
      </c>
      <c r="M15" s="66" t="n">
        <v>1501.2007936756916</v>
      </c>
      <c r="N15" s="66" t="n">
        <v>575.2449194023877</v>
      </c>
      <c r="O15" s="66" t="n">
        <v>0.0</v>
      </c>
      <c r="P15" s="66" t="n">
        <v>2051.477525284406</v>
      </c>
      <c r="Q15" s="66" t="n">
        <v>0.0</v>
      </c>
      <c r="R15" s="66" t="n">
        <v>0.0</v>
      </c>
      <c r="S15" s="66" t="n">
        <v>0.0</v>
      </c>
      <c r="T15" s="66" t="n">
        <v>1147.3295143295352</v>
      </c>
      <c r="U15" s="66" t="n">
        <v>0.0</v>
      </c>
      <c r="V15" s="66"/>
      <c r="W15" s="66">
        <f si="0" t="shared"/>
        <v>22394.638210877558</v>
      </c>
      <c r="X15" s="19"/>
      <c r="Y15">
        <v>9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1" t="shared"/>
        <v>62516</v>
      </c>
      <c r="AV15" s="87"/>
      <c r="AX15" t="n">
        <v>244.0</v>
      </c>
      <c r="AY15" t="n">
        <v>851.0</v>
      </c>
      <c r="AZ15" t="n">
        <v>668.0</v>
      </c>
      <c r="BA15" t="n">
        <v>60.0</v>
      </c>
      <c r="BB15" t="n">
        <v>367.0</v>
      </c>
      <c r="BC15" t="n">
        <v>1857.0</v>
      </c>
      <c r="BD15" t="n">
        <v>2422.0</v>
      </c>
      <c r="BE15" t="n">
        <v>34.0</v>
      </c>
      <c r="BF15" t="n">
        <v>11606.0</v>
      </c>
      <c r="BG15" t="n">
        <v>51.0</v>
      </c>
      <c r="BH15" t="n">
        <v>1092.0</v>
      </c>
      <c r="BI15" t="n">
        <v>788.0</v>
      </c>
      <c r="BJ15" t="n">
        <v>1094.0</v>
      </c>
      <c r="BK15" t="n">
        <v>20.0</v>
      </c>
      <c r="BL15" t="n">
        <v>1375.0</v>
      </c>
      <c r="BM15" t="n">
        <v>1.0</v>
      </c>
      <c r="BN15" t="n">
        <v>18.0</v>
      </c>
      <c r="BO15" t="n">
        <v>14.0</v>
      </c>
      <c r="BP15" t="n">
        <v>341.0</v>
      </c>
      <c r="BQ15" t="n">
        <v>0.0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85.3506257940814</v>
      </c>
      <c r="E16" s="66" t="n">
        <v>0.0</v>
      </c>
      <c r="F16" s="66" t="n">
        <v>1027.6550090342557</v>
      </c>
      <c r="G16" s="66" t="n">
        <v>1153.6201374443142</v>
      </c>
      <c r="H16" s="66" t="n">
        <v>0.0</v>
      </c>
      <c r="I16" s="66" t="n">
        <v>0.0</v>
      </c>
      <c r="J16" s="66" t="n">
        <v>0.0</v>
      </c>
      <c r="K16" s="66" t="n">
        <v>5235.529831123294</v>
      </c>
      <c r="L16" s="66" t="n">
        <v>0.0</v>
      </c>
      <c r="M16" s="66" t="n">
        <v>3256.71113793516</v>
      </c>
      <c r="N16" s="66" t="n">
        <v>53.7405419735351</v>
      </c>
      <c r="O16" s="66" t="n">
        <v>0.0</v>
      </c>
      <c r="P16" s="66" t="n">
        <v>0.0</v>
      </c>
      <c r="Q16" s="66" t="n">
        <v>1128.94674162491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/>
      <c r="W16" s="66">
        <f si="0" t="shared"/>
        <v>11941.55402492955</v>
      </c>
      <c r="X16" s="7"/>
      <c r="Y16">
        <v>10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1" t="shared"/>
        <v>26860</v>
      </c>
      <c r="AV16" s="87"/>
      <c r="AX16" t="n">
        <v>103.0</v>
      </c>
      <c r="AY16" t="n">
        <v>146.0</v>
      </c>
      <c r="AZ16" t="n">
        <v>190.0</v>
      </c>
      <c r="BA16" t="n">
        <v>72.0</v>
      </c>
      <c r="BB16" t="n">
        <v>713.0</v>
      </c>
      <c r="BC16" t="n">
        <v>2789.0</v>
      </c>
      <c r="BD16" t="n">
        <v>113.0</v>
      </c>
      <c r="BE16" t="n">
        <v>10.0</v>
      </c>
      <c r="BF16" t="n">
        <v>40.0</v>
      </c>
      <c r="BG16" t="n">
        <v>2908.0</v>
      </c>
      <c r="BH16" t="n">
        <v>34.0</v>
      </c>
      <c r="BI16" t="n">
        <v>1304.0</v>
      </c>
      <c r="BJ16" t="n">
        <v>97.0</v>
      </c>
      <c r="BK16" t="n">
        <v>4.0</v>
      </c>
      <c r="BL16" t="n">
        <v>24.0</v>
      </c>
      <c r="BM16" t="n">
        <v>168.0</v>
      </c>
      <c r="BN16" t="n">
        <v>1.0</v>
      </c>
      <c r="BO16" t="n">
        <v>14.0</v>
      </c>
      <c r="BP16" t="n">
        <v>44.0</v>
      </c>
      <c r="BQ16" t="n">
        <v>0.0</v>
      </c>
      <c r="BR16" s="7"/>
      <c r="BS16" s="7"/>
    </row>
    <row r="17" spans="1:69" x14ac:dyDescent="0.25">
      <c r="A17">
        <v>11</v>
      </c>
      <c r="B17" s="66" t="n">
        <v>108.621017437082</v>
      </c>
      <c r="C17" s="66" t="n">
        <v>0.0</v>
      </c>
      <c r="D17" s="66" t="n">
        <v>291.6753958831488</v>
      </c>
      <c r="E17" s="66" t="n">
        <v>229.0574992079197</v>
      </c>
      <c r="F17" s="66" t="n">
        <v>152.4588534191695</v>
      </c>
      <c r="G17" s="66" t="n">
        <v>44.8395879111538</v>
      </c>
      <c r="H17" s="66" t="n">
        <v>0.0</v>
      </c>
      <c r="I17" s="66" t="n">
        <v>210.419813017795</v>
      </c>
      <c r="J17" s="66" t="n">
        <v>1538.683626533574</v>
      </c>
      <c r="K17" s="66" t="n">
        <v>0.0</v>
      </c>
      <c r="L17" s="66" t="n">
        <v>11829.559415584807</v>
      </c>
      <c r="M17" s="66" t="n">
        <v>44.2965143082149</v>
      </c>
      <c r="N17" s="66" t="n">
        <v>63.1380522093766</v>
      </c>
      <c r="O17" s="66" t="n">
        <v>79.1071057710219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1153.2551694175636</v>
      </c>
      <c r="U17" s="66" t="n">
        <v>0.0</v>
      </c>
      <c r="V17" s="66"/>
      <c r="W17" s="66">
        <f si="0" t="shared"/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1" t="shared"/>
        <v>54981</v>
      </c>
      <c r="AV17" s="87"/>
      <c r="AX17" t="n">
        <v>232.0</v>
      </c>
      <c r="AY17" t="n">
        <v>315.0</v>
      </c>
      <c r="AZ17" t="n">
        <v>2228.0</v>
      </c>
      <c r="BA17" t="n">
        <v>107.0</v>
      </c>
      <c r="BB17" t="n">
        <v>327.0</v>
      </c>
      <c r="BC17" t="n">
        <v>1651.0</v>
      </c>
      <c r="BD17" t="n">
        <v>154.0</v>
      </c>
      <c r="BE17" t="n">
        <v>217.0</v>
      </c>
      <c r="BF17" t="n">
        <v>735.0</v>
      </c>
      <c r="BG17" t="n">
        <v>39.0</v>
      </c>
      <c r="BH17" t="n">
        <v>13413.0</v>
      </c>
      <c r="BI17" t="n">
        <v>343.0</v>
      </c>
      <c r="BJ17" t="n">
        <v>171.0</v>
      </c>
      <c r="BK17" t="n">
        <v>101.0</v>
      </c>
      <c r="BL17" t="n">
        <v>230.0</v>
      </c>
      <c r="BM17" t="n">
        <v>1.0</v>
      </c>
      <c r="BN17" t="n">
        <v>272.0</v>
      </c>
      <c r="BO17" t="n">
        <v>0.0</v>
      </c>
      <c r="BP17" t="n">
        <v>2493.0</v>
      </c>
      <c r="BQ17" t="n">
        <v>0.0</v>
      </c>
    </row>
    <row r="18" spans="1:69" x14ac:dyDescent="0.25">
      <c r="A18">
        <v>12</v>
      </c>
      <c r="B18" s="66" t="n">
        <v>2343.603714344711</v>
      </c>
      <c r="C18" s="66" t="n">
        <v>0.0</v>
      </c>
      <c r="D18" s="66" t="n">
        <v>410.030872162605</v>
      </c>
      <c r="E18" s="66" t="n">
        <v>0.0</v>
      </c>
      <c r="F18" s="66" t="n">
        <v>306.3274316243004</v>
      </c>
      <c r="G18" s="66" t="n">
        <v>5326.835876627963</v>
      </c>
      <c r="H18" s="66" t="n">
        <v>3612.2878401809703</v>
      </c>
      <c r="I18" s="66" t="n">
        <v>0.0</v>
      </c>
      <c r="J18" s="66" t="n">
        <v>0.0</v>
      </c>
      <c r="K18" s="66" t="n">
        <v>33.9446228811755</v>
      </c>
      <c r="L18" s="66" t="n">
        <v>0.0</v>
      </c>
      <c r="M18" s="66" t="n">
        <v>31174.045640872664</v>
      </c>
      <c r="N18" s="66" t="n">
        <v>943.6270719031386</v>
      </c>
      <c r="O18" s="66" t="n">
        <v>0.0</v>
      </c>
      <c r="P18" s="66" t="n">
        <v>248.288978311038</v>
      </c>
      <c r="Q18" s="66" t="n">
        <v>1395.6318182970685</v>
      </c>
      <c r="R18" s="66" t="n">
        <v>0.0</v>
      </c>
      <c r="S18" s="66" t="n">
        <v>490.9040923493182</v>
      </c>
      <c r="T18" s="66" t="n">
        <v>0.0</v>
      </c>
      <c r="U18" s="66" t="n">
        <v>0.0</v>
      </c>
      <c r="V18" s="66"/>
      <c r="W18" s="66">
        <f si="0" t="shared"/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1" t="shared"/>
        <v>112220</v>
      </c>
      <c r="AV18" s="87"/>
      <c r="AX18" t="n">
        <v>307.0</v>
      </c>
      <c r="AY18" t="n">
        <v>1069.0</v>
      </c>
      <c r="AZ18" t="n">
        <v>558.0</v>
      </c>
      <c r="BA18" t="n">
        <v>95.0</v>
      </c>
      <c r="BB18" t="n">
        <v>598.0</v>
      </c>
      <c r="BC18" t="n">
        <v>5522.0</v>
      </c>
      <c r="BD18" t="n">
        <v>4055.0</v>
      </c>
      <c r="BE18" t="n">
        <v>20.0</v>
      </c>
      <c r="BF18" t="n">
        <v>278.0</v>
      </c>
      <c r="BG18" t="n">
        <v>323.0</v>
      </c>
      <c r="BH18" t="n">
        <v>105.0</v>
      </c>
      <c r="BI18" t="n">
        <v>32027.0</v>
      </c>
      <c r="BJ18" t="n">
        <v>2137.0</v>
      </c>
      <c r="BK18" t="n">
        <v>5.0</v>
      </c>
      <c r="BL18" t="n">
        <v>113.0</v>
      </c>
      <c r="BM18" t="n">
        <v>88.0</v>
      </c>
      <c r="BN18" t="n">
        <v>5.0</v>
      </c>
      <c r="BO18" t="n">
        <v>888.0</v>
      </c>
      <c r="BP18" t="n">
        <v>113.0</v>
      </c>
      <c r="BQ18" t="n">
        <v>23.0</v>
      </c>
    </row>
    <row ht="15.75" r="19" spans="1:69" thickBot="1" x14ac:dyDescent="0.3">
      <c r="A19">
        <v>13</v>
      </c>
      <c r="B19" s="66" t="n">
        <v>0.0</v>
      </c>
      <c r="C19" s="66" t="n">
        <v>374.08281416113</v>
      </c>
      <c r="D19" s="66" t="n">
        <v>0.0</v>
      </c>
      <c r="E19" s="66" t="n">
        <v>0.0</v>
      </c>
      <c r="F19" s="66" t="n">
        <v>616.244042580413</v>
      </c>
      <c r="G19" s="66" t="n">
        <v>659.437805721624</v>
      </c>
      <c r="H19" s="66" t="n">
        <v>1421.366210058181</v>
      </c>
      <c r="I19" s="66" t="n">
        <v>0.0</v>
      </c>
      <c r="J19" s="66" t="n">
        <v>54.1925997914368</v>
      </c>
      <c r="K19" s="66" t="n">
        <v>0.0</v>
      </c>
      <c r="L19" s="66" t="n">
        <v>0.0</v>
      </c>
      <c r="M19" s="66" t="n">
        <v>735.168983512883</v>
      </c>
      <c r="N19" s="66" t="n">
        <v>25692.524283153598</v>
      </c>
      <c r="O19" s="66" t="n">
        <v>0.0</v>
      </c>
      <c r="P19" s="66" t="n">
        <v>307.111241291834</v>
      </c>
      <c r="Q19" s="66" t="n">
        <v>0.0</v>
      </c>
      <c r="R19" s="66" t="n">
        <v>0.0</v>
      </c>
      <c r="S19" s="66" t="n">
        <v>1162.68862752063</v>
      </c>
      <c r="T19" s="66" t="n">
        <v>0.0</v>
      </c>
      <c r="U19" s="66" t="n">
        <v>0.0</v>
      </c>
      <c r="V19" s="66"/>
      <c r="W19" s="66">
        <f si="0" t="shared"/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1" t="shared"/>
        <v>79170</v>
      </c>
      <c r="AV19" s="87"/>
      <c r="AX19" s="1" t="n">
        <v>4.0</v>
      </c>
      <c r="AY19" s="1" t="n">
        <v>40.0</v>
      </c>
      <c r="AZ19" s="1" t="n">
        <v>32.0</v>
      </c>
      <c r="BA19" s="1" t="n">
        <v>4.0</v>
      </c>
      <c r="BB19" s="1" t="n">
        <v>20.0</v>
      </c>
      <c r="BC19" s="1" t="n">
        <v>36.0</v>
      </c>
      <c r="BD19" s="1" t="n">
        <v>2614.0</v>
      </c>
      <c r="BE19" s="1" t="n">
        <v>0.0</v>
      </c>
      <c r="BF19" s="1" t="n">
        <v>70.0</v>
      </c>
      <c r="BG19" s="1" t="n">
        <v>3.0</v>
      </c>
      <c r="BH19" s="1" t="n">
        <v>15.0</v>
      </c>
      <c r="BI19" s="1" t="n">
        <v>278.0</v>
      </c>
      <c r="BJ19" s="1" t="n">
        <v>31645.0</v>
      </c>
      <c r="BK19" s="1" t="n">
        <v>0.0</v>
      </c>
      <c r="BL19" s="1" t="n">
        <v>359.0</v>
      </c>
      <c r="BM19" s="1" t="n">
        <v>2.0</v>
      </c>
      <c r="BN19" t="n">
        <v>0.0</v>
      </c>
      <c r="BO19" t="n">
        <v>490.0</v>
      </c>
      <c r="BP19" t="n">
        <v>2.0</v>
      </c>
      <c r="BQ19" t="n">
        <v>1.0</v>
      </c>
    </row>
    <row r="20" spans="1:69" x14ac:dyDescent="0.25">
      <c r="A20">
        <v>14</v>
      </c>
      <c r="B20" s="66" t="n">
        <v>24.7647573818315</v>
      </c>
      <c r="C20" s="66" t="n">
        <v>0.0</v>
      </c>
      <c r="D20" s="66" t="n">
        <v>0.0</v>
      </c>
      <c r="E20" s="66" t="n">
        <v>0.0</v>
      </c>
      <c r="F20" s="66" t="n">
        <v>28.0110738871106</v>
      </c>
      <c r="G20" s="66" t="n">
        <v>0.0</v>
      </c>
      <c r="H20" s="66" t="n">
        <v>0.0</v>
      </c>
      <c r="I20" s="66" t="n">
        <v>45.4464015281568</v>
      </c>
      <c r="J20" s="66" t="n">
        <v>0.0</v>
      </c>
      <c r="K20" s="66" t="n">
        <v>381.555946448113</v>
      </c>
      <c r="L20" s="66" t="n">
        <v>198.4695180771634</v>
      </c>
      <c r="M20" s="66" t="n">
        <v>0.0</v>
      </c>
      <c r="N20" s="66" t="n">
        <v>0.0</v>
      </c>
      <c r="O20" s="66" t="n">
        <v>7225.463777361578</v>
      </c>
      <c r="P20" s="66" t="n">
        <v>0.0</v>
      </c>
      <c r="Q20" s="66" t="n">
        <v>0.0</v>
      </c>
      <c r="R20" s="66" t="n">
        <v>256.210550198761</v>
      </c>
      <c r="S20" s="66" t="n">
        <v>0.0</v>
      </c>
      <c r="T20" s="66" t="n">
        <v>248.076778174586</v>
      </c>
      <c r="U20" s="66" t="n">
        <v>0.0</v>
      </c>
      <c r="V20" s="66"/>
      <c r="W20" s="66">
        <f si="0" t="shared"/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1" t="shared"/>
        <v>21666</v>
      </c>
      <c r="AV20" s="87"/>
      <c r="AX20" s="128" t="n">
        <v>46.0</v>
      </c>
      <c r="AY20" s="129" t="n">
        <v>81.0</v>
      </c>
      <c r="AZ20" s="130" t="n">
        <v>227.0</v>
      </c>
      <c r="BA20" s="128" t="n">
        <v>58.0</v>
      </c>
      <c r="BB20" s="128" t="n">
        <v>119.0</v>
      </c>
      <c r="BC20" s="129" t="n">
        <v>506.0</v>
      </c>
      <c r="BD20" s="130" t="n">
        <v>32.0</v>
      </c>
      <c r="BE20" s="128" t="n">
        <v>165.0</v>
      </c>
      <c r="BF20" s="128" t="n">
        <v>34.0</v>
      </c>
      <c r="BG20" s="129" t="n">
        <v>26.0</v>
      </c>
      <c r="BH20" s="131" t="n">
        <v>284.0</v>
      </c>
      <c r="BI20" s="132" t="n">
        <v>91.0</v>
      </c>
      <c r="BJ20" s="132" t="n">
        <v>6.0</v>
      </c>
      <c r="BK20" s="133" t="n">
        <v>6039.0</v>
      </c>
      <c r="BL20" s="130" t="n">
        <v>13.0</v>
      </c>
      <c r="BM20" s="129" t="n">
        <v>1.0</v>
      </c>
      <c r="BN20" t="n">
        <v>505.0</v>
      </c>
      <c r="BO20" t="n">
        <v>0.0</v>
      </c>
      <c r="BP20" t="n">
        <v>365.0</v>
      </c>
      <c r="BQ20" t="n">
        <v>0.0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158.13980134799272</v>
      </c>
      <c r="H21" s="66" t="n">
        <v>1474.9257456278754</v>
      </c>
      <c r="I21" s="66" t="n">
        <v>0.0</v>
      </c>
      <c r="J21" s="66" t="n">
        <v>290.5836274806155</v>
      </c>
      <c r="K21" s="66" t="n">
        <v>0.0</v>
      </c>
      <c r="L21" s="66" t="n">
        <v>0.0</v>
      </c>
      <c r="M21" s="66" t="n">
        <v>0.0</v>
      </c>
      <c r="N21" s="66" t="n">
        <v>2089.2855617664895</v>
      </c>
      <c r="O21" s="66" t="n">
        <v>0.0</v>
      </c>
      <c r="P21" s="66" t="n">
        <v>7279.959177317259</v>
      </c>
      <c r="Q21" s="66" t="n">
        <v>0.0</v>
      </c>
      <c r="R21" s="66" t="n">
        <v>0.0</v>
      </c>
      <c r="S21" s="66" t="n">
        <v>0.0</v>
      </c>
      <c r="T21" s="66" t="n">
        <v>62.6046929217809</v>
      </c>
      <c r="U21" s="66" t="n">
        <v>0.0</v>
      </c>
      <c r="V21" s="66"/>
      <c r="W21" s="66">
        <f si="0" t="shared"/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1" t="shared"/>
        <v>31956</v>
      </c>
      <c r="AV21" s="87"/>
      <c r="AX21" s="90" t="n">
        <v>14.0</v>
      </c>
      <c r="AY21" s="44" t="n">
        <v>72.0</v>
      </c>
      <c r="AZ21" s="91" t="n">
        <v>64.0</v>
      </c>
      <c r="BA21" s="92" t="n">
        <v>3.0</v>
      </c>
      <c r="BB21" s="92" t="n">
        <v>13.0</v>
      </c>
      <c r="BC21" s="92" t="n">
        <v>59.0</v>
      </c>
      <c r="BD21" s="91" t="n">
        <v>585.0</v>
      </c>
      <c r="BE21" s="92" t="n">
        <v>5.0</v>
      </c>
      <c r="BF21" s="92" t="n">
        <v>936.0</v>
      </c>
      <c r="BG21" s="92" t="n">
        <v>7.0</v>
      </c>
      <c r="BH21" s="93" t="n">
        <v>142.0</v>
      </c>
      <c r="BI21" s="90" t="n">
        <v>107.0</v>
      </c>
      <c r="BJ21" s="90" t="n">
        <v>2384.0</v>
      </c>
      <c r="BK21" s="94" t="n">
        <v>5.0</v>
      </c>
      <c r="BL21" s="95" t="n">
        <v>8897.0</v>
      </c>
      <c r="BM21" s="96" t="n">
        <v>1.0</v>
      </c>
      <c r="BN21" s="97" t="n">
        <v>15.0</v>
      </c>
      <c r="BO21" t="n">
        <v>18.0</v>
      </c>
      <c r="BP21" t="n">
        <v>410.0</v>
      </c>
      <c r="BQ21" t="n">
        <v>0.0</v>
      </c>
    </row>
    <row r="22" spans="1:69" x14ac:dyDescent="0.25">
      <c r="A22">
        <v>16</v>
      </c>
      <c r="B22" s="66" t="n">
        <v>593.25632717503</v>
      </c>
      <c r="C22" s="66" t="n">
        <v>0.0</v>
      </c>
      <c r="D22" s="66" t="n">
        <v>996.683549241305</v>
      </c>
      <c r="E22" s="66" t="n">
        <v>0.0</v>
      </c>
      <c r="F22" s="66" t="n">
        <v>2937.055066423452</v>
      </c>
      <c r="G22" s="66" t="n">
        <v>1003.9321831735319</v>
      </c>
      <c r="H22" s="66" t="n">
        <v>0.0</v>
      </c>
      <c r="I22" s="66" t="n">
        <v>0.0</v>
      </c>
      <c r="J22" s="66" t="n">
        <v>236.211031774193</v>
      </c>
      <c r="K22" s="66" t="n">
        <v>973.275395951485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2191.677723252516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f si="0" t="shared"/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1" t="shared"/>
        <v>14965</v>
      </c>
      <c r="AV22" s="87"/>
      <c r="AX22" s="32" t="n">
        <v>70.0</v>
      </c>
      <c r="AY22" s="98" t="n">
        <v>102.0</v>
      </c>
      <c r="AZ22" s="99" t="n">
        <v>139.0</v>
      </c>
      <c r="BA22" s="100" t="n">
        <v>45.0</v>
      </c>
      <c r="BB22" s="100" t="n">
        <v>211.0</v>
      </c>
      <c r="BC22" s="101" t="n">
        <v>846.0</v>
      </c>
      <c r="BD22" s="99" t="n">
        <v>89.0</v>
      </c>
      <c r="BE22" s="100" t="n">
        <v>4.0</v>
      </c>
      <c r="BF22" s="100" t="n">
        <v>21.0</v>
      </c>
      <c r="BG22" s="101" t="n">
        <v>1057.0</v>
      </c>
      <c r="BH22" s="102" t="n">
        <v>14.0</v>
      </c>
      <c r="BI22" s="102" t="n">
        <v>1091.0</v>
      </c>
      <c r="BJ22" s="102" t="n">
        <v>137.0</v>
      </c>
      <c r="BK22" s="103" t="n">
        <v>1.0</v>
      </c>
      <c r="BL22" s="124" t="n">
        <v>7.0</v>
      </c>
      <c r="BM22" s="125" t="n">
        <v>2703.0</v>
      </c>
      <c r="BN22" s="22" t="n">
        <v>1.0</v>
      </c>
      <c r="BO22" t="n">
        <v>145.0</v>
      </c>
      <c r="BP22" t="n">
        <v>18.0</v>
      </c>
      <c r="BQ22" t="n">
        <v>24.0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360.48569995014276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4760.947426689968</v>
      </c>
      <c r="S23" s="66" t="n">
        <v>0.0</v>
      </c>
      <c r="T23" s="66" t="n">
        <v>144.6609890633889</v>
      </c>
      <c r="U23" s="66" t="n">
        <v>0.0</v>
      </c>
      <c r="V23" s="66"/>
      <c r="W23" s="66">
        <f si="0" t="shared"/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1" t="shared"/>
        <v>19146</v>
      </c>
      <c r="AV23" s="87"/>
      <c r="AX23" t="n">
        <v>16.0</v>
      </c>
      <c r="AY23" s="98" t="n">
        <v>48.0</v>
      </c>
      <c r="AZ23" s="105" t="n">
        <v>152.0</v>
      </c>
      <c r="BA23" s="106" t="n">
        <v>22.0</v>
      </c>
      <c r="BB23" s="106" t="n">
        <v>45.0</v>
      </c>
      <c r="BC23" s="107" t="n">
        <v>413.0</v>
      </c>
      <c r="BD23" s="105" t="n">
        <v>9.0</v>
      </c>
      <c r="BE23" s="106" t="n">
        <v>15.0</v>
      </c>
      <c r="BF23" s="106" t="n">
        <v>40.0</v>
      </c>
      <c r="BG23" s="107" t="n">
        <v>5.0</v>
      </c>
      <c r="BH23" s="102" t="n">
        <v>480.0</v>
      </c>
      <c r="BI23" s="102" t="n">
        <v>52.0</v>
      </c>
      <c r="BJ23" s="102" t="n">
        <v>22.0</v>
      </c>
      <c r="BK23" s="103" t="n">
        <v>483.0</v>
      </c>
      <c r="BL23" s="104" t="n">
        <v>52.0</v>
      </c>
      <c r="BM23" s="103" t="n">
        <v>1.0</v>
      </c>
      <c r="BN23" s="22" t="n">
        <v>4907.0</v>
      </c>
      <c r="BO23" t="n">
        <v>0.0</v>
      </c>
      <c r="BP23" t="n">
        <v>1813.0</v>
      </c>
      <c r="BQ23" t="n">
        <v>0.0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424.602677324965</v>
      </c>
      <c r="H24" s="66" t="n">
        <v>0.0</v>
      </c>
      <c r="I24" s="66" t="n">
        <v>0.0</v>
      </c>
      <c r="J24" s="66" t="n">
        <v>22.7699420272825</v>
      </c>
      <c r="K24" s="66" t="n">
        <v>0.0</v>
      </c>
      <c r="L24" s="66" t="n">
        <v>0.0</v>
      </c>
      <c r="M24" s="66" t="n">
        <v>1793.905468686879</v>
      </c>
      <c r="N24" s="66" t="n">
        <v>2133.047711672754</v>
      </c>
      <c r="O24" s="66" t="n">
        <v>0.0</v>
      </c>
      <c r="P24" s="66" t="n">
        <v>0.0</v>
      </c>
      <c r="Q24" s="66" t="n">
        <v>39.4532093973862</v>
      </c>
      <c r="R24" s="66" t="n">
        <v>0.0</v>
      </c>
      <c r="S24" s="66" t="n">
        <v>10692.80177186574</v>
      </c>
      <c r="T24" s="66" t="n">
        <v>0.0</v>
      </c>
      <c r="U24" s="66" t="n">
        <v>1089.39183319687</v>
      </c>
      <c r="V24" s="66"/>
      <c r="W24" s="66">
        <f si="0" t="shared"/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1" t="shared"/>
        <v>36310</v>
      </c>
      <c r="AV24" s="87"/>
      <c r="AX24" t="n">
        <v>20.0</v>
      </c>
      <c r="AY24" s="98" t="n">
        <v>61.0</v>
      </c>
      <c r="AZ24" s="105" t="n">
        <v>39.0</v>
      </c>
      <c r="BA24" s="106" t="n">
        <v>10.0</v>
      </c>
      <c r="BB24" s="106" t="n">
        <v>24.0</v>
      </c>
      <c r="BC24" s="107" t="n">
        <v>323.0</v>
      </c>
      <c r="BD24" s="105" t="n">
        <v>624.0</v>
      </c>
      <c r="BE24" s="106" t="n">
        <v>1.0</v>
      </c>
      <c r="BF24" s="106" t="n">
        <v>31.0</v>
      </c>
      <c r="BG24" s="107" t="n">
        <v>24.0</v>
      </c>
      <c r="BH24" s="102" t="n">
        <v>4.0</v>
      </c>
      <c r="BI24" s="102" t="n">
        <v>1692.0</v>
      </c>
      <c r="BJ24" s="102" t="n">
        <v>3684.0</v>
      </c>
      <c r="BK24" s="103" t="n">
        <v>0.0</v>
      </c>
      <c r="BL24" s="104" t="n">
        <v>52.0</v>
      </c>
      <c r="BM24" s="103" t="n">
        <v>49.0</v>
      </c>
      <c r="BN24" s="22" t="n">
        <v>2.0</v>
      </c>
      <c r="BO24" t="n">
        <v>10243.0</v>
      </c>
      <c r="BP24" t="n">
        <v>8.0</v>
      </c>
      <c r="BQ24" t="n">
        <v>382.0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570.5645251780061</v>
      </c>
      <c r="M25" s="66" t="n">
        <v>0.0</v>
      </c>
      <c r="N25" s="66" t="n">
        <v>0.0</v>
      </c>
      <c r="O25" s="66" t="n">
        <v>0.0</v>
      </c>
      <c r="P25" s="66" t="n">
        <v>298.326161718925</v>
      </c>
      <c r="Q25" s="66" t="n">
        <v>0.0</v>
      </c>
      <c r="R25" s="66" t="n">
        <v>648.8548115013209</v>
      </c>
      <c r="S25" s="66" t="n">
        <v>0.0</v>
      </c>
      <c r="T25" s="66" t="n">
        <v>10165.721894779237</v>
      </c>
      <c r="U25" s="66" t="n">
        <v>0.0</v>
      </c>
      <c r="V25" s="66"/>
      <c r="W25" s="66">
        <f si="0" t="shared"/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1" t="shared"/>
        <v>37942</v>
      </c>
      <c r="AV25" s="87"/>
      <c r="AX25" t="n">
        <v>12.0</v>
      </c>
      <c r="AY25" s="98" t="n">
        <v>43.0</v>
      </c>
      <c r="AZ25" s="105" t="n">
        <v>145.0</v>
      </c>
      <c r="BA25" s="106" t="n">
        <v>16.0</v>
      </c>
      <c r="BB25" s="106" t="n">
        <v>40.0</v>
      </c>
      <c r="BC25" s="107" t="n">
        <v>295.0</v>
      </c>
      <c r="BD25" s="105" t="n">
        <v>32.0</v>
      </c>
      <c r="BE25" s="106" t="n">
        <v>8.0</v>
      </c>
      <c r="BF25" s="106" t="n">
        <v>201.0</v>
      </c>
      <c r="BG25" s="107" t="n">
        <v>5.0</v>
      </c>
      <c r="BH25" s="102" t="n">
        <v>1307.0</v>
      </c>
      <c r="BI25" s="102" t="n">
        <v>62.0</v>
      </c>
      <c r="BJ25" s="102" t="n">
        <v>249.0</v>
      </c>
      <c r="BK25" s="103" t="n">
        <v>63.0</v>
      </c>
      <c r="BL25" s="104" t="n">
        <v>791.0</v>
      </c>
      <c r="BM25" s="103" t="n">
        <v>1.0</v>
      </c>
      <c r="BN25" s="22" t="n">
        <v>1350.0</v>
      </c>
      <c r="BO25" t="n">
        <v>0.0</v>
      </c>
      <c r="BP25" t="n">
        <v>14178.0</v>
      </c>
      <c r="BQ25" t="n">
        <v>0.0</v>
      </c>
    </row>
    <row r="26" spans="1:69" x14ac:dyDescent="0.25">
      <c r="A26">
        <v>20</v>
      </c>
      <c r="B26" s="62" t="n">
        <v>48.4854558600498</v>
      </c>
      <c r="C26" s="62" t="n">
        <v>131.804801667234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418.90178869141687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174.541245706567</v>
      </c>
      <c r="T26" s="62" t="n">
        <v>0.0</v>
      </c>
      <c r="U26" s="62" t="n">
        <v>7873.450992221671</v>
      </c>
      <c r="V26" s="62"/>
      <c r="W26" s="66">
        <f si="0" t="shared"/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1" t="shared"/>
        <v>26130</v>
      </c>
      <c r="AV26" s="87"/>
      <c r="AX26" t="n">
        <v>1.0</v>
      </c>
      <c r="AY26" s="98" t="n">
        <v>31.0</v>
      </c>
      <c r="AZ26" s="105" t="n">
        <v>3.0</v>
      </c>
      <c r="BA26" s="106" t="n">
        <v>2.0</v>
      </c>
      <c r="BB26" s="106" t="n">
        <v>5.0</v>
      </c>
      <c r="BC26" s="107" t="n">
        <v>178.0</v>
      </c>
      <c r="BD26" s="105" t="n">
        <v>9.0</v>
      </c>
      <c r="BE26" s="106" t="n">
        <v>0.0</v>
      </c>
      <c r="BF26" s="106" t="n">
        <v>5.0</v>
      </c>
      <c r="BG26" s="107" t="n">
        <v>8.0</v>
      </c>
      <c r="BH26" s="102" t="n">
        <v>1.0</v>
      </c>
      <c r="BI26" s="102" t="n">
        <v>180.0</v>
      </c>
      <c r="BJ26" s="102" t="n">
        <v>233.0</v>
      </c>
      <c r="BK26" s="103" t="n">
        <v>0.0</v>
      </c>
      <c r="BL26" s="104" t="n">
        <v>2.0</v>
      </c>
      <c r="BM26" s="103" t="n">
        <v>31.0</v>
      </c>
      <c r="BN26" s="22" t="n">
        <v>0.0</v>
      </c>
      <c r="BO26" t="n">
        <v>1058.0</v>
      </c>
      <c r="BP26" t="n">
        <v>0.0</v>
      </c>
      <c r="BQ26" t="n">
        <v>10377.0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f si="0" t="shared"/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1" t="shared"/>
        <v>0</v>
      </c>
      <c r="AV27" s="87"/>
      <c r="AX27">
        <v>6</v>
      </c>
      <c r="AY27" s="98" t="s">
        <v>285</v>
      </c>
      <c r="AZ27" s="105">
        <f>$BD$7</f>
        <v>2</v>
      </c>
      <c r="BA27" s="106"/>
      <c r="BB27" s="106"/>
      <c r="BC27" s="107">
        <f>$BD$10</f>
        <v>66</v>
      </c>
      <c r="BD27" s="105">
        <f>$BD$11</f>
        <v>23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5116.2823838104787</v>
      </c>
      <c r="C28" s="61">
        <f ref="C28:W28" si="2" t="shared">SUM(C7:C27)</f>
        <v>2324.4500261067528</v>
      </c>
      <c r="D28" s="61">
        <f si="2" t="shared"/>
        <v>8988.9874300841475</v>
      </c>
      <c r="E28" s="61">
        <f si="2" t="shared"/>
        <v>3825.377335647408</v>
      </c>
      <c r="F28" s="61">
        <f si="2" t="shared"/>
        <v>13683.241914638409</v>
      </c>
      <c r="G28" s="61">
        <f si="2" t="shared"/>
        <v>18345.254376650453</v>
      </c>
      <c r="H28" s="61">
        <f si="2" t="shared"/>
        <v>17448.239993384796</v>
      </c>
      <c r="I28" s="61">
        <f si="2" t="shared"/>
        <v>966.39332758941305</v>
      </c>
      <c r="J28" s="61">
        <f si="2" t="shared"/>
        <v>14586.663819338359</v>
      </c>
      <c r="K28" s="61">
        <f si="2" t="shared"/>
        <v>8080.1777424898646</v>
      </c>
      <c r="L28" s="61">
        <f si="2" t="shared"/>
        <v>14302.012312997947</v>
      </c>
      <c r="M28" s="61">
        <f si="2" t="shared"/>
        <v>42297.700983966075</v>
      </c>
      <c r="N28" s="61">
        <f si="2" t="shared"/>
        <v>34138.103776446813</v>
      </c>
      <c r="O28" s="61">
        <f si="2" t="shared"/>
        <v>7373.7309794669663</v>
      </c>
      <c r="P28" s="61">
        <f si="2" t="shared"/>
        <v>10185.163083923462</v>
      </c>
      <c r="Q28" s="61">
        <f si="2" t="shared"/>
        <v>4755.7094925718802</v>
      </c>
      <c r="R28" s="61">
        <f si="2" t="shared"/>
        <v>5666.0127883900495</v>
      </c>
      <c r="S28" s="61">
        <f si="2" t="shared"/>
        <v>12574.397083363752</v>
      </c>
      <c r="T28" s="61">
        <f si="2" t="shared"/>
        <v>13020.957923876507</v>
      </c>
      <c r="U28" s="61">
        <f si="2" t="shared"/>
        <v>8962.8428254185419</v>
      </c>
      <c r="V28" s="61">
        <f si="2" t="shared"/>
        <v>0</v>
      </c>
      <c r="W28" s="61">
        <f si="2" t="shared"/>
        <v>246641.69960016204</v>
      </c>
      <c r="Y28" s="1" t="s">
        <v>3</v>
      </c>
      <c r="Z28" s="61">
        <f>SUM(Z7:Z27)</f>
        <v>8214</v>
      </c>
      <c r="AA28" s="61">
        <f ref="AA28:AU28" si="3" t="shared">SUM(AA7:AA27)</f>
        <v>5582</v>
      </c>
      <c r="AB28" s="61">
        <f si="3" t="shared"/>
        <v>3081</v>
      </c>
      <c r="AC28" s="61">
        <f si="3" t="shared"/>
        <v>1785</v>
      </c>
      <c r="AD28" s="61">
        <f si="3" t="shared"/>
        <v>2197</v>
      </c>
      <c r="AE28" s="61">
        <f si="3" t="shared"/>
        <v>12431</v>
      </c>
      <c r="AF28" s="61">
        <f si="3" t="shared"/>
        <v>27023</v>
      </c>
      <c r="AG28" s="61">
        <f si="3" t="shared"/>
        <v>614</v>
      </c>
      <c r="AH28" s="61">
        <f si="3" t="shared"/>
        <v>6443</v>
      </c>
      <c r="AI28" s="61">
        <f si="3" t="shared"/>
        <v>3338</v>
      </c>
      <c r="AJ28" s="61">
        <f si="3" t="shared"/>
        <v>503482</v>
      </c>
      <c r="AK28" s="61">
        <f si="3" t="shared"/>
        <v>56221</v>
      </c>
      <c r="AL28" s="61">
        <f si="3" t="shared"/>
        <v>33163</v>
      </c>
      <c r="AM28" s="61">
        <f si="3" t="shared"/>
        <v>991</v>
      </c>
      <c r="AN28" s="61">
        <f si="3" t="shared"/>
        <v>8468</v>
      </c>
      <c r="AO28" s="61">
        <f si="3" t="shared"/>
        <v>3136</v>
      </c>
      <c r="AP28" s="61">
        <f si="3" t="shared"/>
        <v>683</v>
      </c>
      <c r="AQ28" s="61">
        <f si="3" t="shared"/>
        <v>7383</v>
      </c>
      <c r="AR28" s="61">
        <f si="3" t="shared"/>
        <v>2897</v>
      </c>
      <c r="AS28" s="61">
        <f si="3" t="shared"/>
        <v>20754</v>
      </c>
      <c r="AT28" s="61">
        <f si="3" t="shared"/>
        <v>0</v>
      </c>
      <c r="AU28" s="61">
        <f si="3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159</v>
      </c>
      <c r="BD28" s="105">
        <f>$BE$11</f>
        <v>5</v>
      </c>
      <c r="BE28" s="106"/>
      <c r="BF28" s="106"/>
      <c r="BG28" s="107">
        <f>$BE$14</f>
        <v>322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0</v>
      </c>
      <c r="BA29" s="106"/>
      <c r="BB29" s="106"/>
      <c r="BC29" s="107">
        <f>$BF$10</f>
        <v>48</v>
      </c>
      <c r="BD29" s="105">
        <f>$BF$11</f>
        <v>9</v>
      </c>
      <c r="BE29" s="106"/>
      <c r="BF29" s="106"/>
      <c r="BG29" s="107">
        <f>$BF$14</f>
        <v>32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</v>
      </c>
      <c r="BA30" s="106"/>
      <c r="BB30" s="106"/>
      <c r="BC30" s="107">
        <f>$BG$10</f>
        <v>70</v>
      </c>
      <c r="BD30" s="105">
        <f>$BG$11</f>
        <v>89</v>
      </c>
      <c r="BE30" s="106"/>
      <c r="BF30" s="106"/>
      <c r="BG30" s="107">
        <f>$BG$14</f>
        <v>20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1</v>
      </c>
      <c r="BA31" s="106"/>
      <c r="BB31" s="106"/>
      <c r="BC31" s="107">
        <f>$BH$10</f>
        <v>142</v>
      </c>
      <c r="BD31" s="105">
        <f>$BH$11</f>
        <v>5</v>
      </c>
      <c r="BE31" s="106"/>
      <c r="BF31" s="106"/>
      <c r="BG31" s="107">
        <f>$BH$14</f>
        <v>377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16</v>
      </c>
      <c r="BA32" s="106"/>
      <c r="BB32" s="106"/>
      <c r="BC32" s="107">
        <f>$BI$10</f>
        <v>227</v>
      </c>
      <c r="BD32" s="105">
        <f>$BI$11</f>
        <v>145</v>
      </c>
      <c r="BE32" s="106"/>
      <c r="BF32" s="106"/>
      <c r="BG32" s="107">
        <f>$BI$14</f>
        <v>76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10</v>
      </c>
      <c r="BA33" s="106"/>
      <c r="BB33" s="106"/>
      <c r="BC33" s="107">
        <f>$BJ$10</f>
        <v>28</v>
      </c>
      <c r="BD33" s="105">
        <f>$BJ$11</f>
        <v>39</v>
      </c>
      <c r="BE33" s="106"/>
      <c r="BF33" s="106"/>
      <c r="BG33" s="107">
        <f>$BJ$14</f>
        <v>8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4" t="shared">IF($W7&gt;0,(B7/$W7)*$AU7,0)</f>
        <v>835.23187319632041</v>
      </c>
      <c r="C34" s="66">
        <f si="4" t="shared"/>
        <v>0</v>
      </c>
      <c r="D34" s="66">
        <f si="4" t="shared"/>
        <v>634.66967796740812</v>
      </c>
      <c r="E34" s="66">
        <f si="4" t="shared"/>
        <v>0</v>
      </c>
      <c r="F34" s="66">
        <f si="4" t="shared"/>
        <v>0</v>
      </c>
      <c r="G34" s="66">
        <f si="4" t="shared"/>
        <v>2980.9997603352381</v>
      </c>
      <c r="H34" s="66">
        <f si="4" t="shared"/>
        <v>0</v>
      </c>
      <c r="I34" s="66">
        <f si="4" t="shared"/>
        <v>0</v>
      </c>
      <c r="J34" s="66">
        <f si="4" t="shared"/>
        <v>0</v>
      </c>
      <c r="K34" s="66">
        <f si="4" t="shared"/>
        <v>0</v>
      </c>
      <c r="L34" s="66">
        <f si="4" t="shared"/>
        <v>0</v>
      </c>
      <c r="M34" s="66">
        <f si="4" t="shared"/>
        <v>613.09868850103351</v>
      </c>
      <c r="N34" s="66">
        <f si="4" t="shared"/>
        <v>0</v>
      </c>
      <c r="O34" s="66">
        <f si="4" t="shared"/>
        <v>0</v>
      </c>
      <c r="P34" s="66">
        <f si="4" t="shared"/>
        <v>0</v>
      </c>
      <c r="Q34" s="66">
        <f si="4" t="shared"/>
        <v>0</v>
      </c>
      <c r="R34" s="66">
        <f si="4" t="shared"/>
        <v>0</v>
      </c>
      <c r="S34" s="66">
        <f si="4" t="shared"/>
        <v>0</v>
      </c>
      <c r="T34" s="66">
        <f si="4" t="shared"/>
        <v>0</v>
      </c>
      <c r="U34" s="66">
        <f si="4" t="shared"/>
        <v>0</v>
      </c>
      <c r="V34" s="66">
        <f si="4" t="shared"/>
        <v>0</v>
      </c>
      <c r="W34" s="66">
        <f si="4" t="shared"/>
        <v>5064</v>
      </c>
      <c r="X34" s="18"/>
      <c r="Y34" s="32">
        <v>1</v>
      </c>
      <c r="Z34" s="19">
        <f>Z7</f>
        <v>180</v>
      </c>
      <c r="AA34" s="19">
        <f ref="AA34:AT34" si="5" t="shared">AA7</f>
        <v>26</v>
      </c>
      <c r="AB34" s="19">
        <f si="5" t="shared"/>
        <v>16</v>
      </c>
      <c r="AC34" s="19">
        <f si="5" t="shared"/>
        <v>16</v>
      </c>
      <c r="AD34" s="19">
        <f si="5" t="shared"/>
        <v>13</v>
      </c>
      <c r="AE34" s="19">
        <f si="5" t="shared"/>
        <v>52</v>
      </c>
      <c r="AF34" s="19">
        <f si="5" t="shared"/>
        <v>2</v>
      </c>
      <c r="AG34" s="19">
        <f si="5" t="shared"/>
        <v>0</v>
      </c>
      <c r="AH34" s="19">
        <f si="5" t="shared"/>
        <v>5</v>
      </c>
      <c r="AI34" s="19">
        <f si="5" t="shared"/>
        <v>8</v>
      </c>
      <c r="AJ34" s="19">
        <f si="5" t="shared"/>
        <v>4716</v>
      </c>
      <c r="AK34" s="19">
        <f si="5" t="shared"/>
        <v>23</v>
      </c>
      <c r="AL34" s="19">
        <f si="5" t="shared"/>
        <v>0</v>
      </c>
      <c r="AM34" s="19">
        <f si="5" t="shared"/>
        <v>1</v>
      </c>
      <c r="AN34" s="19">
        <f si="5" t="shared"/>
        <v>0</v>
      </c>
      <c r="AO34" s="19">
        <f si="5" t="shared"/>
        <v>2</v>
      </c>
      <c r="AP34" s="19">
        <f si="5" t="shared"/>
        <v>0</v>
      </c>
      <c r="AQ34" s="19">
        <f si="5" t="shared"/>
        <v>0</v>
      </c>
      <c r="AR34" s="19">
        <f si="5" t="shared"/>
        <v>4</v>
      </c>
      <c r="AS34" s="19">
        <f si="5" t="shared"/>
        <v>0</v>
      </c>
      <c r="AT34" s="19">
        <f si="5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0</v>
      </c>
      <c r="BA34" s="106"/>
      <c r="BB34" s="106"/>
      <c r="BC34" s="107">
        <f>$BK$10</f>
        <v>9</v>
      </c>
      <c r="BD34" s="105">
        <f>$BK$11</f>
        <v>1</v>
      </c>
      <c r="BE34" s="106"/>
      <c r="BF34" s="106"/>
      <c r="BG34" s="107">
        <f>$BK$14</f>
        <v>55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6" t="shared">IF($W8&gt;0,(B8/$W8)*$AU8,0)</f>
        <v>262.01367846008293</v>
      </c>
      <c r="C35" s="66">
        <f si="6" t="shared"/>
        <v>2045.3971920737904</v>
      </c>
      <c r="D35" s="66">
        <f si="6" t="shared"/>
        <v>0</v>
      </c>
      <c r="E35" s="66">
        <f si="6" t="shared"/>
        <v>0</v>
      </c>
      <c r="F35" s="66">
        <f si="6" t="shared"/>
        <v>467.7981692529965</v>
      </c>
      <c r="G35" s="66">
        <f si="6" t="shared"/>
        <v>8733.8532098998239</v>
      </c>
      <c r="H35" s="66">
        <f si="6" t="shared"/>
        <v>0</v>
      </c>
      <c r="I35" s="66">
        <f si="6" t="shared"/>
        <v>0</v>
      </c>
      <c r="J35" s="66">
        <f si="6" t="shared"/>
        <v>1993.4637069099272</v>
      </c>
      <c r="K35" s="66">
        <f si="6" t="shared"/>
        <v>0</v>
      </c>
      <c r="L35" s="66">
        <f si="6" t="shared"/>
        <v>0</v>
      </c>
      <c r="M35" s="66">
        <f si="6" t="shared"/>
        <v>1437.6840620309051</v>
      </c>
      <c r="N35" s="66">
        <f si="6" t="shared"/>
        <v>634.02311358715156</v>
      </c>
      <c r="O35" s="66">
        <f si="6" t="shared"/>
        <v>0</v>
      </c>
      <c r="P35" s="66">
        <f si="6" t="shared"/>
        <v>0</v>
      </c>
      <c r="Q35" s="66">
        <f si="6" t="shared"/>
        <v>0</v>
      </c>
      <c r="R35" s="66">
        <f si="6" t="shared"/>
        <v>0</v>
      </c>
      <c r="S35" s="66">
        <f si="6" t="shared"/>
        <v>0</v>
      </c>
      <c r="T35" s="66">
        <f si="6" t="shared"/>
        <v>294.76686778532149</v>
      </c>
      <c r="U35" s="66">
        <f si="6" t="shared"/>
        <v>0</v>
      </c>
      <c r="V35" s="66">
        <f si="6" t="shared"/>
        <v>0</v>
      </c>
      <c r="W35" s="66">
        <f si="6" t="shared"/>
        <v>15869</v>
      </c>
      <c r="X35" s="18"/>
      <c r="Y35">
        <v>2</v>
      </c>
      <c r="Z35" s="19">
        <f ref="Z35:AT47" si="7" t="shared">Z8</f>
        <v>190</v>
      </c>
      <c r="AA35" s="19">
        <f si="7" t="shared"/>
        <v>439</v>
      </c>
      <c r="AB35" s="19">
        <f si="7" t="shared"/>
        <v>64</v>
      </c>
      <c r="AC35" s="19">
        <f si="7" t="shared"/>
        <v>36</v>
      </c>
      <c r="AD35" s="19">
        <f si="7" t="shared"/>
        <v>38</v>
      </c>
      <c r="AE35" s="19">
        <f si="7" t="shared"/>
        <v>220</v>
      </c>
      <c r="AF35" s="19">
        <f si="7" t="shared"/>
        <v>41</v>
      </c>
      <c r="AG35" s="19">
        <f si="7" t="shared"/>
        <v>8</v>
      </c>
      <c r="AH35" s="19">
        <f si="7" t="shared"/>
        <v>82</v>
      </c>
      <c r="AI35" s="19">
        <f si="7" t="shared"/>
        <v>30</v>
      </c>
      <c r="AJ35" s="19">
        <f si="7" t="shared"/>
        <v>14491</v>
      </c>
      <c r="AK35" s="19">
        <f si="7" t="shared"/>
        <v>174</v>
      </c>
      <c r="AL35" s="19">
        <f si="7" t="shared"/>
        <v>0</v>
      </c>
      <c r="AM35" s="19">
        <f si="7" t="shared"/>
        <v>8</v>
      </c>
      <c r="AN35" s="19">
        <f si="7" t="shared"/>
        <v>21</v>
      </c>
      <c r="AO35" s="19">
        <f si="7" t="shared"/>
        <v>6</v>
      </c>
      <c r="AP35" s="19">
        <f si="7" t="shared"/>
        <v>2</v>
      </c>
      <c r="AQ35" s="19">
        <f si="7" t="shared"/>
        <v>1</v>
      </c>
      <c r="AR35" s="19">
        <f si="7" t="shared"/>
        <v>16</v>
      </c>
      <c r="AS35" s="19">
        <f si="7" t="shared"/>
        <v>2</v>
      </c>
      <c r="AT35" s="19">
        <f si="7" t="shared"/>
        <v>0</v>
      </c>
      <c r="AU35" s="19">
        <f ref="AU35:AU53" si="8" t="shared">SUM(Z35:AT35)</f>
        <v>15869</v>
      </c>
      <c r="AX35">
        <v>14</v>
      </c>
      <c r="AY35" s="98" t="s">
        <v>293</v>
      </c>
      <c r="AZ35" s="105">
        <f>$BL$7</f>
        <v>2</v>
      </c>
      <c r="BA35" s="106"/>
      <c r="BB35" s="106"/>
      <c r="BC35" s="107">
        <f>$BL$10</f>
        <v>17</v>
      </c>
      <c r="BD35" s="105">
        <f>$BL$11</f>
        <v>11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9" t="shared">IF($W9&gt;0,(B9/$W9)*$AU9,0)</f>
        <v>337.64627655032854</v>
      </c>
      <c r="C36" s="66">
        <f si="9" t="shared"/>
        <v>693.00684786385773</v>
      </c>
      <c r="D36" s="66">
        <f si="9" t="shared"/>
        <v>11933.09645726967</v>
      </c>
      <c r="E36" s="66">
        <f si="9" t="shared"/>
        <v>5909.7840789166867</v>
      </c>
      <c r="F36" s="66">
        <f si="9" t="shared"/>
        <v>4243.2474665144991</v>
      </c>
      <c r="G36" s="66">
        <f si="9" t="shared"/>
        <v>2640.3888891887823</v>
      </c>
      <c r="H36" s="66">
        <f si="9" t="shared"/>
        <v>0</v>
      </c>
      <c r="I36" s="66">
        <f si="9" t="shared"/>
        <v>221.66646270656625</v>
      </c>
      <c r="J36" s="66">
        <f si="9" t="shared"/>
        <v>0</v>
      </c>
      <c r="K36" s="66">
        <f si="9" t="shared"/>
        <v>176.91845637616049</v>
      </c>
      <c r="L36" s="66">
        <f si="9" t="shared"/>
        <v>1651.2254038822659</v>
      </c>
      <c r="M36" s="66">
        <f si="9" t="shared"/>
        <v>606.5287398040964</v>
      </c>
      <c r="N36" s="66">
        <f si="9" t="shared"/>
        <v>137.99179045438024</v>
      </c>
      <c r="O36" s="66">
        <f si="9" t="shared"/>
        <v>0</v>
      </c>
      <c r="P36" s="66">
        <f si="9" t="shared"/>
        <v>0</v>
      </c>
      <c r="Q36" s="66">
        <f si="9" t="shared"/>
        <v>0</v>
      </c>
      <c r="R36" s="66">
        <f si="9" t="shared"/>
        <v>0</v>
      </c>
      <c r="S36" s="66">
        <f si="9" t="shared"/>
        <v>0</v>
      </c>
      <c r="T36" s="66">
        <f si="9" t="shared"/>
        <v>138.49913047270115</v>
      </c>
      <c r="U36" s="66">
        <f si="9" t="shared"/>
        <v>0</v>
      </c>
      <c r="V36" s="66">
        <f si="9" t="shared"/>
        <v>0</v>
      </c>
      <c r="W36" s="66">
        <f si="9" t="shared"/>
        <v>28690</v>
      </c>
      <c r="X36" s="18"/>
      <c r="Y36">
        <v>3</v>
      </c>
      <c r="Z36" s="19">
        <f si="7" t="shared"/>
        <v>230</v>
      </c>
      <c r="AA36" s="19">
        <f si="7" t="shared"/>
        <v>50</v>
      </c>
      <c r="AB36" s="19">
        <f si="7" t="shared"/>
        <v>290</v>
      </c>
      <c r="AC36" s="19">
        <f si="7" t="shared"/>
        <v>47</v>
      </c>
      <c r="AD36" s="19">
        <f si="7" t="shared"/>
        <v>13</v>
      </c>
      <c r="AE36" s="19">
        <f si="7" t="shared"/>
        <v>112</v>
      </c>
      <c r="AF36" s="19">
        <f si="7" t="shared"/>
        <v>2</v>
      </c>
      <c r="AG36" s="19">
        <f si="7" t="shared"/>
        <v>2</v>
      </c>
      <c r="AH36" s="19">
        <f si="7" t="shared"/>
        <v>9</v>
      </c>
      <c r="AI36" s="19">
        <f si="7" t="shared"/>
        <v>18</v>
      </c>
      <c r="AJ36" s="19">
        <f si="7" t="shared"/>
        <v>27789</v>
      </c>
      <c r="AK36" s="19">
        <f si="7" t="shared"/>
        <v>69</v>
      </c>
      <c r="AL36" s="19">
        <f si="7" t="shared"/>
        <v>12</v>
      </c>
      <c r="AM36" s="19">
        <f si="7" t="shared"/>
        <v>1</v>
      </c>
      <c r="AN36" s="19">
        <f si="7" t="shared"/>
        <v>9</v>
      </c>
      <c r="AO36" s="19">
        <f si="7" t="shared"/>
        <v>2</v>
      </c>
      <c r="AP36" s="19">
        <f si="7" t="shared"/>
        <v>1</v>
      </c>
      <c r="AQ36" s="19">
        <f si="7" t="shared"/>
        <v>0</v>
      </c>
      <c r="AR36" s="19">
        <f si="7" t="shared"/>
        <v>24</v>
      </c>
      <c r="AS36" s="19">
        <f si="7" t="shared"/>
        <v>10</v>
      </c>
      <c r="AT36" s="19">
        <f si="7" t="shared"/>
        <v>0</v>
      </c>
      <c r="AU36" s="19">
        <f si="8" t="shared"/>
        <v>28690</v>
      </c>
      <c r="AX36">
        <v>15</v>
      </c>
      <c r="AY36" s="98" t="s">
        <v>294</v>
      </c>
      <c r="AZ36" s="105">
        <f>$BM$7</f>
        <v>0</v>
      </c>
      <c r="BA36" s="106"/>
      <c r="BB36" s="106"/>
      <c r="BC36" s="107">
        <f>$BM$10</f>
        <v>2</v>
      </c>
      <c r="BD36" s="105">
        <f>$BM$11</f>
        <v>2</v>
      </c>
      <c r="BE36" s="106"/>
      <c r="BF36" s="106"/>
      <c r="BG36" s="107">
        <f>$BM$14</f>
        <v>1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10" t="shared">IF($W10&gt;0,(B10/$W10)*$AU10,0)</f>
        <v>761.40010652137221</v>
      </c>
      <c r="C37" s="66">
        <f si="10" t="shared"/>
        <v>96.929340057149403</v>
      </c>
      <c r="D37" s="66">
        <f si="10" t="shared"/>
        <v>801.4540826134039</v>
      </c>
      <c r="E37" s="66">
        <f si="10" t="shared"/>
        <v>1635.1490402508589</v>
      </c>
      <c r="F37" s="66">
        <f si="10" t="shared"/>
        <v>2152.119455118368</v>
      </c>
      <c r="G37" s="66">
        <f si="10" t="shared"/>
        <v>418.2720373204487</v>
      </c>
      <c r="H37" s="66">
        <f si="10" t="shared"/>
        <v>0</v>
      </c>
      <c r="I37" s="66">
        <f si="10" t="shared"/>
        <v>1009.7288011865273</v>
      </c>
      <c r="J37" s="66">
        <f si="10" t="shared"/>
        <v>308.58438830668302</v>
      </c>
      <c r="K37" s="66">
        <f si="10" t="shared"/>
        <v>1348.6637547843268</v>
      </c>
      <c r="L37" s="66">
        <f si="10" t="shared"/>
        <v>121.35489428463549</v>
      </c>
      <c r="M37" s="66">
        <f si="10" t="shared"/>
        <v>728.90030030428056</v>
      </c>
      <c r="N37" s="66">
        <f si="10" t="shared"/>
        <v>0</v>
      </c>
      <c r="O37" s="66">
        <f si="10" t="shared"/>
        <v>194.44379925194391</v>
      </c>
      <c r="P37" s="66">
        <f si="10" t="shared"/>
        <v>0</v>
      </c>
      <c r="Q37" s="66">
        <f si="10" t="shared"/>
        <v>0</v>
      </c>
      <c r="R37" s="66">
        <f si="10" t="shared"/>
        <v>0</v>
      </c>
      <c r="S37" s="66">
        <f si="10" t="shared"/>
        <v>0</v>
      </c>
      <c r="T37" s="66">
        <f si="10" t="shared"/>
        <v>0</v>
      </c>
      <c r="U37" s="66">
        <f si="10" t="shared"/>
        <v>0</v>
      </c>
      <c r="V37" s="66">
        <f si="10" t="shared"/>
        <v>0</v>
      </c>
      <c r="W37" s="66">
        <f si="10" t="shared"/>
        <v>9577</v>
      </c>
      <c r="X37" s="18"/>
      <c r="Y37">
        <v>4</v>
      </c>
      <c r="Z37" s="19">
        <f si="7" t="shared"/>
        <v>77</v>
      </c>
      <c r="AA37" s="19">
        <f si="7" t="shared"/>
        <v>26</v>
      </c>
      <c r="AB37" s="19">
        <f si="7" t="shared"/>
        <v>8</v>
      </c>
      <c r="AC37" s="19">
        <f si="7" t="shared"/>
        <v>188</v>
      </c>
      <c r="AD37" s="19">
        <f si="7" t="shared"/>
        <v>14</v>
      </c>
      <c r="AE37" s="19">
        <f si="7" t="shared"/>
        <v>49</v>
      </c>
      <c r="AF37" s="19">
        <f si="7" t="shared"/>
        <v>3</v>
      </c>
      <c r="AG37" s="19">
        <f si="7" t="shared"/>
        <v>3</v>
      </c>
      <c r="AH37" s="19">
        <f si="7" t="shared"/>
        <v>4</v>
      </c>
      <c r="AI37" s="19">
        <f si="7" t="shared"/>
        <v>19</v>
      </c>
      <c r="AJ37" s="19">
        <f si="7" t="shared"/>
        <v>9138</v>
      </c>
      <c r="AK37" s="19">
        <f si="7" t="shared"/>
        <v>27</v>
      </c>
      <c r="AL37" s="19">
        <f si="7" t="shared"/>
        <v>0</v>
      </c>
      <c r="AM37" s="19">
        <f si="7" t="shared"/>
        <v>2</v>
      </c>
      <c r="AN37" s="19">
        <f si="7" t="shared"/>
        <v>4</v>
      </c>
      <c r="AO37" s="19">
        <f si="7" t="shared"/>
        <v>8</v>
      </c>
      <c r="AP37" s="19">
        <f si="7" t="shared"/>
        <v>0</v>
      </c>
      <c r="AQ37" s="19">
        <f si="7" t="shared"/>
        <v>0</v>
      </c>
      <c r="AR37" s="19">
        <f si="7" t="shared"/>
        <v>3</v>
      </c>
      <c r="AS37" s="19">
        <f si="7" t="shared"/>
        <v>4</v>
      </c>
      <c r="AT37" s="19">
        <f si="7" t="shared"/>
        <v>0</v>
      </c>
      <c r="AU37" s="19">
        <f si="8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10</v>
      </c>
      <c r="BD37" s="105">
        <f>$BN$11</f>
        <v>1</v>
      </c>
      <c r="BE37" s="106"/>
      <c r="BF37" s="106"/>
      <c r="BG37" s="107">
        <f>$BN$14</f>
        <v>11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1" t="shared">IF($W11&gt;0,(B11/$W11)*$AU11,0)</f>
        <v>0</v>
      </c>
      <c r="C38" s="66">
        <f si="11" t="shared"/>
        <v>0</v>
      </c>
      <c r="D38" s="66">
        <f si="11" t="shared"/>
        <v>0</v>
      </c>
      <c r="E38" s="66">
        <f si="11" t="shared"/>
        <v>70.299188702101645</v>
      </c>
      <c r="F38" s="66">
        <f si="11" t="shared"/>
        <v>5378.3499329113165</v>
      </c>
      <c r="G38" s="66">
        <f si="11" t="shared"/>
        <v>1616.8389305606029</v>
      </c>
      <c r="H38" s="66">
        <f si="11" t="shared"/>
        <v>0</v>
      </c>
      <c r="I38" s="66">
        <f si="11" t="shared"/>
        <v>0</v>
      </c>
      <c r="J38" s="66">
        <f si="11" t="shared"/>
        <v>144.62719435466414</v>
      </c>
      <c r="K38" s="66">
        <f si="11" t="shared"/>
        <v>1998.8847534713141</v>
      </c>
      <c r="L38" s="66">
        <f si="11" t="shared"/>
        <v>0</v>
      </c>
      <c r="M38" s="66">
        <f si="11" t="shared"/>
        <v>0</v>
      </c>
      <c r="N38" s="66">
        <f si="11" t="shared"/>
        <v>0</v>
      </c>
      <c r="O38" s="66">
        <f si="11" t="shared"/>
        <v>0</v>
      </c>
      <c r="P38" s="66">
        <f si="11" t="shared"/>
        <v>0</v>
      </c>
      <c r="Q38" s="66">
        <f si="11" t="shared"/>
        <v>0</v>
      </c>
      <c r="R38" s="66">
        <f si="11" t="shared"/>
        <v>0</v>
      </c>
      <c r="S38" s="66">
        <f si="11" t="shared"/>
        <v>0</v>
      </c>
      <c r="T38" s="66">
        <f si="11" t="shared"/>
        <v>0</v>
      </c>
      <c r="U38" s="66">
        <f si="11" t="shared"/>
        <v>0</v>
      </c>
      <c r="V38" s="66">
        <f si="11" t="shared"/>
        <v>0</v>
      </c>
      <c r="W38" s="66">
        <f si="11" t="shared"/>
        <v>9209</v>
      </c>
      <c r="X38" s="18"/>
      <c r="Y38">
        <v>5</v>
      </c>
      <c r="Z38" s="19">
        <f si="7" t="shared"/>
        <v>124</v>
      </c>
      <c r="AA38" s="19">
        <f si="7" t="shared"/>
        <v>40</v>
      </c>
      <c r="AB38" s="19">
        <f si="7" t="shared"/>
        <v>25</v>
      </c>
      <c r="AC38" s="19">
        <f si="7" t="shared"/>
        <v>24</v>
      </c>
      <c r="AD38" s="19">
        <f si="7" t="shared"/>
        <v>180</v>
      </c>
      <c r="AE38" s="19">
        <f si="7" t="shared"/>
        <v>165</v>
      </c>
      <c r="AF38" s="19">
        <f si="7" t="shared"/>
        <v>8</v>
      </c>
      <c r="AG38" s="19">
        <f si="7" t="shared"/>
        <v>6</v>
      </c>
      <c r="AH38" s="19">
        <f si="7" t="shared"/>
        <v>10</v>
      </c>
      <c r="AI38" s="19">
        <f si="7" t="shared"/>
        <v>51</v>
      </c>
      <c r="AJ38" s="19">
        <f si="7" t="shared"/>
        <v>8486</v>
      </c>
      <c r="AK38" s="19">
        <f si="7" t="shared"/>
        <v>67</v>
      </c>
      <c r="AL38" s="19">
        <f si="7" t="shared"/>
        <v>0</v>
      </c>
      <c r="AM38" s="19">
        <f si="7" t="shared"/>
        <v>0</v>
      </c>
      <c r="AN38" s="19">
        <f si="7" t="shared"/>
        <v>0</v>
      </c>
      <c r="AO38" s="19">
        <f si="7" t="shared"/>
        <v>13</v>
      </c>
      <c r="AP38" s="19">
        <f si="7" t="shared"/>
        <v>0</v>
      </c>
      <c r="AQ38" s="19">
        <f si="7" t="shared"/>
        <v>0</v>
      </c>
      <c r="AR38" s="19">
        <f si="7" t="shared"/>
        <v>6</v>
      </c>
      <c r="AS38" s="19">
        <f si="7" t="shared"/>
        <v>4</v>
      </c>
      <c r="AT38" s="19">
        <f si="7" t="shared"/>
        <v>0</v>
      </c>
      <c r="AU38" s="19">
        <f si="8" t="shared"/>
        <v>9209</v>
      </c>
      <c r="AX38">
        <v>17</v>
      </c>
      <c r="AY38" s="98" t="s">
        <v>296</v>
      </c>
      <c r="AZ38" s="105">
        <f>$BO$7</f>
        <v>0</v>
      </c>
      <c r="BA38" s="106"/>
      <c r="BB38" s="106"/>
      <c r="BC38" s="107">
        <f>$BO$10</f>
        <v>0</v>
      </c>
      <c r="BD38" s="105">
        <f>$BO$11</f>
        <v>2</v>
      </c>
      <c r="BE38" s="106"/>
      <c r="BF38" s="106"/>
      <c r="BG38" s="107">
        <f>$BO$14</f>
        <v>2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2" t="shared">IF($W12&gt;0,(B12/$W12)*$AU12,0)</f>
        <v>189.7881775737747</v>
      </c>
      <c r="C39" s="66">
        <f si="12" t="shared"/>
        <v>553.99069182594599</v>
      </c>
      <c r="D39" s="66">
        <f si="12" t="shared"/>
        <v>4054.4633262524158</v>
      </c>
      <c r="E39" s="66">
        <f si="12" t="shared"/>
        <v>810.53768367009025</v>
      </c>
      <c r="F39" s="66">
        <f si="12" t="shared"/>
        <v>2191.1000296832349</v>
      </c>
      <c r="G39" s="66">
        <f si="12" t="shared"/>
        <v>12857.31422150563</v>
      </c>
      <c r="H39" s="66">
        <f si="12" t="shared"/>
        <v>0</v>
      </c>
      <c r="I39" s="66">
        <f si="12" t="shared"/>
        <v>0</v>
      </c>
      <c r="J39" s="66">
        <f si="12" t="shared"/>
        <v>0</v>
      </c>
      <c r="K39" s="66">
        <f si="12" t="shared"/>
        <v>0</v>
      </c>
      <c r="L39" s="66">
        <f si="12" t="shared"/>
        <v>0</v>
      </c>
      <c r="M39" s="66">
        <f si="12" t="shared"/>
        <v>6229.8058694889087</v>
      </c>
      <c r="N39" s="66">
        <f si="12" t="shared"/>
        <v>0</v>
      </c>
      <c r="O39" s="66">
        <f si="12" t="shared"/>
        <v>0</v>
      </c>
      <c r="P39" s="66">
        <f si="12" t="shared"/>
        <v>0</v>
      </c>
      <c r="Q39" s="66">
        <f si="12" t="shared"/>
        <v>0</v>
      </c>
      <c r="R39" s="66">
        <f si="12" t="shared"/>
        <v>0</v>
      </c>
      <c r="S39" s="66">
        <f si="12" t="shared"/>
        <v>0</v>
      </c>
      <c r="T39" s="66">
        <f si="12" t="shared"/>
        <v>0</v>
      </c>
      <c r="U39" s="66">
        <f si="12" t="shared"/>
        <v>0</v>
      </c>
      <c r="V39" s="66">
        <f si="12" t="shared"/>
        <v>0</v>
      </c>
      <c r="W39" s="66">
        <f si="12" t="shared"/>
        <v>26887</v>
      </c>
      <c r="X39" s="18"/>
      <c r="Y39">
        <v>6</v>
      </c>
      <c r="Z39" s="19">
        <f si="7" t="shared"/>
        <v>423</v>
      </c>
      <c r="AA39" s="19">
        <f si="7" t="shared"/>
        <v>174</v>
      </c>
      <c r="AB39" s="19">
        <f si="7" t="shared"/>
        <v>115</v>
      </c>
      <c r="AC39" s="19">
        <f si="7" t="shared"/>
        <v>75</v>
      </c>
      <c r="AD39" s="19">
        <f si="7" t="shared"/>
        <v>168</v>
      </c>
      <c r="AE39" s="19">
        <f si="7" t="shared"/>
        <v>1627</v>
      </c>
      <c r="AF39" s="19">
        <f si="7" t="shared"/>
        <v>44</v>
      </c>
      <c r="AG39" s="19">
        <f si="7" t="shared"/>
        <v>31</v>
      </c>
      <c r="AH39" s="19">
        <f si="7" t="shared"/>
        <v>71</v>
      </c>
      <c r="AI39" s="19">
        <f si="7" t="shared"/>
        <v>103</v>
      </c>
      <c r="AJ39" s="19">
        <f si="7" t="shared"/>
        <v>23425</v>
      </c>
      <c r="AK39" s="19">
        <f si="7" t="shared"/>
        <v>540</v>
      </c>
      <c r="AL39" s="19">
        <f si="7" t="shared"/>
        <v>5</v>
      </c>
      <c r="AM39" s="19">
        <f si="7" t="shared"/>
        <v>7</v>
      </c>
      <c r="AN39" s="19">
        <f si="7" t="shared"/>
        <v>2</v>
      </c>
      <c r="AO39" s="19">
        <f si="7" t="shared"/>
        <v>36</v>
      </c>
      <c r="AP39" s="19">
        <f si="7" t="shared"/>
        <v>5</v>
      </c>
      <c r="AQ39" s="19">
        <f si="7" t="shared"/>
        <v>13</v>
      </c>
      <c r="AR39" s="19">
        <f si="7" t="shared"/>
        <v>17</v>
      </c>
      <c r="AS39" s="19">
        <f si="7" t="shared"/>
        <v>6</v>
      </c>
      <c r="AT39" s="19">
        <f si="7" t="shared"/>
        <v>0</v>
      </c>
      <c r="AU39" s="19">
        <f si="8" t="shared"/>
        <v>26887</v>
      </c>
      <c r="AX39">
        <v>18</v>
      </c>
      <c r="AY39" s="98" t="s">
        <v>297</v>
      </c>
      <c r="AZ39" s="105">
        <f>$BP$7</f>
        <v>7</v>
      </c>
      <c r="BA39" s="106"/>
      <c r="BB39" s="106"/>
      <c r="BC39" s="107">
        <f>$BP$10</f>
        <v>39</v>
      </c>
      <c r="BD39" s="105">
        <f>$BP$11</f>
        <v>17</v>
      </c>
      <c r="BE39" s="106"/>
      <c r="BF39" s="106"/>
      <c r="BG39" s="107">
        <f>$BP$14</f>
        <v>38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3" t="shared">IF($W13&gt;0,(B13/$W13)*$AU13,0)</f>
        <v>515.71621878585108</v>
      </c>
      <c r="C40" s="66">
        <f si="13" t="shared"/>
        <v>3510.3098523960948</v>
      </c>
      <c r="D40" s="66">
        <f si="13" t="shared"/>
        <v>572.77888503044312</v>
      </c>
      <c r="E40" s="66">
        <f si="13" t="shared"/>
        <v>0</v>
      </c>
      <c r="F40" s="66">
        <f si="13" t="shared"/>
        <v>3856.306115298893</v>
      </c>
      <c r="G40" s="66">
        <f si="13" t="shared"/>
        <v>8233.0037540388566</v>
      </c>
      <c r="H40" s="66">
        <f si="13" t="shared"/>
        <v>50061.590856605209</v>
      </c>
      <c r="I40" s="66">
        <f si="13" t="shared"/>
        <v>0</v>
      </c>
      <c r="J40" s="66">
        <f si="13" t="shared"/>
        <v>1475.0091229984646</v>
      </c>
      <c r="K40" s="66">
        <f si="13" t="shared"/>
        <v>0</v>
      </c>
      <c r="L40" s="66">
        <f si="13" t="shared"/>
        <v>0</v>
      </c>
      <c r="M40" s="66">
        <f si="13" t="shared"/>
        <v>5573.5647738441676</v>
      </c>
      <c r="N40" s="66">
        <f si="13" t="shared"/>
        <v>9997.760674619054</v>
      </c>
      <c r="O40" s="66">
        <f si="13" t="shared"/>
        <v>0</v>
      </c>
      <c r="P40" s="66">
        <f si="13" t="shared"/>
        <v>0</v>
      </c>
      <c r="Q40" s="66">
        <f si="13" t="shared"/>
        <v>0</v>
      </c>
      <c r="R40" s="66">
        <f si="13" t="shared"/>
        <v>0</v>
      </c>
      <c r="S40" s="66">
        <f si="13" t="shared"/>
        <v>264.95974638297889</v>
      </c>
      <c r="T40" s="66">
        <f si="13" t="shared"/>
        <v>0</v>
      </c>
      <c r="U40" s="66">
        <f si="13" t="shared"/>
        <v>0</v>
      </c>
      <c r="V40" s="66">
        <f si="13" t="shared"/>
        <v>0</v>
      </c>
      <c r="W40" s="66">
        <f si="13" t="shared"/>
        <v>84061</v>
      </c>
      <c r="X40" s="18"/>
      <c r="Y40">
        <v>7</v>
      </c>
      <c r="Z40" s="19">
        <f si="7" t="shared"/>
        <v>1371</v>
      </c>
      <c r="AA40" s="19">
        <f si="7" t="shared"/>
        <v>1295</v>
      </c>
      <c r="AB40" s="19">
        <f si="7" t="shared"/>
        <v>675</v>
      </c>
      <c r="AC40" s="19">
        <f si="7" t="shared"/>
        <v>272</v>
      </c>
      <c r="AD40" s="19">
        <f si="7" t="shared"/>
        <v>342</v>
      </c>
      <c r="AE40" s="19">
        <f si="7" t="shared"/>
        <v>1803</v>
      </c>
      <c r="AF40" s="19">
        <f si="7" t="shared"/>
        <v>9232</v>
      </c>
      <c r="AG40" s="19">
        <f si="7" t="shared"/>
        <v>76</v>
      </c>
      <c r="AH40" s="19">
        <f si="7" t="shared"/>
        <v>1455</v>
      </c>
      <c r="AI40" s="19">
        <f si="7" t="shared"/>
        <v>259</v>
      </c>
      <c r="AJ40" s="19">
        <f si="7" t="shared"/>
        <v>59874</v>
      </c>
      <c r="AK40" s="19">
        <f si="7" t="shared"/>
        <v>5628</v>
      </c>
      <c r="AL40" s="19">
        <f si="7" t="shared"/>
        <v>977</v>
      </c>
      <c r="AM40" s="19">
        <f si="7" t="shared"/>
        <v>16</v>
      </c>
      <c r="AN40" s="19">
        <f si="7" t="shared"/>
        <v>433</v>
      </c>
      <c r="AO40" s="19">
        <f si="7" t="shared"/>
        <v>90</v>
      </c>
      <c r="AP40" s="19">
        <f si="7" t="shared"/>
        <v>10</v>
      </c>
      <c r="AQ40" s="19">
        <f si="7" t="shared"/>
        <v>114</v>
      </c>
      <c r="AR40" s="19">
        <f si="7" t="shared"/>
        <v>105</v>
      </c>
      <c r="AS40" s="19">
        <f si="7" t="shared"/>
        <v>34</v>
      </c>
      <c r="AT40" s="19">
        <f si="7" t="shared"/>
        <v>0</v>
      </c>
      <c r="AU40" s="19">
        <f si="8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4" t="shared">IF($W14&gt;0,(B14/$W14)*$AU14,0)</f>
        <v>180.36967898844449</v>
      </c>
      <c r="C41" s="66">
        <f si="14" t="shared"/>
        <v>0</v>
      </c>
      <c r="D41" s="66">
        <f si="14" t="shared"/>
        <v>0</v>
      </c>
      <c r="E41" s="66">
        <f si="14" t="shared"/>
        <v>601.02131836818967</v>
      </c>
      <c r="F41" s="66">
        <f si="14" t="shared"/>
        <v>1914.679955611123</v>
      </c>
      <c r="G41" s="66">
        <f si="14" t="shared"/>
        <v>0</v>
      </c>
      <c r="H41" s="66">
        <f si="14" t="shared"/>
        <v>0</v>
      </c>
      <c r="I41" s="66">
        <f si="14" t="shared"/>
        <v>614.85968958648789</v>
      </c>
      <c r="J41" s="66">
        <f si="14" t="shared"/>
        <v>0</v>
      </c>
      <c r="K41" s="66">
        <f si="14" t="shared"/>
        <v>0</v>
      </c>
      <c r="L41" s="66">
        <f si="14" t="shared"/>
        <v>1356.0693574457555</v>
      </c>
      <c r="M41" s="66">
        <f si="14" t="shared"/>
        <v>0</v>
      </c>
      <c r="N41" s="66">
        <f si="14" t="shared"/>
        <v>0</v>
      </c>
      <c r="O41" s="66">
        <f si="14" t="shared"/>
        <v>0</v>
      </c>
      <c r="P41" s="66">
        <f si="14" t="shared"/>
        <v>0</v>
      </c>
      <c r="Q41" s="66">
        <f si="14" t="shared"/>
        <v>0</v>
      </c>
      <c r="R41" s="66">
        <f si="14" t="shared"/>
        <v>0</v>
      </c>
      <c r="S41" s="66">
        <f si="14" t="shared"/>
        <v>0</v>
      </c>
      <c r="T41" s="66">
        <f si="14" t="shared"/>
        <v>0</v>
      </c>
      <c r="U41" s="66">
        <f si="14" t="shared"/>
        <v>0</v>
      </c>
      <c r="V41" s="66">
        <f si="14" t="shared"/>
        <v>0</v>
      </c>
      <c r="W41" s="66">
        <f si="14" t="shared"/>
        <v>4667</v>
      </c>
      <c r="X41" s="19"/>
      <c r="Y41">
        <v>8</v>
      </c>
      <c r="Z41" s="19">
        <f si="7" t="shared"/>
        <v>5</v>
      </c>
      <c r="AA41" s="19">
        <f si="7" t="shared"/>
        <v>0</v>
      </c>
      <c r="AB41" s="19">
        <f si="7" t="shared"/>
        <v>3</v>
      </c>
      <c r="AC41" s="19">
        <f si="7" t="shared"/>
        <v>5</v>
      </c>
      <c r="AD41" s="19">
        <f si="7" t="shared"/>
        <v>0</v>
      </c>
      <c r="AE41" s="19">
        <f si="7" t="shared"/>
        <v>8</v>
      </c>
      <c r="AF41" s="19">
        <f si="7" t="shared"/>
        <v>0</v>
      </c>
      <c r="AG41" s="19">
        <f si="7" t="shared"/>
        <v>87</v>
      </c>
      <c r="AH41" s="19">
        <f si="7" t="shared"/>
        <v>2</v>
      </c>
      <c r="AI41" s="19">
        <f si="7" t="shared"/>
        <v>4</v>
      </c>
      <c r="AJ41" s="19">
        <f si="7" t="shared"/>
        <v>4506</v>
      </c>
      <c r="AK41" s="19">
        <f si="7" t="shared"/>
        <v>10</v>
      </c>
      <c r="AL41" s="19">
        <f si="7" t="shared"/>
        <v>5</v>
      </c>
      <c r="AM41" s="19">
        <f si="7" t="shared"/>
        <v>4</v>
      </c>
      <c r="AN41" s="19">
        <f si="7" t="shared"/>
        <v>6</v>
      </c>
      <c r="AO41" s="19">
        <f si="7" t="shared"/>
        <v>1</v>
      </c>
      <c r="AP41" s="19">
        <f si="7" t="shared"/>
        <v>0</v>
      </c>
      <c r="AQ41" s="19">
        <f si="7" t="shared"/>
        <v>0</v>
      </c>
      <c r="AR41" s="19">
        <f si="7" t="shared"/>
        <v>11</v>
      </c>
      <c r="AS41" s="19">
        <f si="7" t="shared"/>
        <v>10</v>
      </c>
      <c r="AT41" s="19">
        <f si="7" t="shared"/>
        <v>0</v>
      </c>
      <c r="AU41" s="19">
        <f si="8" t="shared"/>
        <v>4667</v>
      </c>
      <c r="AX41">
        <v>20</v>
      </c>
      <c r="AY41" s="98" t="s">
        <v>299</v>
      </c>
      <c r="AZ41" s="105">
        <f>$BR$7</f>
        <v>8962.8428254185419</v>
      </c>
      <c r="BA41" s="106"/>
      <c r="BB41" s="106"/>
      <c r="BC41" s="107">
        <f>$BR$10</f>
        <v>20754</v>
      </c>
      <c r="BD41" s="105">
        <f>$BR$11</f>
        <v>25724.242764300438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5" t="shared">IF($W15&gt;0,(B15/$W15)*$AU15,0)</f>
        <v>3508.5015676398966</v>
      </c>
      <c r="C42" s="66">
        <f si="15" t="shared"/>
        <v>897.16537379630108</v>
      </c>
      <c r="D42" s="66">
        <f si="15" t="shared"/>
        <v>2431.8275767477207</v>
      </c>
      <c r="E42" s="66">
        <f si="15" t="shared"/>
        <v>485.41906194634652</v>
      </c>
      <c r="F42" s="66">
        <f si="15" t="shared"/>
        <v>3935.0735609701946</v>
      </c>
      <c r="G42" s="66">
        <f si="15" t="shared"/>
        <v>1427.5385606523255</v>
      </c>
      <c r="H42" s="66">
        <f si="15" t="shared"/>
        <v>2341.1539988715463</v>
      </c>
      <c r="I42" s="66">
        <f si="15" t="shared"/>
        <v>0</v>
      </c>
      <c r="J42" s="66">
        <f si="15" t="shared"/>
        <v>32561.80008271513</v>
      </c>
      <c r="K42" s="66">
        <f si="15" t="shared"/>
        <v>0</v>
      </c>
      <c r="L42" s="66">
        <f si="15" t="shared"/>
        <v>201.33004641214032</v>
      </c>
      <c r="M42" s="66">
        <f si="15" t="shared"/>
        <v>4190.6936800544081</v>
      </c>
      <c r="N42" s="66">
        <f si="15" t="shared"/>
        <v>1605.8313174218706</v>
      </c>
      <c r="O42" s="66">
        <f si="15" t="shared"/>
        <v>0</v>
      </c>
      <c r="P42" s="66">
        <f si="15" t="shared"/>
        <v>5726.8247766729301</v>
      </c>
      <c r="Q42" s="66">
        <f si="15" t="shared"/>
        <v>0</v>
      </c>
      <c r="R42" s="66">
        <f si="15" t="shared"/>
        <v>0</v>
      </c>
      <c r="S42" s="66">
        <f si="15" t="shared"/>
        <v>0</v>
      </c>
      <c r="T42" s="66">
        <f si="15" t="shared"/>
        <v>3202.8403960991941</v>
      </c>
      <c r="U42" s="66">
        <f si="15" t="shared"/>
        <v>0</v>
      </c>
      <c r="V42" s="66">
        <f si="15" t="shared"/>
        <v>0</v>
      </c>
      <c r="W42" s="66">
        <f si="15" t="shared"/>
        <v>62516</v>
      </c>
      <c r="X42" s="19"/>
      <c r="Y42">
        <v>9</v>
      </c>
      <c r="Z42" s="19">
        <f si="7" t="shared"/>
        <v>303</v>
      </c>
      <c r="AA42" s="19">
        <f si="7" t="shared"/>
        <v>187</v>
      </c>
      <c r="AB42" s="19">
        <f si="7" t="shared"/>
        <v>139</v>
      </c>
      <c r="AC42" s="19">
        <f si="7" t="shared"/>
        <v>82</v>
      </c>
      <c r="AD42" s="19">
        <f si="7" t="shared"/>
        <v>35</v>
      </c>
      <c r="AE42" s="19">
        <f si="7" t="shared"/>
        <v>306</v>
      </c>
      <c r="AF42" s="19">
        <f si="7" t="shared"/>
        <v>459</v>
      </c>
      <c r="AG42" s="19">
        <f si="7" t="shared"/>
        <v>9</v>
      </c>
      <c r="AH42" s="19">
        <f si="7" t="shared"/>
        <v>1424</v>
      </c>
      <c r="AI42" s="19">
        <f si="7" t="shared"/>
        <v>41</v>
      </c>
      <c r="AJ42" s="19">
        <f si="7" t="shared"/>
        <v>58599</v>
      </c>
      <c r="AK42" s="19">
        <f si="7" t="shared"/>
        <v>446</v>
      </c>
      <c r="AL42" s="19">
        <f si="7" t="shared"/>
        <v>71</v>
      </c>
      <c r="AM42" s="19">
        <f si="7" t="shared"/>
        <v>12</v>
      </c>
      <c r="AN42" s="19">
        <f si="7" t="shared"/>
        <v>288</v>
      </c>
      <c r="AO42" s="19">
        <f si="7" t="shared"/>
        <v>4</v>
      </c>
      <c r="AP42" s="19">
        <f si="7" t="shared"/>
        <v>3</v>
      </c>
      <c r="AQ42" s="19">
        <f si="7" t="shared"/>
        <v>3</v>
      </c>
      <c r="AR42" s="19">
        <f si="7" t="shared"/>
        <v>92</v>
      </c>
      <c r="AS42" s="19">
        <f si="7" t="shared"/>
        <v>13</v>
      </c>
      <c r="AT42" s="19">
        <f si="7" t="shared"/>
        <v>0</v>
      </c>
      <c r="AU42" s="19">
        <f si="8" t="shared"/>
        <v>62516</v>
      </c>
      <c r="AX42" s="111"/>
      <c r="AY42" s="112" t="s">
        <v>300</v>
      </c>
      <c r="AZ42" s="113">
        <f ref="AZ42:BG42" si="16" t="shared">SUM(AZ22:AZ41)</f>
        <v>9463.8428254185419</v>
      </c>
      <c r="BA42" s="114"/>
      <c r="BB42" s="114"/>
      <c r="BC42" s="115">
        <f si="16" t="shared"/>
        <v>23602</v>
      </c>
      <c r="BD42" s="113">
        <f si="16" t="shared"/>
        <v>26831.242764300438</v>
      </c>
      <c r="BE42" s="114"/>
      <c r="BF42" s="114"/>
      <c r="BG42" s="115">
        <f si="16" t="shared"/>
        <v>22828</v>
      </c>
      <c r="BH42" s="116">
        <v>1</v>
      </c>
      <c r="BI42" s="116"/>
      <c r="BJ42" s="116"/>
      <c r="BK42" s="117">
        <v>1</v>
      </c>
      <c r="BL42" s="126">
        <f ref="BL42" si="17" t="shared">BK42-BJ42</f>
        <v>1</v>
      </c>
      <c r="BM42" s="127">
        <f>(BG42-BD42)/BD42</f>
        <v>-0.14920079548558371</v>
      </c>
    </row>
    <row r="43" spans="1:66" x14ac:dyDescent="0.25">
      <c r="A43">
        <v>10</v>
      </c>
      <c r="B43" s="66">
        <f ref="B43:W43" si="18" t="shared">IF($W16&gt;0,(B16/$W16)*$AU16,0)</f>
        <v>0</v>
      </c>
      <c r="C43" s="66">
        <f si="18" t="shared"/>
        <v>0</v>
      </c>
      <c r="D43" s="66">
        <f si="18" t="shared"/>
        <v>191.97818006292115</v>
      </c>
      <c r="E43" s="66">
        <f si="18" t="shared"/>
        <v>0</v>
      </c>
      <c r="F43" s="66">
        <f si="18" t="shared"/>
        <v>2311.4925817055</v>
      </c>
      <c r="G43" s="66">
        <f si="18" t="shared"/>
        <v>2594.8244949582336</v>
      </c>
      <c r="H43" s="66">
        <f si="18" t="shared"/>
        <v>0</v>
      </c>
      <c r="I43" s="66">
        <f si="18" t="shared"/>
        <v>0</v>
      </c>
      <c r="J43" s="66">
        <f si="18" t="shared"/>
        <v>0</v>
      </c>
      <c r="K43" s="66">
        <f si="18" t="shared"/>
        <v>11776.216978995855</v>
      </c>
      <c r="L43" s="66">
        <f si="18" t="shared"/>
        <v>0</v>
      </c>
      <c r="M43" s="66">
        <f si="18" t="shared"/>
        <v>7325.2828720887073</v>
      </c>
      <c r="N43" s="66">
        <f si="18" t="shared"/>
        <v>120.87798241298572</v>
      </c>
      <c r="O43" s="66">
        <f si="18" t="shared"/>
        <v>0</v>
      </c>
      <c r="P43" s="66">
        <f si="18" t="shared"/>
        <v>0</v>
      </c>
      <c r="Q43" s="66">
        <f si="18" t="shared"/>
        <v>2539.3269097757966</v>
      </c>
      <c r="R43" s="66">
        <f si="18" t="shared"/>
        <v>0</v>
      </c>
      <c r="S43" s="66">
        <f si="18" t="shared"/>
        <v>0</v>
      </c>
      <c r="T43" s="66">
        <f si="18" t="shared"/>
        <v>0</v>
      </c>
      <c r="U43" s="66">
        <f si="18" t="shared"/>
        <v>0</v>
      </c>
      <c r="V43" s="66">
        <f si="18" t="shared"/>
        <v>0</v>
      </c>
      <c r="W43" s="66">
        <f si="18" t="shared"/>
        <v>26860</v>
      </c>
      <c r="Y43">
        <v>10</v>
      </c>
      <c r="Z43" s="19">
        <f si="7" t="shared"/>
        <v>340</v>
      </c>
      <c r="AA43" s="19">
        <f si="7" t="shared"/>
        <v>152</v>
      </c>
      <c r="AB43" s="19">
        <f si="7" t="shared"/>
        <v>88</v>
      </c>
      <c r="AC43" s="19">
        <f si="7" t="shared"/>
        <v>95</v>
      </c>
      <c r="AD43" s="19">
        <f si="7" t="shared"/>
        <v>142</v>
      </c>
      <c r="AE43" s="19">
        <f si="7" t="shared"/>
        <v>678</v>
      </c>
      <c r="AF43" s="19">
        <f si="7" t="shared"/>
        <v>33</v>
      </c>
      <c r="AG43" s="19">
        <f si="7" t="shared"/>
        <v>40</v>
      </c>
      <c r="AH43" s="19">
        <f si="7" t="shared"/>
        <v>41</v>
      </c>
      <c r="AI43" s="19">
        <f si="7" t="shared"/>
        <v>1135</v>
      </c>
      <c r="AJ43" s="19">
        <f si="7" t="shared"/>
        <v>23163</v>
      </c>
      <c r="AK43" s="19">
        <f si="7" t="shared"/>
        <v>731</v>
      </c>
      <c r="AL43" s="19">
        <f si="7" t="shared"/>
        <v>4</v>
      </c>
      <c r="AM43" s="19">
        <f si="7" t="shared"/>
        <v>2</v>
      </c>
      <c r="AN43" s="19">
        <f si="7" t="shared"/>
        <v>1</v>
      </c>
      <c r="AO43" s="19">
        <f si="7" t="shared"/>
        <v>183</v>
      </c>
      <c r="AP43" s="19">
        <f si="7" t="shared"/>
        <v>4</v>
      </c>
      <c r="AQ43" s="19">
        <f si="7" t="shared"/>
        <v>7</v>
      </c>
      <c r="AR43" s="19">
        <f si="7" t="shared"/>
        <v>14</v>
      </c>
      <c r="AS43" s="19">
        <f si="7" t="shared"/>
        <v>7</v>
      </c>
      <c r="AT43" s="19">
        <f si="7" t="shared"/>
        <v>0</v>
      </c>
      <c r="AU43" s="19">
        <f si="8" t="shared"/>
        <v>26860</v>
      </c>
    </row>
    <row r="44" spans="1:66" x14ac:dyDescent="0.25">
      <c r="A44">
        <v>11</v>
      </c>
      <c r="B44" s="66">
        <f ref="B44:W44" si="19" t="shared">IF($W17&gt;0,(B17/$W17)*$AU17,0)</f>
        <v>379.29816824913507</v>
      </c>
      <c r="C44" s="66">
        <f si="19" t="shared"/>
        <v>0</v>
      </c>
      <c r="D44" s="66">
        <f si="19" t="shared"/>
        <v>1018.5132306084544</v>
      </c>
      <c r="E44" s="66">
        <f si="19" t="shared"/>
        <v>799.85523909879532</v>
      </c>
      <c r="F44" s="66">
        <f si="19" t="shared"/>
        <v>532.37729860844365</v>
      </c>
      <c r="G44" s="66">
        <f si="19" t="shared"/>
        <v>156.57718884467474</v>
      </c>
      <c r="H44" s="66">
        <f si="19" t="shared"/>
        <v>0</v>
      </c>
      <c r="I44" s="66">
        <f si="19" t="shared"/>
        <v>734.77354129191087</v>
      </c>
      <c r="J44" s="66">
        <f si="19" t="shared"/>
        <v>5372.9922148554606</v>
      </c>
      <c r="K44" s="66">
        <f si="19" t="shared"/>
        <v>0</v>
      </c>
      <c r="L44" s="66">
        <f si="19" t="shared"/>
        <v>41308.121792586317</v>
      </c>
      <c r="M44" s="66">
        <f si="19" t="shared"/>
        <v>154.68080794455565</v>
      </c>
      <c r="N44" s="66">
        <f si="19" t="shared"/>
        <v>220.47434386910069</v>
      </c>
      <c r="O44" s="66">
        <f si="19" t="shared"/>
        <v>276.23733437978052</v>
      </c>
      <c r="P44" s="66">
        <f si="19" t="shared"/>
        <v>0</v>
      </c>
      <c r="Q44" s="66">
        <f si="19" t="shared"/>
        <v>0</v>
      </c>
      <c r="R44" s="66">
        <f si="19" t="shared"/>
        <v>0</v>
      </c>
      <c r="S44" s="66">
        <f si="19" t="shared"/>
        <v>0</v>
      </c>
      <c r="T44" s="66">
        <f si="19" t="shared"/>
        <v>4027.098839663372</v>
      </c>
      <c r="U44" s="66">
        <f si="19" t="shared"/>
        <v>0</v>
      </c>
      <c r="V44" s="66">
        <f si="19" t="shared"/>
        <v>0</v>
      </c>
      <c r="W44" s="66">
        <f si="19" t="shared"/>
        <v>54981</v>
      </c>
      <c r="Y44">
        <v>11</v>
      </c>
      <c r="Z44" s="19">
        <f si="7" t="shared"/>
        <v>146</v>
      </c>
      <c r="AA44" s="19">
        <f si="7" t="shared"/>
        <v>33</v>
      </c>
      <c r="AB44" s="19">
        <f si="7" t="shared"/>
        <v>11</v>
      </c>
      <c r="AC44" s="19">
        <f si="7" t="shared"/>
        <v>74</v>
      </c>
      <c r="AD44" s="19">
        <f si="7" t="shared"/>
        <v>6</v>
      </c>
      <c r="AE44" s="19">
        <f si="7" t="shared"/>
        <v>68</v>
      </c>
      <c r="AF44" s="19">
        <f si="7" t="shared"/>
        <v>5</v>
      </c>
      <c r="AG44" s="19">
        <f si="7" t="shared"/>
        <v>0</v>
      </c>
      <c r="AH44" s="19">
        <f si="7" t="shared"/>
        <v>5</v>
      </c>
      <c r="AI44" s="19">
        <f si="7" t="shared"/>
        <v>13</v>
      </c>
      <c r="AJ44" s="19">
        <f si="7" t="shared"/>
        <v>54293</v>
      </c>
      <c r="AK44" s="19">
        <f si="7" t="shared"/>
        <v>47</v>
      </c>
      <c r="AL44" s="19">
        <f si="7" t="shared"/>
        <v>11</v>
      </c>
      <c r="AM44" s="19">
        <f si="7" t="shared"/>
        <v>13</v>
      </c>
      <c r="AN44" s="19">
        <f si="7" t="shared"/>
        <v>61</v>
      </c>
      <c r="AO44" s="19">
        <f si="7" t="shared"/>
        <v>0</v>
      </c>
      <c r="AP44" s="19">
        <f si="7" t="shared"/>
        <v>21</v>
      </c>
      <c r="AQ44" s="19">
        <f si="7" t="shared"/>
        <v>0</v>
      </c>
      <c r="AR44" s="19">
        <f si="7" t="shared"/>
        <v>143</v>
      </c>
      <c r="AS44" s="19">
        <f si="7" t="shared"/>
        <v>31</v>
      </c>
      <c r="AT44" s="19">
        <f si="7" t="shared"/>
        <v>0</v>
      </c>
      <c r="AU44" s="19">
        <f si="8" t="shared"/>
        <v>54981</v>
      </c>
    </row>
    <row r="45" spans="1:66" x14ac:dyDescent="0.25">
      <c r="A45">
        <v>12</v>
      </c>
      <c r="B45" s="66">
        <f ref="B45:W45" si="20" t="shared">IF($W18&gt;0,(B18/$W18)*$AU18,0)</f>
        <v>5682.1045458005037</v>
      </c>
      <c r="C45" s="66">
        <f si="20" t="shared"/>
        <v>0</v>
      </c>
      <c r="D45" s="66">
        <f si="20" t="shared"/>
        <v>994.12638253354316</v>
      </c>
      <c r="E45" s="66">
        <f si="20" t="shared"/>
        <v>0</v>
      </c>
      <c r="F45" s="66">
        <f si="20" t="shared"/>
        <v>742.69573865328607</v>
      </c>
      <c r="G45" s="66">
        <f si="20" t="shared"/>
        <v>12914.998454755401</v>
      </c>
      <c r="H45" s="66">
        <f si="20" t="shared"/>
        <v>8758.0494226905703</v>
      </c>
      <c r="I45" s="66">
        <f si="20" t="shared"/>
        <v>0</v>
      </c>
      <c r="J45" s="66">
        <f si="20" t="shared"/>
        <v>0</v>
      </c>
      <c r="K45" s="66">
        <f si="20" t="shared"/>
        <v>82.299279011230311</v>
      </c>
      <c r="L45" s="66">
        <f si="20" t="shared"/>
        <v>0</v>
      </c>
      <c r="M45" s="66">
        <f si="20" t="shared"/>
        <v>75581.970348823656</v>
      </c>
      <c r="N45" s="66">
        <f si="20" t="shared"/>
        <v>2287.8388705321017</v>
      </c>
      <c r="O45" s="66">
        <f si="20" t="shared"/>
        <v>0</v>
      </c>
      <c r="P45" s="66">
        <f si="20" t="shared"/>
        <v>601.98058387519791</v>
      </c>
      <c r="Q45" s="66">
        <f si="20" t="shared"/>
        <v>3383.7315799044623</v>
      </c>
      <c r="R45" s="66">
        <f si="20" t="shared"/>
        <v>0</v>
      </c>
      <c r="S45" s="66">
        <f si="20" t="shared"/>
        <v>1190.2047934200596</v>
      </c>
      <c r="T45" s="66">
        <f si="20" t="shared"/>
        <v>0</v>
      </c>
      <c r="U45" s="66">
        <f si="20" t="shared"/>
        <v>0</v>
      </c>
      <c r="V45" s="66">
        <f si="20" t="shared"/>
        <v>0</v>
      </c>
      <c r="W45" s="66">
        <f si="20" t="shared"/>
        <v>112220</v>
      </c>
      <c r="Y45">
        <v>12</v>
      </c>
      <c r="Z45" s="19">
        <f si="7" t="shared"/>
        <v>2467</v>
      </c>
      <c r="AA45" s="19">
        <f si="7" t="shared"/>
        <v>1414</v>
      </c>
      <c r="AB45" s="19">
        <f si="7" t="shared"/>
        <v>704</v>
      </c>
      <c r="AC45" s="19">
        <f si="7" t="shared"/>
        <v>387</v>
      </c>
      <c r="AD45" s="19">
        <f si="7" t="shared"/>
        <v>693</v>
      </c>
      <c r="AE45" s="19">
        <f si="7" t="shared"/>
        <v>3920</v>
      </c>
      <c r="AF45" s="19">
        <f si="7" t="shared"/>
        <v>1446</v>
      </c>
      <c r="AG45" s="19">
        <f si="7" t="shared"/>
        <v>165</v>
      </c>
      <c r="AH45" s="19">
        <f si="7" t="shared"/>
        <v>755</v>
      </c>
      <c r="AI45" s="19">
        <f si="7" t="shared"/>
        <v>812</v>
      </c>
      <c r="AJ45" s="19">
        <f si="7" t="shared"/>
        <v>72499</v>
      </c>
      <c r="AK45" s="19">
        <f si="7" t="shared"/>
        <v>25415</v>
      </c>
      <c r="AL45" s="19">
        <f si="7" t="shared"/>
        <v>142</v>
      </c>
      <c r="AM45" s="19">
        <f si="7" t="shared"/>
        <v>18</v>
      </c>
      <c r="AN45" s="19">
        <f si="7" t="shared"/>
        <v>60</v>
      </c>
      <c r="AO45" s="19">
        <f si="7" t="shared"/>
        <v>652</v>
      </c>
      <c r="AP45" s="19">
        <f si="7" t="shared"/>
        <v>20</v>
      </c>
      <c r="AQ45" s="19">
        <f si="7" t="shared"/>
        <v>419</v>
      </c>
      <c r="AR45" s="19">
        <f si="7" t="shared"/>
        <v>33</v>
      </c>
      <c r="AS45" s="19">
        <f si="7" t="shared"/>
        <v>199</v>
      </c>
      <c r="AT45" s="19">
        <f si="7" t="shared"/>
        <v>0</v>
      </c>
      <c r="AU45" s="19">
        <f si="8" t="shared"/>
        <v>112220</v>
      </c>
    </row>
    <row r="46" spans="1:66" x14ac:dyDescent="0.25">
      <c r="A46">
        <v>13</v>
      </c>
      <c r="B46" s="66">
        <f ref="B46:W46" si="21" t="shared">IF($W19&gt;0,(B19/$W19)*$AU19,0)</f>
        <v>0</v>
      </c>
      <c r="C46" s="66">
        <f si="21" t="shared"/>
        <v>954.65659264794908</v>
      </c>
      <c r="D46" s="66">
        <f si="21" t="shared"/>
        <v>0</v>
      </c>
      <c r="E46" s="66">
        <f si="21" t="shared"/>
        <v>0</v>
      </c>
      <c r="F46" s="66">
        <f si="21" t="shared"/>
        <v>1572.650267959152</v>
      </c>
      <c r="G46" s="66">
        <f si="21" t="shared"/>
        <v>1682.8804340695624</v>
      </c>
      <c r="H46" s="66">
        <f si="21" t="shared"/>
        <v>3627.3161226129005</v>
      </c>
      <c r="I46" s="66">
        <f si="21" t="shared"/>
        <v>0</v>
      </c>
      <c r="J46" s="66">
        <f si="21" t="shared"/>
        <v>138.29911641261037</v>
      </c>
      <c r="K46" s="66">
        <f si="21" t="shared"/>
        <v>0</v>
      </c>
      <c r="L46" s="66">
        <f si="21" t="shared"/>
        <v>0</v>
      </c>
      <c r="M46" s="66">
        <f si="21" t="shared"/>
        <v>1876.1458432532049</v>
      </c>
      <c r="N46" s="66">
        <f si="21" t="shared"/>
        <v>65567.133159224133</v>
      </c>
      <c r="O46" s="66">
        <f si="21" t="shared"/>
        <v>0</v>
      </c>
      <c r="P46" s="66">
        <f si="21" t="shared"/>
        <v>783.74563085183445</v>
      </c>
      <c r="Q46" s="66">
        <f si="21" t="shared"/>
        <v>0</v>
      </c>
      <c r="R46" s="66">
        <f si="21" t="shared"/>
        <v>0</v>
      </c>
      <c r="S46" s="66">
        <f si="21" t="shared"/>
        <v>2967.1728329686503</v>
      </c>
      <c r="T46" s="66">
        <f si="21" t="shared"/>
        <v>0</v>
      </c>
      <c r="U46" s="66">
        <f si="21" t="shared"/>
        <v>0</v>
      </c>
      <c r="V46" s="66">
        <f si="21" t="shared"/>
        <v>0</v>
      </c>
      <c r="W46" s="66">
        <f si="21" t="shared"/>
        <v>79170</v>
      </c>
      <c r="Y46">
        <v>13</v>
      </c>
      <c r="Z46" s="19">
        <f si="7" t="shared"/>
        <v>1284</v>
      </c>
      <c r="AA46" s="19">
        <f si="7" t="shared"/>
        <v>1149</v>
      </c>
      <c r="AB46" s="19">
        <f si="7" t="shared"/>
        <v>612</v>
      </c>
      <c r="AC46" s="19">
        <f si="7" t="shared"/>
        <v>198</v>
      </c>
      <c r="AD46" s="19">
        <f si="7" t="shared"/>
        <v>274</v>
      </c>
      <c r="AE46" s="19">
        <f si="7" t="shared"/>
        <v>1791</v>
      </c>
      <c r="AF46" s="19">
        <f si="7" t="shared"/>
        <v>13421</v>
      </c>
      <c r="AG46" s="19">
        <f si="7" t="shared"/>
        <v>85</v>
      </c>
      <c r="AH46" s="19">
        <f si="7" t="shared"/>
        <v>1797</v>
      </c>
      <c r="AI46" s="19">
        <f si="7" t="shared"/>
        <v>247</v>
      </c>
      <c r="AJ46" s="19">
        <f si="7" t="shared"/>
        <v>15640</v>
      </c>
      <c r="AK46" s="19">
        <f si="7" t="shared"/>
        <v>9069</v>
      </c>
      <c r="AL46" s="19">
        <f si="7" t="shared"/>
        <v>29071</v>
      </c>
      <c r="AM46" s="19">
        <f si="7" t="shared"/>
        <v>13</v>
      </c>
      <c r="AN46" s="19">
        <f si="7" t="shared"/>
        <v>3019</v>
      </c>
      <c r="AO46" s="19">
        <f si="7" t="shared"/>
        <v>151</v>
      </c>
      <c r="AP46" s="19">
        <f si="7" t="shared"/>
        <v>33</v>
      </c>
      <c r="AQ46" s="19">
        <f si="7" t="shared"/>
        <v>978</v>
      </c>
      <c r="AR46" s="19">
        <f si="7" t="shared"/>
        <v>142</v>
      </c>
      <c r="AS46" s="19">
        <f si="7" t="shared"/>
        <v>196</v>
      </c>
      <c r="AT46" s="19">
        <f si="7" t="shared"/>
        <v>0</v>
      </c>
      <c r="AU46" s="19">
        <f si="8" t="shared"/>
        <v>79170</v>
      </c>
    </row>
    <row r="47" spans="1:66" x14ac:dyDescent="0.25">
      <c r="A47">
        <v>14</v>
      </c>
      <c r="B47" s="66">
        <f ref="B47:W47" si="22" t="shared">IF($W20&gt;0,(B20/$W20)*$AU20,0)</f>
        <v>63.814618199001274</v>
      </c>
      <c r="C47" s="66">
        <f si="22" t="shared"/>
        <v>0</v>
      </c>
      <c r="D47" s="66">
        <f si="22" t="shared"/>
        <v>0</v>
      </c>
      <c r="E47" s="66">
        <f si="22" t="shared"/>
        <v>0</v>
      </c>
      <c r="F47" s="66">
        <f si="22" t="shared"/>
        <v>72.179830308427597</v>
      </c>
      <c r="G47" s="66">
        <f si="22" t="shared"/>
        <v>0</v>
      </c>
      <c r="H47" s="66">
        <f si="22" t="shared"/>
        <v>0</v>
      </c>
      <c r="I47" s="66">
        <f si="22" t="shared"/>
        <v>117.10773973362265</v>
      </c>
      <c r="J47" s="66">
        <f si="22" t="shared"/>
        <v>0</v>
      </c>
      <c r="K47" s="66">
        <f si="22" t="shared"/>
        <v>983.2055557309144</v>
      </c>
      <c r="L47" s="66">
        <f si="22" t="shared"/>
        <v>511.4225964323698</v>
      </c>
      <c r="M47" s="66">
        <f si="22" t="shared"/>
        <v>0</v>
      </c>
      <c r="N47" s="66">
        <f si="22" t="shared"/>
        <v>0</v>
      </c>
      <c r="O47" s="66">
        <f si="22" t="shared"/>
        <v>18618.805956940985</v>
      </c>
      <c r="P47" s="66">
        <f si="22" t="shared"/>
        <v>0</v>
      </c>
      <c r="Q47" s="66">
        <f si="22" t="shared"/>
        <v>0</v>
      </c>
      <c r="R47" s="66">
        <f si="22" t="shared"/>
        <v>660.21153316385949</v>
      </c>
      <c r="S47" s="66">
        <f si="22" t="shared"/>
        <v>0</v>
      </c>
      <c r="T47" s="66">
        <f si="22" t="shared"/>
        <v>639.25216949081801</v>
      </c>
      <c r="U47" s="66">
        <f si="22" t="shared"/>
        <v>0</v>
      </c>
      <c r="V47" s="66">
        <f si="22" t="shared"/>
        <v>0</v>
      </c>
      <c r="W47" s="66">
        <f si="22" t="shared"/>
        <v>21666</v>
      </c>
      <c r="Y47">
        <v>14</v>
      </c>
      <c r="Z47" s="19">
        <f si="7" t="shared"/>
        <v>43</v>
      </c>
      <c r="AA47" s="19">
        <f si="7" t="shared"/>
        <v>8</v>
      </c>
      <c r="AB47" s="19">
        <f si="7" t="shared"/>
        <v>5</v>
      </c>
      <c r="AC47" s="19">
        <f ref="AC47:AT47" si="23" t="shared">AC20</f>
        <v>38</v>
      </c>
      <c r="AD47" s="19">
        <f si="23" t="shared"/>
        <v>1</v>
      </c>
      <c r="AE47" s="19">
        <f si="23" t="shared"/>
        <v>18</v>
      </c>
      <c r="AF47" s="19">
        <f si="23" t="shared"/>
        <v>1</v>
      </c>
      <c r="AG47" s="19">
        <f si="23" t="shared"/>
        <v>3</v>
      </c>
      <c r="AH47" s="19">
        <f si="23" t="shared"/>
        <v>2</v>
      </c>
      <c r="AI47" s="19">
        <f si="23" t="shared"/>
        <v>14</v>
      </c>
      <c r="AJ47" s="19">
        <f si="23" t="shared"/>
        <v>20618</v>
      </c>
      <c r="AK47" s="19">
        <f si="23" t="shared"/>
        <v>22</v>
      </c>
      <c r="AL47" s="19">
        <f si="23" t="shared"/>
        <v>0</v>
      </c>
      <c r="AM47" s="19">
        <f si="23" t="shared"/>
        <v>773</v>
      </c>
      <c r="AN47" s="19">
        <f si="23" t="shared"/>
        <v>3</v>
      </c>
      <c r="AO47" s="19">
        <f si="23" t="shared"/>
        <v>2</v>
      </c>
      <c r="AP47" s="19">
        <f si="23" t="shared"/>
        <v>39</v>
      </c>
      <c r="AQ47" s="19">
        <f si="23" t="shared"/>
        <v>0</v>
      </c>
      <c r="AR47" s="19">
        <f si="23" t="shared"/>
        <v>75</v>
      </c>
      <c r="AS47" s="19">
        <f si="23" t="shared"/>
        <v>1</v>
      </c>
      <c r="AT47" s="19">
        <f si="23" t="shared"/>
        <v>0</v>
      </c>
      <c r="AU47" s="19">
        <f si="8" t="shared"/>
        <v>21666</v>
      </c>
    </row>
    <row r="48" spans="1:66" x14ac:dyDescent="0.25">
      <c r="A48">
        <v>15</v>
      </c>
      <c r="B48" s="66">
        <f ref="B48:W48" si="24" t="shared">IF($W21&gt;0,(B21/$W21)*$AU21,0)</f>
        <v>0</v>
      </c>
      <c r="C48" s="66">
        <f si="24" t="shared"/>
        <v>0</v>
      </c>
      <c r="D48" s="66">
        <f si="24" t="shared"/>
        <v>0</v>
      </c>
      <c r="E48" s="66">
        <f si="24" t="shared"/>
        <v>0</v>
      </c>
      <c r="F48" s="66">
        <f si="24" t="shared"/>
        <v>0</v>
      </c>
      <c r="G48" s="66">
        <f si="24" t="shared"/>
        <v>445.02805794900792</v>
      </c>
      <c r="H48" s="66">
        <f si="24" t="shared"/>
        <v>4150.6523632932167</v>
      </c>
      <c r="I48" s="66">
        <f si="24" t="shared"/>
        <v>0</v>
      </c>
      <c r="J48" s="66">
        <f si="24" t="shared"/>
        <v>817.74396013630587</v>
      </c>
      <c r="K48" s="66">
        <f si="24" t="shared"/>
        <v>0</v>
      </c>
      <c r="L48" s="66">
        <f si="24" t="shared"/>
        <v>0</v>
      </c>
      <c r="M48" s="66">
        <f si="24" t="shared"/>
        <v>0</v>
      </c>
      <c r="N48" s="66">
        <f si="24" t="shared"/>
        <v>5879.548906273144</v>
      </c>
      <c r="O48" s="66">
        <f si="24" t="shared"/>
        <v>0</v>
      </c>
      <c r="P48" s="66">
        <f si="24" t="shared"/>
        <v>20486.848136986606</v>
      </c>
      <c r="Q48" s="66">
        <f si="24" t="shared"/>
        <v>0</v>
      </c>
      <c r="R48" s="66">
        <f si="24" t="shared"/>
        <v>0</v>
      </c>
      <c r="S48" s="66">
        <f si="24" t="shared"/>
        <v>0</v>
      </c>
      <c r="T48" s="66">
        <f si="24" t="shared"/>
        <v>176.17857536171613</v>
      </c>
      <c r="U48" s="66">
        <f si="24" t="shared"/>
        <v>0</v>
      </c>
      <c r="V48" s="66">
        <f si="24" t="shared"/>
        <v>0</v>
      </c>
      <c r="W48" s="66">
        <f si="24" t="shared"/>
        <v>31956</v>
      </c>
      <c r="Y48">
        <v>15</v>
      </c>
      <c r="Z48" s="19">
        <f ref="Z48:AT54" si="25" t="shared">Z21</f>
        <v>191</v>
      </c>
      <c r="AA48" s="19">
        <f si="25" t="shared"/>
        <v>157</v>
      </c>
      <c r="AB48" s="19">
        <f si="25" t="shared"/>
        <v>98</v>
      </c>
      <c r="AC48" s="19">
        <f si="25" t="shared"/>
        <v>31</v>
      </c>
      <c r="AD48" s="19">
        <f si="25" t="shared"/>
        <v>34</v>
      </c>
      <c r="AE48" s="19">
        <f si="25" t="shared"/>
        <v>230</v>
      </c>
      <c r="AF48" s="19">
        <f si="25" t="shared"/>
        <v>812</v>
      </c>
      <c r="AG48" s="19">
        <f si="25" t="shared"/>
        <v>18</v>
      </c>
      <c r="AH48" s="19">
        <f si="25" t="shared"/>
        <v>488</v>
      </c>
      <c r="AI48" s="19">
        <f si="25" t="shared"/>
        <v>31</v>
      </c>
      <c r="AJ48" s="19">
        <f si="25" t="shared"/>
        <v>24211</v>
      </c>
      <c r="AK48" s="19">
        <f si="25" t="shared"/>
        <v>443</v>
      </c>
      <c r="AL48" s="19">
        <f si="25" t="shared"/>
        <v>831</v>
      </c>
      <c r="AM48" s="19">
        <f si="25" t="shared"/>
        <v>6</v>
      </c>
      <c r="AN48" s="19">
        <f si="25" t="shared"/>
        <v>4121</v>
      </c>
      <c r="AO48" s="19">
        <f si="25" t="shared"/>
        <v>8</v>
      </c>
      <c r="AP48" s="19">
        <f si="25" t="shared"/>
        <v>19</v>
      </c>
      <c r="AQ48" s="19">
        <f si="25" t="shared"/>
        <v>8</v>
      </c>
      <c r="AR48" s="19">
        <f si="25" t="shared"/>
        <v>205</v>
      </c>
      <c r="AS48" s="19">
        <f si="25" t="shared"/>
        <v>14</v>
      </c>
      <c r="AT48" s="19">
        <f si="25" t="shared"/>
        <v>0</v>
      </c>
      <c r="AU48" s="19">
        <f si="8" t="shared"/>
        <v>31956</v>
      </c>
    </row>
    <row r="49" spans="1:47" x14ac:dyDescent="0.25">
      <c r="A49">
        <v>16</v>
      </c>
      <c r="B49" s="66">
        <f ref="B49:W49" si="26" t="shared">IF($W22&gt;0,(B22/$W22)*$AU22,0)</f>
        <v>993.95322560615625</v>
      </c>
      <c r="C49" s="66">
        <f si="26" t="shared"/>
        <v>0</v>
      </c>
      <c r="D49" s="66">
        <f si="26" t="shared"/>
        <v>1669.8630647469033</v>
      </c>
      <c r="E49" s="66">
        <f si="26" t="shared"/>
        <v>0</v>
      </c>
      <c r="F49" s="66">
        <f si="26" t="shared"/>
        <v>4920.7993633301885</v>
      </c>
      <c r="G49" s="66">
        <f si="26" t="shared"/>
        <v>1682.0075674654552</v>
      </c>
      <c r="H49" s="66">
        <f si="26" t="shared"/>
        <v>0</v>
      </c>
      <c r="I49" s="66">
        <f si="26" t="shared"/>
        <v>0</v>
      </c>
      <c r="J49" s="66">
        <f si="26" t="shared"/>
        <v>395.75257136102789</v>
      </c>
      <c r="K49" s="66">
        <f si="26" t="shared"/>
        <v>1630.6445880073618</v>
      </c>
      <c r="L49" s="66">
        <f si="26" t="shared"/>
        <v>0</v>
      </c>
      <c r="M49" s="66">
        <f si="26" t="shared"/>
        <v>0</v>
      </c>
      <c r="N49" s="66">
        <f si="26" t="shared"/>
        <v>0</v>
      </c>
      <c r="O49" s="66">
        <f si="26" t="shared"/>
        <v>0</v>
      </c>
      <c r="P49" s="66">
        <f si="26" t="shared"/>
        <v>0</v>
      </c>
      <c r="Q49" s="66">
        <f si="26" t="shared"/>
        <v>3671.9796194829087</v>
      </c>
      <c r="R49" s="66">
        <f si="26" t="shared"/>
        <v>0</v>
      </c>
      <c r="S49" s="66">
        <f si="26" t="shared"/>
        <v>0</v>
      </c>
      <c r="T49" s="66">
        <f si="26" t="shared"/>
        <v>0</v>
      </c>
      <c r="U49" s="66">
        <f si="26" t="shared"/>
        <v>0</v>
      </c>
      <c r="V49" s="66">
        <f si="26" t="shared"/>
        <v>0</v>
      </c>
      <c r="W49" s="66">
        <f si="26" t="shared"/>
        <v>14965</v>
      </c>
      <c r="Y49">
        <v>16</v>
      </c>
      <c r="Z49" s="19">
        <f si="25" t="shared"/>
        <v>176</v>
      </c>
      <c r="AA49" s="19">
        <f si="25" t="shared"/>
        <v>51</v>
      </c>
      <c r="AB49" s="19">
        <f si="25" t="shared"/>
        <v>37</v>
      </c>
      <c r="AC49" s="19">
        <f si="25" t="shared"/>
        <v>55</v>
      </c>
      <c r="AD49" s="19">
        <f si="25" t="shared"/>
        <v>53</v>
      </c>
      <c r="AE49" s="19">
        <f si="25" t="shared"/>
        <v>289</v>
      </c>
      <c r="AF49" s="19">
        <f si="25" t="shared"/>
        <v>30</v>
      </c>
      <c r="AG49" s="19">
        <f si="25" t="shared"/>
        <v>30</v>
      </c>
      <c r="AH49" s="19">
        <f si="25" t="shared"/>
        <v>22</v>
      </c>
      <c r="AI49" s="19">
        <f si="25" t="shared"/>
        <v>247</v>
      </c>
      <c r="AJ49" s="19">
        <f si="25" t="shared"/>
        <v>11663</v>
      </c>
      <c r="AK49" s="19">
        <f si="25" t="shared"/>
        <v>853</v>
      </c>
      <c r="AL49" s="19">
        <f si="25" t="shared"/>
        <v>9</v>
      </c>
      <c r="AM49" s="19">
        <f si="25" t="shared"/>
        <v>6</v>
      </c>
      <c r="AN49" s="19">
        <f si="25" t="shared"/>
        <v>4</v>
      </c>
      <c r="AO49" s="19">
        <f si="25" t="shared"/>
        <v>1344</v>
      </c>
      <c r="AP49" s="19">
        <f si="25" t="shared"/>
        <v>0</v>
      </c>
      <c r="AQ49" s="19">
        <f si="25" t="shared"/>
        <v>39</v>
      </c>
      <c r="AR49" s="19">
        <f si="25" t="shared"/>
        <v>12</v>
      </c>
      <c r="AS49" s="19">
        <f si="25" t="shared"/>
        <v>45</v>
      </c>
      <c r="AT49" s="19">
        <f si="25" t="shared"/>
        <v>0</v>
      </c>
      <c r="AU49" s="19">
        <f si="8" t="shared"/>
        <v>14965</v>
      </c>
    </row>
    <row r="50" spans="1:47" x14ac:dyDescent="0.25">
      <c r="A50">
        <v>17</v>
      </c>
      <c r="B50" s="66">
        <f ref="B50:W50" si="27" t="shared">IF($W23&gt;0,(B23/$W23)*$AU23,0)</f>
        <v>0</v>
      </c>
      <c r="C50" s="66">
        <f si="27" t="shared"/>
        <v>0</v>
      </c>
      <c r="D50" s="66">
        <f si="27" t="shared"/>
        <v>0</v>
      </c>
      <c r="E50" s="66">
        <f si="27" t="shared"/>
        <v>0</v>
      </c>
      <c r="F50" s="66">
        <f si="27" t="shared"/>
        <v>0</v>
      </c>
      <c r="G50" s="66">
        <f si="27" t="shared"/>
        <v>0</v>
      </c>
      <c r="H50" s="66">
        <f si="27" t="shared"/>
        <v>0</v>
      </c>
      <c r="I50" s="66">
        <f si="27" t="shared"/>
        <v>0</v>
      </c>
      <c r="J50" s="66">
        <f si="27" t="shared"/>
        <v>0</v>
      </c>
      <c r="K50" s="66">
        <f si="27" t="shared"/>
        <v>0</v>
      </c>
      <c r="L50" s="66">
        <f si="27" t="shared"/>
        <v>1310.6220776920945</v>
      </c>
      <c r="M50" s="66">
        <f si="27" t="shared"/>
        <v>0</v>
      </c>
      <c r="N50" s="66">
        <f si="27" t="shared"/>
        <v>0</v>
      </c>
      <c r="O50" s="66">
        <f si="27" t="shared"/>
        <v>0</v>
      </c>
      <c r="P50" s="66">
        <f si="27" t="shared"/>
        <v>0</v>
      </c>
      <c r="Q50" s="66">
        <f si="27" t="shared"/>
        <v>0</v>
      </c>
      <c r="R50" s="66">
        <f si="27" t="shared"/>
        <v>17309.432271555394</v>
      </c>
      <c r="S50" s="66">
        <f si="27" t="shared"/>
        <v>0</v>
      </c>
      <c r="T50" s="66">
        <f si="27" t="shared"/>
        <v>525.94565075251057</v>
      </c>
      <c r="U50" s="66">
        <f si="27" t="shared"/>
        <v>0</v>
      </c>
      <c r="V50" s="66">
        <f si="27" t="shared"/>
        <v>0</v>
      </c>
      <c r="W50" s="66">
        <f si="27" t="shared"/>
        <v>19146</v>
      </c>
      <c r="Y50">
        <v>17</v>
      </c>
      <c r="Z50" s="19">
        <f si="25" t="shared"/>
        <v>22</v>
      </c>
      <c r="AA50" s="19">
        <f si="25" t="shared"/>
        <v>6</v>
      </c>
      <c r="AB50" s="19">
        <f si="25" t="shared"/>
        <v>2</v>
      </c>
      <c r="AC50" s="19">
        <f si="25" t="shared"/>
        <v>31</v>
      </c>
      <c r="AD50" s="19">
        <f si="25" t="shared"/>
        <v>0</v>
      </c>
      <c r="AE50" s="19">
        <f si="25" t="shared"/>
        <v>14</v>
      </c>
      <c r="AF50" s="19">
        <f si="25" t="shared"/>
        <v>1</v>
      </c>
      <c r="AG50" s="19">
        <f si="25" t="shared"/>
        <v>0</v>
      </c>
      <c r="AH50" s="19">
        <f si="25" t="shared"/>
        <v>0</v>
      </c>
      <c r="AI50" s="19">
        <f si="25" t="shared"/>
        <v>5</v>
      </c>
      <c r="AJ50" s="19">
        <f si="25" t="shared"/>
        <v>18265</v>
      </c>
      <c r="AK50" s="19">
        <f si="25" t="shared"/>
        <v>23</v>
      </c>
      <c r="AL50" s="19">
        <f si="25" t="shared"/>
        <v>5</v>
      </c>
      <c r="AM50" s="19">
        <f si="25" t="shared"/>
        <v>76</v>
      </c>
      <c r="AN50" s="19">
        <f si="25" t="shared"/>
        <v>17</v>
      </c>
      <c r="AO50" s="19">
        <f si="25" t="shared"/>
        <v>0</v>
      </c>
      <c r="AP50" s="19">
        <f si="25" t="shared"/>
        <v>416</v>
      </c>
      <c r="AQ50" s="19">
        <f si="25" t="shared"/>
        <v>0</v>
      </c>
      <c r="AR50" s="19">
        <f si="25" t="shared"/>
        <v>262</v>
      </c>
      <c r="AS50" s="19">
        <f si="25" t="shared"/>
        <v>1</v>
      </c>
      <c r="AT50" s="19">
        <f si="25" t="shared"/>
        <v>0</v>
      </c>
      <c r="AU50" s="19">
        <f si="8" t="shared"/>
        <v>19146</v>
      </c>
    </row>
    <row r="51" spans="1:47" x14ac:dyDescent="0.25">
      <c r="A51">
        <v>18</v>
      </c>
      <c r="B51" s="66">
        <f ref="B51:W51" si="28" t="shared">IF($W24&gt;0,(B24/$W24)*$AU24,0)</f>
        <v>0</v>
      </c>
      <c r="C51" s="66">
        <f si="28" t="shared"/>
        <v>0</v>
      </c>
      <c r="D51" s="66">
        <f si="28" t="shared"/>
        <v>0</v>
      </c>
      <c r="E51" s="66">
        <f si="28" t="shared"/>
        <v>0</v>
      </c>
      <c r="F51" s="66">
        <f si="28" t="shared"/>
        <v>0</v>
      </c>
      <c r="G51" s="66">
        <f si="28" t="shared"/>
        <v>951.92327012080409</v>
      </c>
      <c r="H51" s="66">
        <f si="28" t="shared"/>
        <v>0</v>
      </c>
      <c r="I51" s="66">
        <f si="28" t="shared"/>
        <v>0</v>
      </c>
      <c r="J51" s="66">
        <f si="28" t="shared"/>
        <v>51.048283095217002</v>
      </c>
      <c r="K51" s="66">
        <f si="28" t="shared"/>
        <v>0</v>
      </c>
      <c r="L51" s="66">
        <f si="28" t="shared"/>
        <v>0</v>
      </c>
      <c r="M51" s="66">
        <f si="28" t="shared"/>
        <v>4021.7842496858975</v>
      </c>
      <c r="N51" s="66">
        <f si="28" t="shared"/>
        <v>4782.1124581963168</v>
      </c>
      <c r="O51" s="66">
        <f si="28" t="shared"/>
        <v>0</v>
      </c>
      <c r="P51" s="66">
        <f si="28" t="shared"/>
        <v>0</v>
      </c>
      <c r="Q51" s="66">
        <f si="28" t="shared"/>
        <v>88.450756700192244</v>
      </c>
      <c r="R51" s="66">
        <f si="28" t="shared"/>
        <v>0</v>
      </c>
      <c r="S51" s="66">
        <f si="28" t="shared"/>
        <v>23972.356683087481</v>
      </c>
      <c r="T51" s="66">
        <f si="28" t="shared"/>
        <v>0</v>
      </c>
      <c r="U51" s="66">
        <f si="28" t="shared"/>
        <v>2442.3242991140924</v>
      </c>
      <c r="V51" s="66">
        <f si="28" t="shared"/>
        <v>0</v>
      </c>
      <c r="W51" s="66">
        <f si="28" t="shared"/>
        <v>36310</v>
      </c>
      <c r="Y51">
        <v>18</v>
      </c>
      <c r="Z51" s="19">
        <f si="25" t="shared"/>
        <v>510</v>
      </c>
      <c r="AA51" s="19">
        <f si="25" t="shared"/>
        <v>308</v>
      </c>
      <c r="AB51" s="19">
        <f si="25" t="shared"/>
        <v>160</v>
      </c>
      <c r="AC51" s="19">
        <f si="25" t="shared"/>
        <v>70</v>
      </c>
      <c r="AD51" s="19">
        <f si="25" t="shared"/>
        <v>156</v>
      </c>
      <c r="AE51" s="19">
        <f si="25" t="shared"/>
        <v>868</v>
      </c>
      <c r="AF51" s="19">
        <f si="25" t="shared"/>
        <v>1414</v>
      </c>
      <c r="AG51" s="19">
        <f si="25" t="shared"/>
        <v>38</v>
      </c>
      <c r="AH51" s="19">
        <f si="25" t="shared"/>
        <v>244</v>
      </c>
      <c r="AI51" s="19">
        <f si="25" t="shared"/>
        <v>221</v>
      </c>
      <c r="AJ51" s="19">
        <f si="25" t="shared"/>
        <v>12542</v>
      </c>
      <c r="AK51" s="19">
        <f si="25" t="shared"/>
        <v>10403</v>
      </c>
      <c r="AL51" s="19">
        <f si="25" t="shared"/>
        <v>1977</v>
      </c>
      <c r="AM51" s="19">
        <f si="25" t="shared"/>
        <v>2</v>
      </c>
      <c r="AN51" s="19">
        <f si="25" t="shared"/>
        <v>183</v>
      </c>
      <c r="AO51" s="19">
        <f si="25" t="shared"/>
        <v>406</v>
      </c>
      <c r="AP51" s="19">
        <f si="25" t="shared"/>
        <v>3</v>
      </c>
      <c r="AQ51" s="19">
        <f si="25" t="shared"/>
        <v>4179</v>
      </c>
      <c r="AR51" s="19">
        <f si="25" t="shared"/>
        <v>12</v>
      </c>
      <c r="AS51" s="19">
        <f si="25" t="shared"/>
        <v>2614</v>
      </c>
      <c r="AT51" s="19">
        <f si="25" t="shared"/>
        <v>0</v>
      </c>
      <c r="AU51" s="19">
        <f si="8" t="shared"/>
        <v>36310</v>
      </c>
    </row>
    <row r="52" spans="1:47" x14ac:dyDescent="0.25">
      <c r="A52">
        <v>19</v>
      </c>
      <c r="B52" s="66">
        <f ref="B52:W52" si="29" t="shared">IF($W25&gt;0,(B25/$W25)*$AU25,0)</f>
        <v>0</v>
      </c>
      <c r="C52" s="66">
        <f si="29" t="shared"/>
        <v>0</v>
      </c>
      <c r="D52" s="66">
        <f si="29" t="shared"/>
        <v>0</v>
      </c>
      <c r="E52" s="66">
        <f si="29" t="shared"/>
        <v>0</v>
      </c>
      <c r="F52" s="66">
        <f si="29" t="shared"/>
        <v>0</v>
      </c>
      <c r="G52" s="66">
        <f si="29" t="shared"/>
        <v>0</v>
      </c>
      <c r="H52" s="66">
        <f si="29" t="shared"/>
        <v>0</v>
      </c>
      <c r="I52" s="66">
        <f si="29" t="shared"/>
        <v>0</v>
      </c>
      <c r="J52" s="66">
        <f si="29" t="shared"/>
        <v>0</v>
      </c>
      <c r="K52" s="66">
        <f si="29" t="shared"/>
        <v>0</v>
      </c>
      <c r="L52" s="66">
        <f si="29" t="shared"/>
        <v>1852.9053478546425</v>
      </c>
      <c r="M52" s="66">
        <f si="29" t="shared"/>
        <v>0</v>
      </c>
      <c r="N52" s="66">
        <f si="29" t="shared"/>
        <v>0</v>
      </c>
      <c r="O52" s="66">
        <f si="29" t="shared"/>
        <v>0</v>
      </c>
      <c r="P52" s="66">
        <f si="29" t="shared"/>
        <v>968.81266896411137</v>
      </c>
      <c r="Q52" s="66">
        <f si="29" t="shared"/>
        <v>0</v>
      </c>
      <c r="R52" s="66">
        <f si="29" t="shared"/>
        <v>2107.1526482248914</v>
      </c>
      <c r="S52" s="66">
        <f si="29" t="shared"/>
        <v>0</v>
      </c>
      <c r="T52" s="66">
        <f si="29" t="shared"/>
        <v>33013.129334956357</v>
      </c>
      <c r="U52" s="66">
        <f si="29" t="shared"/>
        <v>0</v>
      </c>
      <c r="V52" s="66">
        <f si="29" t="shared"/>
        <v>0</v>
      </c>
      <c r="W52" s="66">
        <f si="29" t="shared"/>
        <v>37942</v>
      </c>
      <c r="Y52">
        <v>19</v>
      </c>
      <c r="Z52" s="19">
        <f si="25" t="shared"/>
        <v>50</v>
      </c>
      <c r="AA52" s="19">
        <f si="25" t="shared"/>
        <v>14</v>
      </c>
      <c r="AB52" s="19">
        <f si="25" t="shared"/>
        <v>2</v>
      </c>
      <c r="AC52" s="19">
        <f si="25" t="shared"/>
        <v>46</v>
      </c>
      <c r="AD52" s="19">
        <f si="25" t="shared"/>
        <v>0</v>
      </c>
      <c r="AE52" s="19">
        <f si="25" t="shared"/>
        <v>23</v>
      </c>
      <c r="AF52" s="19">
        <f si="25" t="shared"/>
        <v>11</v>
      </c>
      <c r="AG52" s="19">
        <f si="25" t="shared"/>
        <v>0</v>
      </c>
      <c r="AH52" s="19">
        <f si="25" t="shared"/>
        <v>2</v>
      </c>
      <c r="AI52" s="19">
        <f si="25" t="shared"/>
        <v>8</v>
      </c>
      <c r="AJ52" s="19">
        <f si="25" t="shared"/>
        <v>35662</v>
      </c>
      <c r="AK52" s="19">
        <f si="25" t="shared"/>
        <v>36</v>
      </c>
      <c r="AL52" s="19">
        <f si="25" t="shared"/>
        <v>2</v>
      </c>
      <c r="AM52" s="19">
        <f si="25" t="shared"/>
        <v>29</v>
      </c>
      <c r="AN52" s="19">
        <f si="25" t="shared"/>
        <v>230</v>
      </c>
      <c r="AO52" s="19">
        <f si="25" t="shared"/>
        <v>0</v>
      </c>
      <c r="AP52" s="19">
        <f si="25" t="shared"/>
        <v>102</v>
      </c>
      <c r="AQ52" s="19">
        <f si="25" t="shared"/>
        <v>0</v>
      </c>
      <c r="AR52" s="19">
        <f si="25" t="shared"/>
        <v>1720</v>
      </c>
      <c r="AS52" s="19">
        <f si="25" t="shared"/>
        <v>5</v>
      </c>
      <c r="AT52" s="19">
        <f si="25" t="shared"/>
        <v>0</v>
      </c>
      <c r="AU52" s="19">
        <f si="8" t="shared"/>
        <v>37942</v>
      </c>
    </row>
    <row r="53" spans="1:47" x14ac:dyDescent="0.25">
      <c r="A53">
        <v>20</v>
      </c>
      <c r="B53" s="62">
        <f ref="B53:W53" si="30" t="shared">IF($W26&gt;0,(B26/$W26)*$AU26,0)</f>
        <v>146.51300585160197</v>
      </c>
      <c r="C53" s="62">
        <f si="30" t="shared"/>
        <v>398.28681272340748</v>
      </c>
      <c r="D53" s="62">
        <f si="30" t="shared"/>
        <v>0</v>
      </c>
      <c r="E53" s="62">
        <f si="30" t="shared"/>
        <v>0</v>
      </c>
      <c r="F53" s="62">
        <f si="30" t="shared"/>
        <v>0</v>
      </c>
      <c r="G53" s="62">
        <f si="30" t="shared"/>
        <v>0</v>
      </c>
      <c r="H53" s="62">
        <f si="30" t="shared"/>
        <v>0</v>
      </c>
      <c r="I53" s="62">
        <f si="30" t="shared"/>
        <v>0</v>
      </c>
      <c r="J53" s="62">
        <f si="30" t="shared"/>
        <v>0</v>
      </c>
      <c r="K53" s="62">
        <f si="30" t="shared"/>
        <v>0</v>
      </c>
      <c r="L53" s="62">
        <f si="30" t="shared"/>
        <v>0</v>
      </c>
      <c r="M53" s="62">
        <f si="30" t="shared"/>
        <v>0</v>
      </c>
      <c r="N53" s="62">
        <f si="30" t="shared"/>
        <v>1265.834447240135</v>
      </c>
      <c r="O53" s="62">
        <f si="30" t="shared"/>
        <v>0</v>
      </c>
      <c r="P53" s="62">
        <f si="30" t="shared"/>
        <v>0</v>
      </c>
      <c r="Q53" s="62">
        <f si="30" t="shared"/>
        <v>0</v>
      </c>
      <c r="R53" s="62">
        <f si="30" t="shared"/>
        <v>0</v>
      </c>
      <c r="S53" s="62">
        <f si="30" t="shared"/>
        <v>527.42749552289933</v>
      </c>
      <c r="T53" s="62">
        <f si="30" t="shared"/>
        <v>0</v>
      </c>
      <c r="U53" s="62">
        <f si="30" t="shared"/>
        <v>23791.938238661958</v>
      </c>
      <c r="V53" s="62">
        <f si="30" t="shared"/>
        <v>0</v>
      </c>
      <c r="W53" s="66">
        <f si="30" t="shared"/>
        <v>26130</v>
      </c>
      <c r="Y53">
        <v>20</v>
      </c>
      <c r="Z53" s="19">
        <f si="25" t="shared"/>
        <v>82</v>
      </c>
      <c r="AA53" s="19">
        <f si="25" t="shared"/>
        <v>53</v>
      </c>
      <c r="AB53" s="19">
        <f si="25" t="shared"/>
        <v>27</v>
      </c>
      <c r="AC53" s="19">
        <f si="25" t="shared"/>
        <v>15</v>
      </c>
      <c r="AD53" s="19">
        <f si="25" t="shared"/>
        <v>35</v>
      </c>
      <c r="AE53" s="19">
        <f si="25" t="shared"/>
        <v>190</v>
      </c>
      <c r="AF53" s="19">
        <f si="25" t="shared"/>
        <v>58</v>
      </c>
      <c r="AG53" s="19">
        <f si="25" t="shared"/>
        <v>13</v>
      </c>
      <c r="AH53" s="19">
        <f si="25" t="shared"/>
        <v>25</v>
      </c>
      <c r="AI53" s="19">
        <f si="25" t="shared"/>
        <v>72</v>
      </c>
      <c r="AJ53" s="19">
        <f si="25" t="shared"/>
        <v>3902</v>
      </c>
      <c r="AK53" s="19">
        <f si="25" t="shared"/>
        <v>2195</v>
      </c>
      <c r="AL53" s="19">
        <f si="25" t="shared"/>
        <v>41</v>
      </c>
      <c r="AM53" s="19">
        <f si="25" t="shared"/>
        <v>2</v>
      </c>
      <c r="AN53" s="19">
        <f si="25" t="shared"/>
        <v>6</v>
      </c>
      <c r="AO53" s="19">
        <f si="25" t="shared"/>
        <v>228</v>
      </c>
      <c r="AP53" s="19">
        <f si="25" t="shared"/>
        <v>5</v>
      </c>
      <c r="AQ53" s="19">
        <f si="25" t="shared"/>
        <v>1622</v>
      </c>
      <c r="AR53" s="19">
        <f si="25" t="shared"/>
        <v>1</v>
      </c>
      <c r="AS53" s="19">
        <f si="25" t="shared"/>
        <v>17558</v>
      </c>
      <c r="AT53" s="19">
        <f si="25" t="shared"/>
        <v>0</v>
      </c>
      <c r="AU53" s="19">
        <f si="8" t="shared"/>
        <v>26130</v>
      </c>
    </row>
    <row r="54" spans="1:47" x14ac:dyDescent="0.25">
      <c r="A54" s="108" t="s">
        <v>12</v>
      </c>
      <c r="B54" s="65">
        <f ref="B54:W54" si="31" t="shared">IF($W27&gt;0,(B27/$W27)*$AU27,0)</f>
        <v>0</v>
      </c>
      <c r="C54" s="65">
        <f si="31" t="shared"/>
        <v>0</v>
      </c>
      <c r="D54" s="65">
        <f si="31" t="shared"/>
        <v>0</v>
      </c>
      <c r="E54" s="65">
        <f si="31" t="shared"/>
        <v>0</v>
      </c>
      <c r="F54" s="65">
        <f si="31" t="shared"/>
        <v>0</v>
      </c>
      <c r="G54" s="65">
        <f si="31" t="shared"/>
        <v>0</v>
      </c>
      <c r="H54" s="65">
        <f si="31" t="shared"/>
        <v>0</v>
      </c>
      <c r="I54" s="65">
        <f si="31" t="shared"/>
        <v>0</v>
      </c>
      <c r="J54" s="65">
        <f si="31" t="shared"/>
        <v>0</v>
      </c>
      <c r="K54" s="65">
        <f si="31" t="shared"/>
        <v>0</v>
      </c>
      <c r="L54" s="65">
        <f si="31" t="shared"/>
        <v>0</v>
      </c>
      <c r="M54" s="65">
        <f si="31" t="shared"/>
        <v>0</v>
      </c>
      <c r="N54" s="65">
        <f si="31" t="shared"/>
        <v>0</v>
      </c>
      <c r="O54" s="65">
        <f si="31" t="shared"/>
        <v>0</v>
      </c>
      <c r="P54" s="65">
        <f si="31" t="shared"/>
        <v>0</v>
      </c>
      <c r="Q54" s="65">
        <f si="31" t="shared"/>
        <v>0</v>
      </c>
      <c r="R54" s="65">
        <f si="31" t="shared"/>
        <v>0</v>
      </c>
      <c r="S54" s="65">
        <f si="31" t="shared"/>
        <v>0</v>
      </c>
      <c r="T54" s="65">
        <f si="31" t="shared"/>
        <v>0</v>
      </c>
      <c r="U54" s="65">
        <f si="31" t="shared"/>
        <v>0</v>
      </c>
      <c r="V54" s="65">
        <f si="31" t="shared"/>
        <v>0</v>
      </c>
      <c r="W54" s="66">
        <f si="31" t="shared"/>
        <v>0</v>
      </c>
      <c r="Y54" s="108" t="s">
        <v>12</v>
      </c>
      <c r="Z54" s="19">
        <f si="25" t="shared"/>
        <v>0</v>
      </c>
      <c r="AA54" s="19">
        <f si="25" t="shared"/>
        <v>0</v>
      </c>
      <c r="AB54" s="19">
        <f si="25" t="shared"/>
        <v>0</v>
      </c>
      <c r="AC54" s="19">
        <f si="25" t="shared"/>
        <v>0</v>
      </c>
      <c r="AD54" s="19">
        <f si="25" t="shared"/>
        <v>0</v>
      </c>
      <c r="AE54" s="19">
        <f si="25" t="shared"/>
        <v>0</v>
      </c>
      <c r="AF54" s="19">
        <f si="25" t="shared"/>
        <v>0</v>
      </c>
      <c r="AG54" s="19">
        <f si="25" t="shared"/>
        <v>0</v>
      </c>
      <c r="AH54" s="19">
        <f si="25" t="shared"/>
        <v>0</v>
      </c>
      <c r="AI54" s="19">
        <f si="25" t="shared"/>
        <v>0</v>
      </c>
      <c r="AJ54" s="19">
        <f si="25" t="shared"/>
        <v>0</v>
      </c>
      <c r="AK54" s="19">
        <f si="25" t="shared"/>
        <v>0</v>
      </c>
      <c r="AL54" s="19">
        <f si="25" t="shared"/>
        <v>0</v>
      </c>
      <c r="AM54" s="19">
        <f si="25" t="shared"/>
        <v>0</v>
      </c>
      <c r="AN54" s="19">
        <f si="25" t="shared"/>
        <v>0</v>
      </c>
      <c r="AO54" s="19">
        <f si="25" t="shared"/>
        <v>0</v>
      </c>
      <c r="AP54" s="19">
        <f si="25" t="shared"/>
        <v>0</v>
      </c>
      <c r="AQ54" s="19">
        <f si="25" t="shared"/>
        <v>0</v>
      </c>
      <c r="AR54" s="19">
        <f si="25" t="shared"/>
        <v>0</v>
      </c>
      <c r="AS54" s="19">
        <f si="25" t="shared"/>
        <v>0</v>
      </c>
      <c r="AT54" s="19">
        <f si="25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2" t="shared">IF($W28&gt;0,(B28/$W28)*$AU28,0)</f>
        <v>14684.234974934812</v>
      </c>
      <c r="C55" s="61">
        <f si="32" t="shared"/>
        <v>6671.4007965728597</v>
      </c>
      <c r="D55" s="61">
        <f si="32" t="shared"/>
        <v>25799.280357896005</v>
      </c>
      <c r="E55" s="61">
        <f si="32" t="shared"/>
        <v>10979.210186322938</v>
      </c>
      <c r="F55" s="61">
        <f si="32" t="shared"/>
        <v>39272.253644409124</v>
      </c>
      <c r="G55" s="61">
        <f si="32" t="shared"/>
        <v>52652.689146734418</v>
      </c>
      <c r="H55" s="61">
        <f si="32" t="shared"/>
        <v>50078.169409229427</v>
      </c>
      <c r="I55" s="61">
        <f si="32" t="shared"/>
        <v>2773.6441493995844</v>
      </c>
      <c r="J55" s="61">
        <f si="32" t="shared"/>
        <v>41865.163600297252</v>
      </c>
      <c r="K55" s="61">
        <f si="32" t="shared"/>
        <v>23190.906933794184</v>
      </c>
      <c r="L55" s="61">
        <f si="32" t="shared"/>
        <v>41048.185706680939</v>
      </c>
      <c r="M55" s="61">
        <f si="32" t="shared"/>
        <v>121398.57293910789</v>
      </c>
      <c r="N55" s="61">
        <f si="32" t="shared"/>
        <v>97979.724308865218</v>
      </c>
      <c r="O55" s="61">
        <f si="32" t="shared"/>
        <v>21163.335058884437</v>
      </c>
      <c r="P55" s="61">
        <f si="32" t="shared"/>
        <v>29232.422443222196</v>
      </c>
      <c r="Q55" s="61">
        <f si="32" t="shared"/>
        <v>13649.355219803741</v>
      </c>
      <c r="R55" s="61">
        <f si="32" t="shared"/>
        <v>16262.015446797721</v>
      </c>
      <c r="S55" s="61">
        <f si="32" t="shared"/>
        <v>36089.759631822555</v>
      </c>
      <c r="T55" s="61">
        <f si="32" t="shared"/>
        <v>37371.433280924364</v>
      </c>
      <c r="U55" s="61">
        <f si="32" t="shared"/>
        <v>25724.242764300438</v>
      </c>
      <c r="V55" s="61">
        <f si="32" t="shared"/>
        <v>0</v>
      </c>
      <c r="W55" s="61">
        <f si="32" t="shared"/>
        <v>707886</v>
      </c>
      <c r="Y55" s="1" t="s">
        <v>3</v>
      </c>
      <c r="Z55" s="33">
        <f>SUM(Z34:Z54)</f>
        <v>8214</v>
      </c>
      <c r="AA55" s="33">
        <f ref="AA55:AU55" si="33" t="shared">SUM(AA34:AA54)</f>
        <v>5582</v>
      </c>
      <c r="AB55" s="33">
        <f si="33" t="shared"/>
        <v>3081</v>
      </c>
      <c r="AC55" s="33">
        <f si="33" t="shared"/>
        <v>1785</v>
      </c>
      <c r="AD55" s="33">
        <f si="33" t="shared"/>
        <v>2197</v>
      </c>
      <c r="AE55" s="33">
        <f si="33" t="shared"/>
        <v>12431</v>
      </c>
      <c r="AF55" s="33">
        <f si="33" t="shared"/>
        <v>27023</v>
      </c>
      <c r="AG55" s="33">
        <f si="33" t="shared"/>
        <v>614</v>
      </c>
      <c r="AH55" s="33">
        <f si="33" t="shared"/>
        <v>6443</v>
      </c>
      <c r="AI55" s="33">
        <f si="33" t="shared"/>
        <v>3338</v>
      </c>
      <c r="AJ55" s="33">
        <f si="33" t="shared"/>
        <v>503482</v>
      </c>
      <c r="AK55" s="33">
        <f si="33" t="shared"/>
        <v>56221</v>
      </c>
      <c r="AL55" s="33">
        <f si="33" t="shared"/>
        <v>33163</v>
      </c>
      <c r="AM55" s="33">
        <f si="33" t="shared"/>
        <v>991</v>
      </c>
      <c r="AN55" s="33">
        <f si="33" t="shared"/>
        <v>8468</v>
      </c>
      <c r="AO55" s="33">
        <f si="33" t="shared"/>
        <v>3136</v>
      </c>
      <c r="AP55" s="33">
        <f si="33" t="shared"/>
        <v>683</v>
      </c>
      <c r="AQ55" s="33">
        <f si="33" t="shared"/>
        <v>7383</v>
      </c>
      <c r="AR55" s="33">
        <f si="33" t="shared"/>
        <v>2897</v>
      </c>
      <c r="AS55" s="33">
        <f si="33" t="shared"/>
        <v>20754</v>
      </c>
      <c r="AT55" s="33">
        <f si="33" t="shared"/>
        <v>0</v>
      </c>
      <c r="AU55" s="33">
        <f si="33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1.1798960188452948E-3</v>
      </c>
      <c r="C61" s="118">
        <f ref="C61:W61" si="34" t="shared">IF($W$55&gt;0,C34/$W$55,0)</f>
        <v>0</v>
      </c>
      <c r="D61" s="118">
        <f si="34" t="shared"/>
        <v>8.9657046186449247E-4</v>
      </c>
      <c r="E61" s="118">
        <f si="34" t="shared"/>
        <v>0</v>
      </c>
      <c r="F61" s="118">
        <f si="34" t="shared"/>
        <v>0</v>
      </c>
      <c r="G61" s="118">
        <f si="34" t="shared"/>
        <v>4.2111297021487047E-3</v>
      </c>
      <c r="H61" s="118">
        <f si="34" t="shared"/>
        <v>0</v>
      </c>
      <c r="I61" s="118">
        <f si="34" t="shared"/>
        <v>0</v>
      </c>
      <c r="J61" s="118">
        <f si="34" t="shared"/>
        <v>0</v>
      </c>
      <c r="K61" s="118">
        <f si="34" t="shared"/>
        <v>0</v>
      </c>
      <c r="L61" s="118">
        <f si="34" t="shared"/>
        <v>0</v>
      </c>
      <c r="M61" s="118">
        <f si="34" t="shared"/>
        <v>8.6609805604438218E-4</v>
      </c>
      <c r="N61" s="118">
        <f si="34" t="shared"/>
        <v>0</v>
      </c>
      <c r="O61" s="118">
        <f si="34" t="shared"/>
        <v>0</v>
      </c>
      <c r="P61" s="118">
        <f si="34" t="shared"/>
        <v>0</v>
      </c>
      <c r="Q61" s="118">
        <f si="34" t="shared"/>
        <v>0</v>
      </c>
      <c r="R61" s="118">
        <f si="34" t="shared"/>
        <v>0</v>
      </c>
      <c r="S61" s="118">
        <f si="34" t="shared"/>
        <v>0</v>
      </c>
      <c r="T61" s="118">
        <f si="34" t="shared"/>
        <v>0</v>
      </c>
      <c r="U61" s="118">
        <f si="34" t="shared"/>
        <v>0</v>
      </c>
      <c r="V61" s="118">
        <f si="34" t="shared"/>
        <v>0</v>
      </c>
      <c r="W61" s="118">
        <f si="34" t="shared"/>
        <v>7.1536942389028744E-3</v>
      </c>
      <c r="X61" s="68"/>
      <c r="Y61" s="32">
        <v>1</v>
      </c>
      <c r="Z61" s="118">
        <f>IF($AU$55&gt;0,Z34/$AU$55,0)</f>
        <v>2.5427823124062347E-4</v>
      </c>
      <c r="AA61" s="118">
        <f ref="AA61:AU61" si="35" t="shared">IF($AU$55&gt;0,AA34/$AU$55,0)</f>
        <v>3.6729077845867841E-5</v>
      </c>
      <c r="AB61" s="118">
        <f si="35" t="shared"/>
        <v>2.2602509443610976E-5</v>
      </c>
      <c r="AC61" s="118">
        <f si="35" t="shared"/>
        <v>2.2602509443610976E-5</v>
      </c>
      <c r="AD61" s="118">
        <f si="35" t="shared"/>
        <v>1.836453892293392E-5</v>
      </c>
      <c r="AE61" s="118">
        <f si="35" t="shared"/>
        <v>7.3458155691735681E-5</v>
      </c>
      <c r="AF61" s="118">
        <f si="35" t="shared"/>
        <v>2.8253136804513719E-6</v>
      </c>
      <c r="AG61" s="118">
        <f si="35" t="shared"/>
        <v>0</v>
      </c>
      <c r="AH61" s="118">
        <f si="35" t="shared"/>
        <v>7.0632842011284301E-6</v>
      </c>
      <c r="AI61" s="118">
        <f si="35" t="shared"/>
        <v>1.1301254721805488E-5</v>
      </c>
      <c r="AJ61" s="118">
        <f si="35" t="shared"/>
        <v>6.6620896585043356E-3</v>
      </c>
      <c r="AK61" s="118">
        <f si="35" t="shared"/>
        <v>3.2491107325190779E-5</v>
      </c>
      <c r="AL61" s="118">
        <f si="35" t="shared"/>
        <v>0</v>
      </c>
      <c r="AM61" s="118">
        <f si="35" t="shared"/>
        <v>1.412656840225686E-6</v>
      </c>
      <c r="AN61" s="118">
        <f si="35" t="shared"/>
        <v>0</v>
      </c>
      <c r="AO61" s="118">
        <f si="35" t="shared"/>
        <v>2.8253136804513719E-6</v>
      </c>
      <c r="AP61" s="118">
        <f si="35" t="shared"/>
        <v>0</v>
      </c>
      <c r="AQ61" s="118">
        <f si="35" t="shared"/>
        <v>0</v>
      </c>
      <c r="AR61" s="118">
        <f si="35" t="shared"/>
        <v>5.6506273609027439E-6</v>
      </c>
      <c r="AS61" s="118">
        <f si="35" t="shared"/>
        <v>0</v>
      </c>
      <c r="AT61" s="118">
        <f si="35" t="shared"/>
        <v>0</v>
      </c>
      <c r="AU61" s="118">
        <f si="35" t="shared"/>
        <v>7.1536942389028744E-3</v>
      </c>
    </row>
    <row r="62" spans="1:47" x14ac:dyDescent="0.25">
      <c r="A62">
        <v>2</v>
      </c>
      <c r="B62" s="119">
        <f ref="B62:W73" si="36" t="shared">IF($W$55&gt;0,B35/$W$55,0)</f>
        <v>3.7013541510932967E-4</v>
      </c>
      <c r="C62" s="119">
        <f si="36" t="shared"/>
        <v>2.8894443343614514E-3</v>
      </c>
      <c r="D62" s="119">
        <f si="36" t="shared"/>
        <v>0</v>
      </c>
      <c r="E62" s="119">
        <f si="36" t="shared"/>
        <v>0</v>
      </c>
      <c r="F62" s="119">
        <f si="36" t="shared"/>
        <v>6.6083828364029871E-4</v>
      </c>
      <c r="G62" s="119">
        <f si="36" t="shared"/>
        <v>1.233793747849205E-2</v>
      </c>
      <c r="H62" s="119">
        <f si="36" t="shared"/>
        <v>0</v>
      </c>
      <c r="I62" s="119">
        <f si="36" t="shared"/>
        <v>0</v>
      </c>
      <c r="J62" s="119">
        <f si="36" t="shared"/>
        <v>2.8160801413079609E-3</v>
      </c>
      <c r="K62" s="119">
        <f si="36" t="shared"/>
        <v>0</v>
      </c>
      <c r="L62" s="119">
        <f si="36" t="shared"/>
        <v>0</v>
      </c>
      <c r="M62" s="119">
        <f si="36" t="shared"/>
        <v>2.0309542243114077E-3</v>
      </c>
      <c r="N62" s="119">
        <f si="36" t="shared"/>
        <v>8.956570882700768E-4</v>
      </c>
      <c r="O62" s="119">
        <f si="36" t="shared"/>
        <v>0</v>
      </c>
      <c r="P62" s="119">
        <f si="36" t="shared"/>
        <v>0</v>
      </c>
      <c r="Q62" s="119">
        <f si="36" t="shared"/>
        <v>0</v>
      </c>
      <c r="R62" s="119">
        <f si="36" t="shared"/>
        <v>0</v>
      </c>
      <c r="S62" s="119">
        <f si="36" t="shared"/>
        <v>0</v>
      </c>
      <c r="T62" s="119">
        <f si="36" t="shared"/>
        <v>4.1640443204883485E-4</v>
      </c>
      <c r="U62" s="119">
        <f si="36" t="shared"/>
        <v>0</v>
      </c>
      <c r="V62" s="119">
        <f si="36" t="shared"/>
        <v>0</v>
      </c>
      <c r="W62" s="119">
        <f si="36" t="shared"/>
        <v>2.2417451397541411E-2</v>
      </c>
      <c r="X62" s="22"/>
      <c r="Y62">
        <v>2</v>
      </c>
      <c r="Z62" s="119">
        <f ref="Z62:AU73" si="37" t="shared">IF($AU$55&gt;0,Z35/$AU$55,0)</f>
        <v>2.6840479964288037E-4</v>
      </c>
      <c r="AA62" s="119">
        <f si="37" t="shared"/>
        <v>6.2015635285907623E-4</v>
      </c>
      <c r="AB62" s="119">
        <f si="37" t="shared"/>
        <v>9.0410037774443902E-5</v>
      </c>
      <c r="AC62" s="119">
        <f si="37" t="shared"/>
        <v>5.0855646248124696E-5</v>
      </c>
      <c r="AD62" s="119">
        <f si="37" t="shared"/>
        <v>5.3680959928576068E-5</v>
      </c>
      <c r="AE62" s="119">
        <f si="37" t="shared"/>
        <v>3.1078450484965095E-4</v>
      </c>
      <c r="AF62" s="119">
        <f si="37" t="shared"/>
        <v>5.791893044925313E-5</v>
      </c>
      <c r="AG62" s="119">
        <f si="37" t="shared"/>
        <v>1.1301254721805488E-5</v>
      </c>
      <c r="AH62" s="119">
        <f si="37" t="shared"/>
        <v>1.1583786089850626E-4</v>
      </c>
      <c r="AI62" s="119">
        <f si="37" t="shared"/>
        <v>4.2379705206770579E-5</v>
      </c>
      <c r="AJ62" s="119">
        <f si="37" t="shared"/>
        <v>2.0470810271710417E-2</v>
      </c>
      <c r="AK62" s="119">
        <f si="37" t="shared"/>
        <v>2.4580229019926939E-4</v>
      </c>
      <c r="AL62" s="119">
        <f si="37" t="shared"/>
        <v>0</v>
      </c>
      <c r="AM62" s="119">
        <f si="37" t="shared"/>
        <v>1.1301254721805488E-5</v>
      </c>
      <c r="AN62" s="119">
        <f si="37" t="shared"/>
        <v>2.9665793644739406E-5</v>
      </c>
      <c r="AO62" s="119">
        <f si="37" t="shared"/>
        <v>8.4759410413541171E-6</v>
      </c>
      <c r="AP62" s="119">
        <f si="37" t="shared"/>
        <v>2.8253136804513719E-6</v>
      </c>
      <c r="AQ62" s="119">
        <f si="37" t="shared"/>
        <v>1.412656840225686E-6</v>
      </c>
      <c r="AR62" s="119">
        <f si="37" t="shared"/>
        <v>2.2602509443610976E-5</v>
      </c>
      <c r="AS62" s="119">
        <f si="37" t="shared"/>
        <v>2.8253136804513719E-6</v>
      </c>
      <c r="AT62" s="119">
        <f si="37" t="shared"/>
        <v>0</v>
      </c>
      <c r="AU62" s="119">
        <f si="37" t="shared"/>
        <v>2.2417451397541411E-2</v>
      </c>
    </row>
    <row r="63" spans="1:47" x14ac:dyDescent="0.25">
      <c r="A63">
        <v>3</v>
      </c>
      <c r="B63" s="119">
        <f si="36" t="shared"/>
        <v>4.7697832214555527E-4</v>
      </c>
      <c r="C63" s="119">
        <f si="36" t="shared"/>
        <v>9.7898086395812006E-4</v>
      </c>
      <c r="D63" s="119">
        <f si="36" t="shared"/>
        <v>1.6857370335434902E-2</v>
      </c>
      <c r="E63" s="119">
        <f si="36" t="shared"/>
        <v>8.3484969033385138E-3</v>
      </c>
      <c r="F63" s="119">
        <f si="36" t="shared"/>
        <v>5.9942525583420196E-3</v>
      </c>
      <c r="G63" s="119">
        <f si="36" t="shared"/>
        <v>3.7299634251684345E-3</v>
      </c>
      <c r="H63" s="119">
        <f si="36" t="shared"/>
        <v>0</v>
      </c>
      <c r="I63" s="119">
        <f si="36" t="shared"/>
        <v>3.1313864479106274E-4</v>
      </c>
      <c r="J63" s="119">
        <f si="36" t="shared"/>
        <v>0</v>
      </c>
      <c r="K63" s="119">
        <f si="36" t="shared"/>
        <v>2.4992506756195274E-4</v>
      </c>
      <c r="L63" s="119">
        <f si="36" t="shared"/>
        <v>2.3326148615487041E-3</v>
      </c>
      <c r="M63" s="119">
        <f si="36" t="shared"/>
        <v>8.5681697307772218E-4</v>
      </c>
      <c r="N63" s="119">
        <f si="36" t="shared"/>
        <v>1.9493504668036978E-4</v>
      </c>
      <c r="O63" s="119">
        <f si="36" t="shared"/>
        <v>0</v>
      </c>
      <c r="P63" s="119">
        <f si="36" t="shared"/>
        <v>0</v>
      </c>
      <c r="Q63" s="119">
        <f si="36" t="shared"/>
        <v>0</v>
      </c>
      <c r="R63" s="119">
        <f si="36" t="shared"/>
        <v>0</v>
      </c>
      <c r="S63" s="119">
        <f si="36" t="shared"/>
        <v>0</v>
      </c>
      <c r="T63" s="119">
        <f si="36" t="shared"/>
        <v>1.9565174402757105E-4</v>
      </c>
      <c r="U63" s="119">
        <f si="36" t="shared"/>
        <v>0</v>
      </c>
      <c r="V63" s="119">
        <f si="36" t="shared"/>
        <v>0</v>
      </c>
      <c r="W63" s="119">
        <f si="36" t="shared"/>
        <v>4.0529124746074931E-2</v>
      </c>
      <c r="X63" s="22"/>
      <c r="Y63">
        <v>3</v>
      </c>
      <c r="Z63" s="119">
        <f si="37" t="shared"/>
        <v>3.2491107325190779E-4</v>
      </c>
      <c r="AA63" s="119">
        <f si="37" t="shared"/>
        <v>7.0632842011284302E-5</v>
      </c>
      <c r="AB63" s="119">
        <f si="37" t="shared"/>
        <v>4.0967048366544895E-4</v>
      </c>
      <c r="AC63" s="119">
        <f si="37" t="shared"/>
        <v>6.6394871490607247E-5</v>
      </c>
      <c r="AD63" s="119">
        <f si="37" t="shared"/>
        <v>1.836453892293392E-5</v>
      </c>
      <c r="AE63" s="119">
        <f si="37" t="shared"/>
        <v>1.5821756610527683E-4</v>
      </c>
      <c r="AF63" s="119">
        <f si="37" t="shared"/>
        <v>2.8253136804513719E-6</v>
      </c>
      <c r="AG63" s="119">
        <f si="37" t="shared"/>
        <v>2.8253136804513719E-6</v>
      </c>
      <c r="AH63" s="119">
        <f si="37" t="shared"/>
        <v>1.2713911562031174E-5</v>
      </c>
      <c r="AI63" s="119">
        <f si="37" t="shared"/>
        <v>2.5427823124062348E-5</v>
      </c>
      <c r="AJ63" s="119">
        <f si="37" t="shared"/>
        <v>3.9256320933031587E-2</v>
      </c>
      <c r="AK63" s="119">
        <f si="37" t="shared"/>
        <v>9.7473321975572336E-5</v>
      </c>
      <c r="AL63" s="119">
        <f si="37" t="shared"/>
        <v>1.6951882082708234E-5</v>
      </c>
      <c r="AM63" s="119">
        <f si="37" t="shared"/>
        <v>1.412656840225686E-6</v>
      </c>
      <c r="AN63" s="119">
        <f si="37" t="shared"/>
        <v>1.2713911562031174E-5</v>
      </c>
      <c r="AO63" s="119">
        <f si="37" t="shared"/>
        <v>2.8253136804513719E-6</v>
      </c>
      <c r="AP63" s="119">
        <f si="37" t="shared"/>
        <v>1.412656840225686E-6</v>
      </c>
      <c r="AQ63" s="119">
        <f si="37" t="shared"/>
        <v>0</v>
      </c>
      <c r="AR63" s="119">
        <f si="37" t="shared"/>
        <v>3.3903764165416468E-5</v>
      </c>
      <c r="AS63" s="119">
        <f si="37" t="shared"/>
        <v>1.412656840225686E-5</v>
      </c>
      <c r="AT63" s="119">
        <f si="37" t="shared"/>
        <v>0</v>
      </c>
      <c r="AU63" s="119">
        <f si="37" t="shared"/>
        <v>4.0529124746074931E-2</v>
      </c>
    </row>
    <row r="64" spans="1:47" x14ac:dyDescent="0.25">
      <c r="A64">
        <v>4</v>
      </c>
      <c r="B64" s="119">
        <f si="36" t="shared"/>
        <v>1.0755970686259825E-3</v>
      </c>
      <c r="C64" s="119">
        <f si="36" t="shared"/>
        <v>1.369278952502937E-4</v>
      </c>
      <c r="D64" s="119">
        <f si="36" t="shared"/>
        <v>1.1321795919306272E-3</v>
      </c>
      <c r="E64" s="119">
        <f si="36" t="shared"/>
        <v>2.3099044764988415E-3</v>
      </c>
      <c r="F64" s="119">
        <f si="36" t="shared"/>
        <v>3.040206269255739E-3</v>
      </c>
      <c r="G64" s="119">
        <f si="36" t="shared"/>
        <v>5.9087485459586534E-4</v>
      </c>
      <c r="H64" s="119">
        <f si="36" t="shared"/>
        <v>0</v>
      </c>
      <c r="I64" s="119">
        <f si="36" t="shared"/>
        <v>1.4264002977690297E-3</v>
      </c>
      <c r="J64" s="119">
        <f si="36" t="shared"/>
        <v>4.3592384692829497E-4</v>
      </c>
      <c r="K64" s="119">
        <f si="36" t="shared"/>
        <v>1.9051990783605366E-3</v>
      </c>
      <c r="L64" s="119">
        <f si="36" t="shared"/>
        <v>1.7143282150605536E-4</v>
      </c>
      <c r="M64" s="119">
        <f si="36" t="shared"/>
        <v>1.0296859950673987E-3</v>
      </c>
      <c r="N64" s="119">
        <f si="36" t="shared"/>
        <v>0</v>
      </c>
      <c r="O64" s="119">
        <f si="36" t="shared"/>
        <v>2.7468236305272872E-4</v>
      </c>
      <c r="P64" s="119">
        <f si="36" t="shared"/>
        <v>0</v>
      </c>
      <c r="Q64" s="119">
        <f si="36" t="shared"/>
        <v>0</v>
      </c>
      <c r="R64" s="119">
        <f si="36" t="shared"/>
        <v>0</v>
      </c>
      <c r="S64" s="119">
        <f si="36" t="shared"/>
        <v>0</v>
      </c>
      <c r="T64" s="119">
        <f si="36" t="shared"/>
        <v>0</v>
      </c>
      <c r="U64" s="119">
        <f si="36" t="shared"/>
        <v>0</v>
      </c>
      <c r="V64" s="119">
        <f si="36" t="shared"/>
        <v>0</v>
      </c>
      <c r="W64" s="119">
        <f si="36" t="shared"/>
        <v>1.3529014558841396E-2</v>
      </c>
      <c r="X64" s="22"/>
      <c r="Y64">
        <v>4</v>
      </c>
      <c r="Z64" s="119">
        <f si="37" t="shared"/>
        <v>1.0877457669737783E-4</v>
      </c>
      <c r="AA64" s="119">
        <f si="37" t="shared"/>
        <v>3.6729077845867841E-5</v>
      </c>
      <c r="AB64" s="119">
        <f si="37" t="shared"/>
        <v>1.1301254721805488E-5</v>
      </c>
      <c r="AC64" s="119">
        <f si="37" t="shared"/>
        <v>2.6557948596242899E-4</v>
      </c>
      <c r="AD64" s="119">
        <f si="37" t="shared"/>
        <v>1.9777195763159603E-5</v>
      </c>
      <c r="AE64" s="119">
        <f si="37" t="shared"/>
        <v>6.9220185171058613E-5</v>
      </c>
      <c r="AF64" s="119">
        <f si="37" t="shared"/>
        <v>4.2379705206770585E-6</v>
      </c>
      <c r="AG64" s="119">
        <f si="37" t="shared"/>
        <v>4.2379705206770585E-6</v>
      </c>
      <c r="AH64" s="119">
        <f si="37" t="shared"/>
        <v>5.6506273609027439E-6</v>
      </c>
      <c r="AI64" s="119">
        <f si="37" t="shared"/>
        <v>2.6840479964288034E-5</v>
      </c>
      <c r="AJ64" s="119">
        <f si="37" t="shared"/>
        <v>1.2908858205982318E-2</v>
      </c>
      <c r="AK64" s="119">
        <f si="37" t="shared"/>
        <v>3.8141734686093524E-5</v>
      </c>
      <c r="AL64" s="119">
        <f si="37" t="shared"/>
        <v>0</v>
      </c>
      <c r="AM64" s="119">
        <f si="37" t="shared"/>
        <v>2.8253136804513719E-6</v>
      </c>
      <c r="AN64" s="119">
        <f si="37" t="shared"/>
        <v>5.6506273609027439E-6</v>
      </c>
      <c r="AO64" s="119">
        <f si="37" t="shared"/>
        <v>1.1301254721805488E-5</v>
      </c>
      <c r="AP64" s="119">
        <f si="37" t="shared"/>
        <v>0</v>
      </c>
      <c r="AQ64" s="119">
        <f si="37" t="shared"/>
        <v>0</v>
      </c>
      <c r="AR64" s="119">
        <f si="37" t="shared"/>
        <v>4.2379705206770585E-6</v>
      </c>
      <c r="AS64" s="119">
        <f si="37" t="shared"/>
        <v>5.6506273609027439E-6</v>
      </c>
      <c r="AT64" s="119">
        <f si="37" t="shared"/>
        <v>0</v>
      </c>
      <c r="AU64" s="119">
        <f si="37" t="shared"/>
        <v>1.3529014558841396E-2</v>
      </c>
    </row>
    <row r="65" spans="1:47" x14ac:dyDescent="0.25">
      <c r="A65">
        <v>5</v>
      </c>
      <c r="B65" s="119">
        <f si="36" t="shared"/>
        <v>0</v>
      </c>
      <c r="C65" s="119">
        <f si="36" t="shared"/>
        <v>0</v>
      </c>
      <c r="D65" s="119">
        <f si="36" t="shared"/>
        <v>0</v>
      </c>
      <c r="E65" s="119">
        <f si="36" t="shared"/>
        <v>9.9308629782340161E-5</v>
      </c>
      <c r="F65" s="119">
        <f si="36" t="shared"/>
        <v>7.5977628218545307E-3</v>
      </c>
      <c r="G65" s="119">
        <f si="36" t="shared"/>
        <v>2.2840385747996189E-3</v>
      </c>
      <c r="H65" s="119">
        <f si="36" t="shared"/>
        <v>0</v>
      </c>
      <c r="I65" s="119">
        <f si="36" t="shared"/>
        <v>0</v>
      </c>
      <c r="J65" s="119">
        <f si="36" t="shared"/>
        <v>2.0430859538776602E-4</v>
      </c>
      <c r="K65" s="119">
        <f si="36" t="shared"/>
        <v>2.8237382198140859E-3</v>
      </c>
      <c r="L65" s="119">
        <f si="36" t="shared"/>
        <v>0</v>
      </c>
      <c r="M65" s="119">
        <f si="36" t="shared"/>
        <v>0</v>
      </c>
      <c r="N65" s="119">
        <f si="36" t="shared"/>
        <v>0</v>
      </c>
      <c r="O65" s="119">
        <f si="36" t="shared"/>
        <v>0</v>
      </c>
      <c r="P65" s="119">
        <f si="36" t="shared"/>
        <v>0</v>
      </c>
      <c r="Q65" s="119">
        <f si="36" t="shared"/>
        <v>0</v>
      </c>
      <c r="R65" s="119">
        <f si="36" t="shared"/>
        <v>0</v>
      </c>
      <c r="S65" s="119">
        <f si="36" t="shared"/>
        <v>0</v>
      </c>
      <c r="T65" s="119">
        <f si="36" t="shared"/>
        <v>0</v>
      </c>
      <c r="U65" s="119">
        <f si="36" t="shared"/>
        <v>0</v>
      </c>
      <c r="V65" s="119">
        <f si="36" t="shared"/>
        <v>0</v>
      </c>
      <c r="W65" s="119">
        <f si="36" t="shared"/>
        <v>1.3009156841638343E-2</v>
      </c>
      <c r="X65" s="22"/>
      <c r="Y65">
        <v>5</v>
      </c>
      <c r="Z65" s="119">
        <f si="37" t="shared"/>
        <v>1.7516944818798507E-4</v>
      </c>
      <c r="AA65" s="119">
        <f si="37" t="shared"/>
        <v>5.650627360902744E-5</v>
      </c>
      <c r="AB65" s="119">
        <f si="37" t="shared"/>
        <v>3.5316421005642151E-5</v>
      </c>
      <c r="AC65" s="119">
        <f si="37" t="shared"/>
        <v>3.3903764165416468E-5</v>
      </c>
      <c r="AD65" s="119">
        <f si="37" t="shared"/>
        <v>2.5427823124062347E-4</v>
      </c>
      <c r="AE65" s="119">
        <f si="37" t="shared"/>
        <v>2.3308837863723821E-4</v>
      </c>
      <c r="AF65" s="119">
        <f si="37" t="shared"/>
        <v>1.1301254721805488E-5</v>
      </c>
      <c r="AG65" s="119">
        <f si="37" t="shared"/>
        <v>8.4759410413541171E-6</v>
      </c>
      <c r="AH65" s="119">
        <f si="37" t="shared"/>
        <v>1.412656840225686E-5</v>
      </c>
      <c r="AI65" s="119">
        <f si="37" t="shared"/>
        <v>7.2045498851509992E-5</v>
      </c>
      <c r="AJ65" s="119">
        <f si="37" t="shared"/>
        <v>1.1987805946155172E-2</v>
      </c>
      <c r="AK65" s="119">
        <f si="37" t="shared"/>
        <v>9.4648008295120971E-5</v>
      </c>
      <c r="AL65" s="119">
        <f si="37" t="shared"/>
        <v>0</v>
      </c>
      <c r="AM65" s="119">
        <f si="37" t="shared"/>
        <v>0</v>
      </c>
      <c r="AN65" s="119">
        <f si="37" t="shared"/>
        <v>0</v>
      </c>
      <c r="AO65" s="119">
        <f si="37" t="shared"/>
        <v>1.836453892293392E-5</v>
      </c>
      <c r="AP65" s="119">
        <f si="37" t="shared"/>
        <v>0</v>
      </c>
      <c r="AQ65" s="119">
        <f si="37" t="shared"/>
        <v>0</v>
      </c>
      <c r="AR65" s="119">
        <f si="37" t="shared"/>
        <v>8.4759410413541171E-6</v>
      </c>
      <c r="AS65" s="119">
        <f si="37" t="shared"/>
        <v>5.6506273609027439E-6</v>
      </c>
      <c r="AT65" s="119">
        <f si="37" t="shared"/>
        <v>0</v>
      </c>
      <c r="AU65" s="119">
        <f si="37" t="shared"/>
        <v>1.3009156841638343E-2</v>
      </c>
    </row>
    <row r="66" spans="1:47" x14ac:dyDescent="0.25">
      <c r="A66">
        <v>6</v>
      </c>
      <c r="B66" s="119">
        <f si="36" t="shared"/>
        <v>2.6810556724355999E-4</v>
      </c>
      <c r="C66" s="119">
        <f si="36" t="shared"/>
        <v>7.8259874022928262E-4</v>
      </c>
      <c r="D66" s="119">
        <f si="36" t="shared"/>
        <v>5.7275653512746626E-3</v>
      </c>
      <c r="E66" s="119">
        <f si="36" t="shared"/>
        <v>1.1450116030972362E-3</v>
      </c>
      <c r="F66" s="119">
        <f si="36" t="shared"/>
        <v>3.0952724445507257E-3</v>
      </c>
      <c r="G66" s="119">
        <f si="36" t="shared"/>
        <v>1.8162972881940919E-2</v>
      </c>
      <c r="H66" s="119">
        <f si="36" t="shared"/>
        <v>0</v>
      </c>
      <c r="I66" s="119">
        <f si="36" t="shared"/>
        <v>0</v>
      </c>
      <c r="J66" s="119">
        <f si="36" t="shared"/>
        <v>0</v>
      </c>
      <c r="K66" s="119">
        <f si="36" t="shared"/>
        <v>0</v>
      </c>
      <c r="L66" s="119">
        <f si="36" t="shared"/>
        <v>0</v>
      </c>
      <c r="M66" s="119">
        <f si="36" t="shared"/>
        <v>8.800577874811635E-3</v>
      </c>
      <c r="N66" s="119">
        <f si="36" t="shared"/>
        <v>0</v>
      </c>
      <c r="O66" s="119">
        <f si="36" t="shared"/>
        <v>0</v>
      </c>
      <c r="P66" s="119">
        <f si="36" t="shared"/>
        <v>0</v>
      </c>
      <c r="Q66" s="119">
        <f si="36" t="shared"/>
        <v>0</v>
      </c>
      <c r="R66" s="119">
        <f si="36" t="shared"/>
        <v>0</v>
      </c>
      <c r="S66" s="119">
        <f si="36" t="shared"/>
        <v>0</v>
      </c>
      <c r="T66" s="119">
        <f si="36" t="shared"/>
        <v>0</v>
      </c>
      <c r="U66" s="119">
        <f si="36" t="shared"/>
        <v>0</v>
      </c>
      <c r="V66" s="119">
        <f si="36" t="shared"/>
        <v>0</v>
      </c>
      <c r="W66" s="119">
        <f si="36" t="shared"/>
        <v>3.7982104463148023E-2</v>
      </c>
      <c r="X66" s="22"/>
      <c r="Y66">
        <v>6</v>
      </c>
      <c r="Z66" s="119">
        <f si="37" t="shared"/>
        <v>5.975538434154652E-4</v>
      </c>
      <c r="AA66" s="119">
        <f si="37" t="shared"/>
        <v>2.4580229019926939E-4</v>
      </c>
      <c r="AB66" s="119">
        <f si="37" t="shared"/>
        <v>1.6245553662595389E-4</v>
      </c>
      <c r="AC66" s="119">
        <f si="37" t="shared"/>
        <v>1.0594926301692646E-4</v>
      </c>
      <c r="AD66" s="119">
        <f si="37" t="shared"/>
        <v>2.3732634915791525E-4</v>
      </c>
      <c r="AE66" s="119">
        <f si="37" t="shared"/>
        <v>2.2983926790471911E-3</v>
      </c>
      <c r="AF66" s="119">
        <f si="37" t="shared"/>
        <v>6.2156900969930192E-5</v>
      </c>
      <c r="AG66" s="119">
        <f si="37" t="shared"/>
        <v>4.3792362046996268E-5</v>
      </c>
      <c r="AH66" s="119">
        <f si="37" t="shared"/>
        <v>1.0029863565602372E-4</v>
      </c>
      <c r="AI66" s="119">
        <f si="37" t="shared"/>
        <v>1.4550365454324567E-4</v>
      </c>
      <c r="AJ66" s="119">
        <f si="37" t="shared"/>
        <v>3.3091486482286693E-2</v>
      </c>
      <c r="AK66" s="119">
        <f si="37" t="shared"/>
        <v>7.6283469372187052E-4</v>
      </c>
      <c r="AL66" s="119">
        <f si="37" t="shared"/>
        <v>7.0632842011284301E-6</v>
      </c>
      <c r="AM66" s="119">
        <f si="37" t="shared"/>
        <v>9.8885978815798016E-6</v>
      </c>
      <c r="AN66" s="119">
        <f si="37" t="shared"/>
        <v>2.8253136804513719E-6</v>
      </c>
      <c r="AO66" s="119">
        <f si="37" t="shared"/>
        <v>5.0855646248124696E-5</v>
      </c>
      <c r="AP66" s="119">
        <f si="37" t="shared"/>
        <v>7.0632842011284301E-6</v>
      </c>
      <c r="AQ66" s="119">
        <f si="37" t="shared"/>
        <v>1.836453892293392E-5</v>
      </c>
      <c r="AR66" s="119">
        <f si="37" t="shared"/>
        <v>2.4015166283836662E-5</v>
      </c>
      <c r="AS66" s="119">
        <f si="37" t="shared"/>
        <v>8.4759410413541171E-6</v>
      </c>
      <c r="AT66" s="119">
        <f si="37" t="shared"/>
        <v>0</v>
      </c>
      <c r="AU66" s="119">
        <f si="37" t="shared"/>
        <v>3.7982104463148023E-2</v>
      </c>
    </row>
    <row r="67" spans="1:47" x14ac:dyDescent="0.25">
      <c r="A67">
        <v>7</v>
      </c>
      <c r="B67" s="119">
        <f si="36" t="shared"/>
        <v>7.2853004408315902E-4</v>
      </c>
      <c r="C67" s="119">
        <f si="36" t="shared"/>
        <v>4.9588632242989613E-3</v>
      </c>
      <c r="D67" s="119">
        <f si="36" t="shared"/>
        <v>8.0914000987509734E-4</v>
      </c>
      <c r="E67" s="119">
        <f si="36" t="shared"/>
        <v>0</v>
      </c>
      <c r="F67" s="119">
        <f si="36" t="shared"/>
        <v>5.4476372117811247E-3</v>
      </c>
      <c r="G67" s="119">
        <f si="36" t="shared"/>
        <v>1.1630409068746742E-2</v>
      </c>
      <c r="H67" s="119">
        <f si="36" t="shared"/>
        <v>7.0719848756163009E-2</v>
      </c>
      <c r="I67" s="119">
        <f si="36" t="shared"/>
        <v>0</v>
      </c>
      <c r="J67" s="119">
        <f si="36" t="shared"/>
        <v>2.0836817269990712E-3</v>
      </c>
      <c r="K67" s="119">
        <f si="36" t="shared"/>
        <v>0</v>
      </c>
      <c r="L67" s="119">
        <f si="36" t="shared"/>
        <v>0</v>
      </c>
      <c r="M67" s="119">
        <f si="36" t="shared"/>
        <v>7.873534402211892E-3</v>
      </c>
      <c r="N67" s="119">
        <f si="36" t="shared"/>
        <v>1.4123405003939975E-2</v>
      </c>
      <c r="O67" s="119">
        <f si="36" t="shared"/>
        <v>0</v>
      </c>
      <c r="P67" s="119">
        <f si="36" t="shared"/>
        <v>0</v>
      </c>
      <c r="Q67" s="119">
        <f si="36" t="shared"/>
        <v>0</v>
      </c>
      <c r="R67" s="119">
        <f si="36" t="shared"/>
        <v>0</v>
      </c>
      <c r="S67" s="119">
        <f si="36" t="shared"/>
        <v>3.7429719811237812E-4</v>
      </c>
      <c r="T67" s="119">
        <f si="36" t="shared"/>
        <v>0</v>
      </c>
      <c r="U67" s="119">
        <f si="36" t="shared"/>
        <v>0</v>
      </c>
      <c r="V67" s="119">
        <f si="36" t="shared"/>
        <v>0</v>
      </c>
      <c r="W67" s="119">
        <f si="36" t="shared"/>
        <v>0.1187493466462114</v>
      </c>
      <c r="X67" s="22"/>
      <c r="Y67">
        <v>7</v>
      </c>
      <c r="Z67" s="119">
        <f si="37" t="shared"/>
        <v>1.9367525279494157E-3</v>
      </c>
      <c r="AA67" s="119">
        <f si="37" t="shared"/>
        <v>1.8293906080922634E-3</v>
      </c>
      <c r="AB67" s="119">
        <f si="37" t="shared"/>
        <v>9.535433671523381E-4</v>
      </c>
      <c r="AC67" s="119">
        <f si="37" t="shared"/>
        <v>3.8424266054138659E-4</v>
      </c>
      <c r="AD67" s="119">
        <f si="37" t="shared"/>
        <v>4.8312863935718464E-4</v>
      </c>
      <c r="AE67" s="119">
        <f si="37" t="shared"/>
        <v>2.547020282926912E-3</v>
      </c>
      <c r="AF67" s="119">
        <f si="37" t="shared"/>
        <v>1.3041647948963534E-2</v>
      </c>
      <c r="AG67" s="119">
        <f si="37" t="shared"/>
        <v>1.0736191985715214E-4</v>
      </c>
      <c r="AH67" s="119">
        <f si="37" t="shared"/>
        <v>2.0554157025283733E-3</v>
      </c>
      <c r="AI67" s="119">
        <f si="37" t="shared"/>
        <v>3.658781216184527E-4</v>
      </c>
      <c r="AJ67" s="119">
        <f si="37" t="shared"/>
        <v>8.4581415651672723E-2</v>
      </c>
      <c r="AK67" s="119">
        <f si="37" t="shared"/>
        <v>7.9504326967901606E-3</v>
      </c>
      <c r="AL67" s="119">
        <f si="37" t="shared"/>
        <v>1.3801657329004953E-3</v>
      </c>
      <c r="AM67" s="119">
        <f si="37" t="shared"/>
        <v>2.2602509443610976E-5</v>
      </c>
      <c r="AN67" s="119">
        <f si="37" t="shared"/>
        <v>6.1168041181772204E-4</v>
      </c>
      <c r="AO67" s="119">
        <f si="37" t="shared"/>
        <v>1.2713911562031174E-4</v>
      </c>
      <c r="AP67" s="119">
        <f si="37" t="shared"/>
        <v>1.412656840225686E-5</v>
      </c>
      <c r="AQ67" s="119">
        <f si="37" t="shared"/>
        <v>1.610428797857282E-4</v>
      </c>
      <c r="AR67" s="119">
        <f si="37" t="shared"/>
        <v>1.4832896822369703E-4</v>
      </c>
      <c r="AS67" s="119">
        <f si="37" t="shared"/>
        <v>4.8030332567673323E-5</v>
      </c>
      <c r="AT67" s="119">
        <f si="37" t="shared"/>
        <v>0</v>
      </c>
      <c r="AU67" s="119">
        <f si="37" t="shared"/>
        <v>0.1187493466462114</v>
      </c>
    </row>
    <row r="68" spans="1:47" x14ac:dyDescent="0.25">
      <c r="A68">
        <v>8</v>
      </c>
      <c r="B68" s="119">
        <f si="36" t="shared"/>
        <v>2.548004607923373E-4</v>
      </c>
      <c r="C68" s="119">
        <f si="36" t="shared"/>
        <v>0</v>
      </c>
      <c r="D68" s="119">
        <f si="36" t="shared"/>
        <v>0</v>
      </c>
      <c r="E68" s="119">
        <f si="36" t="shared"/>
        <v>8.4903687651428287E-4</v>
      </c>
      <c r="F68" s="119">
        <f si="36" t="shared"/>
        <v>2.7047857361370657E-3</v>
      </c>
      <c r="G68" s="119">
        <f si="36" t="shared"/>
        <v>0</v>
      </c>
      <c r="H68" s="119">
        <f si="36" t="shared"/>
        <v>0</v>
      </c>
      <c r="I68" s="119">
        <f si="36" t="shared"/>
        <v>8.6858574627339416E-4</v>
      </c>
      <c r="J68" s="119">
        <f si="36" t="shared"/>
        <v>0</v>
      </c>
      <c r="K68" s="119">
        <f si="36" t="shared"/>
        <v>0</v>
      </c>
      <c r="L68" s="119">
        <f si="36" t="shared"/>
        <v>1.9156606536161974E-3</v>
      </c>
      <c r="M68" s="119">
        <f si="36" t="shared"/>
        <v>0</v>
      </c>
      <c r="N68" s="119">
        <f si="36" t="shared"/>
        <v>0</v>
      </c>
      <c r="O68" s="119">
        <f si="36" t="shared"/>
        <v>0</v>
      </c>
      <c r="P68" s="119">
        <f si="36" t="shared"/>
        <v>0</v>
      </c>
      <c r="Q68" s="119">
        <f si="36" t="shared"/>
        <v>0</v>
      </c>
      <c r="R68" s="119">
        <f si="36" t="shared"/>
        <v>0</v>
      </c>
      <c r="S68" s="119">
        <f si="36" t="shared"/>
        <v>0</v>
      </c>
      <c r="T68" s="119">
        <f si="36" t="shared"/>
        <v>0</v>
      </c>
      <c r="U68" s="119">
        <f si="36" t="shared"/>
        <v>0</v>
      </c>
      <c r="V68" s="119">
        <f si="36" t="shared"/>
        <v>0</v>
      </c>
      <c r="W68" s="119">
        <f si="36" t="shared"/>
        <v>6.5928694733332766E-3</v>
      </c>
      <c r="X68" s="22"/>
      <c r="Y68">
        <v>8</v>
      </c>
      <c r="Z68" s="119">
        <f si="37" t="shared"/>
        <v>7.0632842011284301E-6</v>
      </c>
      <c r="AA68" s="119">
        <f si="37" t="shared"/>
        <v>0</v>
      </c>
      <c r="AB68" s="119">
        <f si="37" t="shared"/>
        <v>4.2379705206770585E-6</v>
      </c>
      <c r="AC68" s="119">
        <f si="37" t="shared"/>
        <v>7.0632842011284301E-6</v>
      </c>
      <c r="AD68" s="119">
        <f si="37" t="shared"/>
        <v>0</v>
      </c>
      <c r="AE68" s="119">
        <f si="37" t="shared"/>
        <v>1.1301254721805488E-5</v>
      </c>
      <c r="AF68" s="119">
        <f si="37" t="shared"/>
        <v>0</v>
      </c>
      <c r="AG68" s="119">
        <f si="37" t="shared"/>
        <v>1.2290114509963469E-4</v>
      </c>
      <c r="AH68" s="119">
        <f si="37" t="shared"/>
        <v>2.8253136804513719E-6</v>
      </c>
      <c r="AI68" s="119">
        <f si="37" t="shared"/>
        <v>5.6506273609027439E-6</v>
      </c>
      <c r="AJ68" s="119">
        <f si="37" t="shared"/>
        <v>6.3654317220569415E-3</v>
      </c>
      <c r="AK68" s="119">
        <f si="37" t="shared"/>
        <v>1.412656840225686E-5</v>
      </c>
      <c r="AL68" s="119">
        <f si="37" t="shared"/>
        <v>7.0632842011284301E-6</v>
      </c>
      <c r="AM68" s="119">
        <f si="37" t="shared"/>
        <v>5.6506273609027439E-6</v>
      </c>
      <c r="AN68" s="119">
        <f si="37" t="shared"/>
        <v>8.4759410413541171E-6</v>
      </c>
      <c r="AO68" s="119">
        <f si="37" t="shared"/>
        <v>1.412656840225686E-6</v>
      </c>
      <c r="AP68" s="119">
        <f si="37" t="shared"/>
        <v>0</v>
      </c>
      <c r="AQ68" s="119">
        <f si="37" t="shared"/>
        <v>0</v>
      </c>
      <c r="AR68" s="119">
        <f si="37" t="shared"/>
        <v>1.5539225242482548E-5</v>
      </c>
      <c r="AS68" s="119">
        <f si="37" t="shared"/>
        <v>1.412656840225686E-5</v>
      </c>
      <c r="AT68" s="119">
        <f si="37" t="shared"/>
        <v>0</v>
      </c>
      <c r="AU68" s="119">
        <f si="37" t="shared"/>
        <v>6.5928694733332766E-3</v>
      </c>
    </row>
    <row r="69" spans="1:47" x14ac:dyDescent="0.25">
      <c r="A69">
        <v>9</v>
      </c>
      <c r="B69" s="119">
        <f si="36" t="shared"/>
        <v>4.9563087384690424E-3</v>
      </c>
      <c r="C69" s="119">
        <f si="36" t="shared"/>
        <v>1.2673868021069793E-3</v>
      </c>
      <c r="D69" s="119">
        <f si="36" t="shared"/>
        <v>3.435337860542122E-3</v>
      </c>
      <c r="E69" s="119">
        <f si="36" t="shared"/>
        <v>6.8573055823444246E-4</v>
      </c>
      <c r="F69" s="119">
        <f si="36" t="shared"/>
        <v>5.558908582695794E-3</v>
      </c>
      <c r="G69" s="119">
        <f si="36" t="shared"/>
        <v>2.0166221123914382E-3</v>
      </c>
      <c r="H69" s="119">
        <f si="36" t="shared"/>
        <v>3.3072472105276081E-3</v>
      </c>
      <c r="I69" s="119">
        <f si="36" t="shared"/>
        <v>0</v>
      </c>
      <c r="J69" s="119">
        <f si="36" t="shared"/>
        <v>4.5998649616908839E-2</v>
      </c>
      <c r="K69" s="119">
        <f si="36" t="shared"/>
        <v>0</v>
      </c>
      <c r="L69" s="119">
        <f si="36" t="shared"/>
        <v>2.8441026720706487E-4</v>
      </c>
      <c r="M69" s="119">
        <f si="36" t="shared"/>
        <v>5.9200120924194121E-3</v>
      </c>
      <c r="N69" s="119">
        <f si="36" t="shared"/>
        <v>2.2684885948046304E-3</v>
      </c>
      <c r="O69" s="119">
        <f si="36" t="shared"/>
        <v>0</v>
      </c>
      <c r="P69" s="119">
        <f si="36" t="shared"/>
        <v>8.0900381935409514E-3</v>
      </c>
      <c r="Q69" s="119">
        <f si="36" t="shared"/>
        <v>0</v>
      </c>
      <c r="R69" s="119">
        <f si="36" t="shared"/>
        <v>0</v>
      </c>
      <c r="S69" s="119">
        <f si="36" t="shared"/>
        <v>0</v>
      </c>
      <c r="T69" s="119">
        <f si="36" t="shared"/>
        <v>4.5245143937006722E-3</v>
      </c>
      <c r="U69" s="119">
        <f si="36" t="shared"/>
        <v>0</v>
      </c>
      <c r="V69" s="119">
        <f si="36" t="shared"/>
        <v>0</v>
      </c>
      <c r="W69" s="119">
        <f si="36" t="shared"/>
        <v>8.8313655023548987E-2</v>
      </c>
      <c r="X69" s="31"/>
      <c r="Y69">
        <v>9</v>
      </c>
      <c r="Z69" s="119">
        <f si="37" t="shared"/>
        <v>4.2803502258838288E-4</v>
      </c>
      <c r="AA69" s="119">
        <f si="37" t="shared"/>
        <v>2.6416682912220327E-4</v>
      </c>
      <c r="AB69" s="119">
        <f si="37" t="shared"/>
        <v>1.9635930079137036E-4</v>
      </c>
      <c r="AC69" s="119">
        <f si="37" t="shared"/>
        <v>1.1583786089850626E-4</v>
      </c>
      <c r="AD69" s="119">
        <f si="37" t="shared"/>
        <v>4.9442989407899013E-5</v>
      </c>
      <c r="AE69" s="119">
        <f si="37" t="shared"/>
        <v>4.3227299310905992E-4</v>
      </c>
      <c r="AF69" s="119">
        <f si="37" t="shared"/>
        <v>6.4840948966358991E-4</v>
      </c>
      <c r="AG69" s="119">
        <f si="37" t="shared"/>
        <v>1.2713911562031174E-5</v>
      </c>
      <c r="AH69" s="119">
        <f si="37" t="shared"/>
        <v>2.0116233404813767E-3</v>
      </c>
      <c r="AI69" s="119">
        <f si="37" t="shared"/>
        <v>5.791893044925313E-5</v>
      </c>
      <c r="AJ69" s="119">
        <f si="37" t="shared"/>
        <v>8.2780278180384984E-2</v>
      </c>
      <c r="AK69" s="119">
        <f si="37" t="shared"/>
        <v>6.3004495074065598E-4</v>
      </c>
      <c r="AL69" s="119">
        <f si="37" t="shared"/>
        <v>1.0029863565602372E-4</v>
      </c>
      <c r="AM69" s="119">
        <f si="37" t="shared"/>
        <v>1.6951882082708234E-5</v>
      </c>
      <c r="AN69" s="119">
        <f si="37" t="shared"/>
        <v>4.0684516998499757E-4</v>
      </c>
      <c r="AO69" s="119">
        <f si="37" t="shared"/>
        <v>5.6506273609027439E-6</v>
      </c>
      <c r="AP69" s="119">
        <f si="37" t="shared"/>
        <v>4.2379705206770585E-6</v>
      </c>
      <c r="AQ69" s="119">
        <f si="37" t="shared"/>
        <v>4.2379705206770585E-6</v>
      </c>
      <c r="AR69" s="119">
        <f si="37" t="shared"/>
        <v>1.2996442930076312E-4</v>
      </c>
      <c r="AS69" s="119">
        <f si="37" t="shared"/>
        <v>1.836453892293392E-5</v>
      </c>
      <c r="AT69" s="119">
        <f si="37" t="shared"/>
        <v>0</v>
      </c>
      <c r="AU69" s="119">
        <f si="37" t="shared"/>
        <v>8.8313655023548987E-2</v>
      </c>
    </row>
    <row r="70" spans="1:47" x14ac:dyDescent="0.25">
      <c r="A70">
        <v>10</v>
      </c>
      <c r="B70" s="119">
        <f si="36" t="shared"/>
        <v>0</v>
      </c>
      <c r="C70" s="119">
        <f si="36" t="shared"/>
        <v>0</v>
      </c>
      <c r="D70" s="119">
        <f si="36" t="shared"/>
        <v>2.7119928923996397E-4</v>
      </c>
      <c r="E70" s="119">
        <f si="36" t="shared"/>
        <v>0</v>
      </c>
      <c r="F70" s="119">
        <f si="36" t="shared"/>
        <v>3.2653458066772053E-3</v>
      </c>
      <c r="G70" s="119">
        <f si="36" t="shared"/>
        <v>3.6655965719879099E-3</v>
      </c>
      <c r="H70" s="119">
        <f si="36" t="shared"/>
        <v>0</v>
      </c>
      <c r="I70" s="119">
        <f si="36" t="shared"/>
        <v>0</v>
      </c>
      <c r="J70" s="119">
        <f si="36" t="shared"/>
        <v>0</v>
      </c>
      <c r="K70" s="119">
        <f si="36" t="shared"/>
        <v>1.6635753467360358E-2</v>
      </c>
      <c r="L70" s="119">
        <f si="36" t="shared"/>
        <v>0</v>
      </c>
      <c r="M70" s="119">
        <f si="36" t="shared"/>
        <v>1.0348110955844172E-2</v>
      </c>
      <c r="N70" s="119">
        <f si="36" t="shared"/>
        <v>1.7075910868838445E-4</v>
      </c>
      <c r="O70" s="119">
        <f si="36" t="shared"/>
        <v>0</v>
      </c>
      <c r="P70" s="119">
        <f si="36" t="shared"/>
        <v>0</v>
      </c>
      <c r="Q70" s="119">
        <f si="36" t="shared"/>
        <v>3.5871975286639328E-3</v>
      </c>
      <c r="R70" s="119">
        <f si="36" t="shared"/>
        <v>0</v>
      </c>
      <c r="S70" s="119">
        <f si="36" t="shared"/>
        <v>0</v>
      </c>
      <c r="T70" s="119">
        <f si="36" t="shared"/>
        <v>0</v>
      </c>
      <c r="U70" s="119">
        <f si="36" t="shared"/>
        <v>0</v>
      </c>
      <c r="V70" s="119">
        <f si="36" t="shared"/>
        <v>0</v>
      </c>
      <c r="W70" s="119">
        <f si="36" t="shared"/>
        <v>3.7943962728461927E-2</v>
      </c>
      <c r="Y70">
        <v>10</v>
      </c>
      <c r="Z70" s="119">
        <f si="37" t="shared"/>
        <v>4.8030332567673326E-4</v>
      </c>
      <c r="AA70" s="119">
        <f si="37" t="shared"/>
        <v>2.1472383971430427E-4</v>
      </c>
      <c r="AB70" s="119">
        <f si="37" t="shared"/>
        <v>1.2431380193986038E-4</v>
      </c>
      <c r="AC70" s="119">
        <f si="37" t="shared"/>
        <v>1.3420239982144018E-4</v>
      </c>
      <c r="AD70" s="119">
        <f si="37" t="shared"/>
        <v>2.0059727131204743E-4</v>
      </c>
      <c r="AE70" s="119">
        <f si="37" t="shared"/>
        <v>9.577813376730152E-4</v>
      </c>
      <c r="AF70" s="119">
        <f si="37" t="shared"/>
        <v>4.6617675727447641E-5</v>
      </c>
      <c r="AG70" s="119">
        <f si="37" t="shared"/>
        <v>5.650627360902744E-5</v>
      </c>
      <c r="AH70" s="119">
        <f si="37" t="shared"/>
        <v>5.791893044925313E-5</v>
      </c>
      <c r="AI70" s="119">
        <f si="37" t="shared"/>
        <v>1.6033655136561537E-3</v>
      </c>
      <c r="AJ70" s="119">
        <f si="37" t="shared"/>
        <v>3.2721370390147567E-2</v>
      </c>
      <c r="AK70" s="119">
        <f si="37" t="shared"/>
        <v>1.0326521502049765E-3</v>
      </c>
      <c r="AL70" s="119">
        <f si="37" t="shared"/>
        <v>5.6506273609027439E-6</v>
      </c>
      <c r="AM70" s="119">
        <f si="37" t="shared"/>
        <v>2.8253136804513719E-6</v>
      </c>
      <c r="AN70" s="119">
        <f si="37" t="shared"/>
        <v>1.412656840225686E-6</v>
      </c>
      <c r="AO70" s="119">
        <f si="37" t="shared"/>
        <v>2.5851620176130057E-4</v>
      </c>
      <c r="AP70" s="119">
        <f si="37" t="shared"/>
        <v>5.6506273609027439E-6</v>
      </c>
      <c r="AQ70" s="119">
        <f si="37" t="shared"/>
        <v>9.8885978815798016E-6</v>
      </c>
      <c r="AR70" s="119">
        <f si="37" t="shared"/>
        <v>1.9777195763159603E-5</v>
      </c>
      <c r="AS70" s="119">
        <f si="37" t="shared"/>
        <v>9.8885978815798016E-6</v>
      </c>
      <c r="AT70" s="119">
        <f si="37" t="shared"/>
        <v>0</v>
      </c>
      <c r="AU70" s="119">
        <f si="37" t="shared"/>
        <v>3.7943962728461927E-2</v>
      </c>
    </row>
    <row r="71" spans="1:47" x14ac:dyDescent="0.25">
      <c r="A71">
        <v>11</v>
      </c>
      <c r="B71" s="119">
        <f si="36" t="shared"/>
        <v>5.3581815186221375E-4</v>
      </c>
      <c r="C71" s="119">
        <f si="36" t="shared"/>
        <v>0</v>
      </c>
      <c r="D71" s="119">
        <f si="36" t="shared"/>
        <v>1.4388096820793946E-3</v>
      </c>
      <c r="E71" s="119">
        <f si="36" t="shared"/>
        <v>1.1299209747032649E-3</v>
      </c>
      <c r="F71" s="119">
        <f si="36" t="shared"/>
        <v>7.5206643246009054E-4</v>
      </c>
      <c r="G71" s="119">
        <f si="36" t="shared"/>
        <v>2.2118983684473874E-4</v>
      </c>
      <c r="H71" s="119">
        <f si="36" t="shared"/>
        <v>0</v>
      </c>
      <c r="I71" s="119">
        <f si="36" t="shared"/>
        <v>1.0379828691228685E-3</v>
      </c>
      <c r="J71" s="119">
        <f si="36" t="shared"/>
        <v>7.5901942047949256E-3</v>
      </c>
      <c r="K71" s="119">
        <f si="36" t="shared"/>
        <v>0</v>
      </c>
      <c r="L71" s="119">
        <f si="36" t="shared"/>
        <v>5.8354200807172789E-2</v>
      </c>
      <c r="M71" s="119">
        <f si="36" t="shared"/>
        <v>2.1851090139451219E-4</v>
      </c>
      <c r="N71" s="119">
        <f si="36" t="shared"/>
        <v>3.1145458996095516E-4</v>
      </c>
      <c r="O71" s="119">
        <f si="36" t="shared"/>
        <v>3.9022855993730703E-4</v>
      </c>
      <c r="P71" s="119">
        <f si="36" t="shared"/>
        <v>0</v>
      </c>
      <c r="Q71" s="119">
        <f si="36" t="shared"/>
        <v>0</v>
      </c>
      <c r="R71" s="119">
        <f si="36" t="shared"/>
        <v>0</v>
      </c>
      <c r="S71" s="119">
        <f si="36" t="shared"/>
        <v>0</v>
      </c>
      <c r="T71" s="119">
        <f si="36" t="shared"/>
        <v>5.688908722115386E-3</v>
      </c>
      <c r="U71" s="119">
        <f si="36" t="shared"/>
        <v>0</v>
      </c>
      <c r="V71" s="119">
        <f si="36" t="shared"/>
        <v>0</v>
      </c>
      <c r="W71" s="119">
        <f si="36" t="shared"/>
        <v>7.766928573244844E-2</v>
      </c>
      <c r="Y71">
        <v>11</v>
      </c>
      <c r="Z71" s="119">
        <f si="37" t="shared"/>
        <v>2.0624789867295016E-4</v>
      </c>
      <c r="AA71" s="119">
        <f si="37" t="shared"/>
        <v>4.6617675727447641E-5</v>
      </c>
      <c r="AB71" s="119">
        <f si="37" t="shared"/>
        <v>1.5539225242482548E-5</v>
      </c>
      <c r="AC71" s="119">
        <f si="37" t="shared"/>
        <v>1.0453660617670077E-4</v>
      </c>
      <c r="AD71" s="119">
        <f si="37" t="shared"/>
        <v>8.4759410413541171E-6</v>
      </c>
      <c r="AE71" s="119">
        <f si="37" t="shared"/>
        <v>9.6060665135346647E-5</v>
      </c>
      <c r="AF71" s="119">
        <f si="37" t="shared"/>
        <v>7.0632842011284301E-6</v>
      </c>
      <c r="AG71" s="119">
        <f si="37" t="shared"/>
        <v>0</v>
      </c>
      <c r="AH71" s="119">
        <f si="37" t="shared"/>
        <v>7.0632842011284301E-6</v>
      </c>
      <c r="AI71" s="119">
        <f si="37" t="shared"/>
        <v>1.836453892293392E-5</v>
      </c>
      <c r="AJ71" s="119">
        <f si="37" t="shared"/>
        <v>7.6697377826373175E-2</v>
      </c>
      <c r="AK71" s="119">
        <f si="37" t="shared"/>
        <v>6.6394871490607247E-5</v>
      </c>
      <c r="AL71" s="119">
        <f si="37" t="shared"/>
        <v>1.5539225242482548E-5</v>
      </c>
      <c r="AM71" s="119">
        <f si="37" t="shared"/>
        <v>1.836453892293392E-5</v>
      </c>
      <c r="AN71" s="119">
        <f si="37" t="shared"/>
        <v>8.6172067253766847E-5</v>
      </c>
      <c r="AO71" s="119">
        <f si="37" t="shared"/>
        <v>0</v>
      </c>
      <c r="AP71" s="119">
        <f si="37" t="shared"/>
        <v>2.9665793644739406E-5</v>
      </c>
      <c r="AQ71" s="119">
        <f si="37" t="shared"/>
        <v>0</v>
      </c>
      <c r="AR71" s="119">
        <f si="37" t="shared"/>
        <v>2.0200992815227309E-4</v>
      </c>
      <c r="AS71" s="119">
        <f si="37" t="shared"/>
        <v>4.3792362046996268E-5</v>
      </c>
      <c r="AT71" s="119">
        <f si="37" t="shared"/>
        <v>0</v>
      </c>
      <c r="AU71" s="119">
        <f si="37" t="shared"/>
        <v>7.766928573244844E-2</v>
      </c>
    </row>
    <row r="72" spans="1:47" x14ac:dyDescent="0.25">
      <c r="A72">
        <v>12</v>
      </c>
      <c r="B72" s="119">
        <f si="36" t="shared"/>
        <v>8.0268638535025468E-3</v>
      </c>
      <c r="C72" s="119">
        <f si="36" t="shared"/>
        <v>0</v>
      </c>
      <c r="D72" s="119">
        <f si="36" t="shared"/>
        <v>1.4043594343348268E-3</v>
      </c>
      <c r="E72" s="119">
        <f si="36" t="shared"/>
        <v>0</v>
      </c>
      <c r="F72" s="119">
        <f si="36" t="shared"/>
        <v>1.049174215415033E-3</v>
      </c>
      <c r="G72" s="119">
        <f si="36" t="shared"/>
        <v>1.8244460908614382E-2</v>
      </c>
      <c r="H72" s="119">
        <f si="36" t="shared"/>
        <v>1.2372118423998456E-2</v>
      </c>
      <c r="I72" s="119">
        <f si="36" t="shared"/>
        <v>0</v>
      </c>
      <c r="J72" s="119">
        <f si="36" t="shared"/>
        <v>0</v>
      </c>
      <c r="K72" s="119">
        <f si="36" t="shared"/>
        <v>1.1626063944085674E-4</v>
      </c>
      <c r="L72" s="119">
        <f si="36" t="shared"/>
        <v>0</v>
      </c>
      <c r="M72" s="119">
        <f si="36" t="shared"/>
        <v>0.10677138741100071</v>
      </c>
      <c r="N72" s="119">
        <f si="36" t="shared"/>
        <v>3.2319312297913812E-3</v>
      </c>
      <c r="O72" s="119">
        <f si="36" t="shared"/>
        <v>0</v>
      </c>
      <c r="P72" s="119">
        <f si="36" t="shared"/>
        <v>8.5039198949435064E-4</v>
      </c>
      <c r="Q72" s="119">
        <f si="36" t="shared"/>
        <v>4.7800515618397063E-3</v>
      </c>
      <c r="R72" s="119">
        <f si="36" t="shared"/>
        <v>0</v>
      </c>
      <c r="S72" s="119">
        <f si="36" t="shared"/>
        <v>1.6813509426942467E-3</v>
      </c>
      <c r="T72" s="119">
        <f si="36" t="shared"/>
        <v>0</v>
      </c>
      <c r="U72" s="119">
        <f si="36" t="shared"/>
        <v>0</v>
      </c>
      <c r="V72" s="119">
        <f si="36" t="shared"/>
        <v>0</v>
      </c>
      <c r="W72" s="119">
        <f si="36" t="shared"/>
        <v>0.15852835061012649</v>
      </c>
      <c r="Y72">
        <v>12</v>
      </c>
      <c r="Z72" s="119">
        <f si="37" t="shared"/>
        <v>3.4850244248367675E-3</v>
      </c>
      <c r="AA72" s="119">
        <f si="37" t="shared"/>
        <v>1.9974967720791199E-3</v>
      </c>
      <c r="AB72" s="119">
        <f si="37" t="shared"/>
        <v>9.9451041551888307E-4</v>
      </c>
      <c r="AC72" s="119">
        <f si="37" t="shared"/>
        <v>5.4669819716734048E-4</v>
      </c>
      <c r="AD72" s="119">
        <f si="37" t="shared"/>
        <v>9.7897119027640046E-4</v>
      </c>
      <c r="AE72" s="119">
        <f si="37" t="shared"/>
        <v>5.5376148136846897E-3</v>
      </c>
      <c r="AF72" s="119">
        <f si="37" t="shared"/>
        <v>2.042701790966342E-3</v>
      </c>
      <c r="AG72" s="119">
        <f si="37" t="shared"/>
        <v>2.3308837863723821E-4</v>
      </c>
      <c r="AH72" s="119">
        <f si="37" t="shared"/>
        <v>1.0665559143703931E-3</v>
      </c>
      <c r="AI72" s="119">
        <f si="37" t="shared"/>
        <v>1.147077354263257E-3</v>
      </c>
      <c r="AJ72" s="119">
        <f si="37" t="shared"/>
        <v>0.10241620825952201</v>
      </c>
      <c r="AK72" s="119">
        <f si="37" t="shared"/>
        <v>3.5902673594335813E-2</v>
      </c>
      <c r="AL72" s="119">
        <f si="37" t="shared"/>
        <v>2.0059727131204743E-4</v>
      </c>
      <c r="AM72" s="119">
        <f si="37" t="shared"/>
        <v>2.5427823124062348E-5</v>
      </c>
      <c r="AN72" s="119">
        <f si="37" t="shared"/>
        <v>8.4759410413541157E-5</v>
      </c>
      <c r="AO72" s="119">
        <f si="37" t="shared"/>
        <v>9.2105225982714732E-4</v>
      </c>
      <c r="AP72" s="119">
        <f si="37" t="shared"/>
        <v>2.825313680451372E-5</v>
      </c>
      <c r="AQ72" s="119">
        <f si="37" t="shared"/>
        <v>5.9190321605456244E-4</v>
      </c>
      <c r="AR72" s="119">
        <f si="37" t="shared"/>
        <v>4.6617675727447641E-5</v>
      </c>
      <c r="AS72" s="119">
        <f si="37" t="shared"/>
        <v>2.8111871120491155E-4</v>
      </c>
      <c r="AT72" s="119">
        <f si="37" t="shared"/>
        <v>0</v>
      </c>
      <c r="AU72" s="119">
        <f si="37" t="shared"/>
        <v>0.15852835061012649</v>
      </c>
    </row>
    <row r="73" spans="1:47" x14ac:dyDescent="0.25">
      <c r="A73">
        <v>13</v>
      </c>
      <c r="B73" s="119">
        <f si="36" t="shared"/>
        <v>0</v>
      </c>
      <c r="C73" s="119">
        <f si="36" t="shared"/>
        <v>1.3486021656706716E-3</v>
      </c>
      <c r="D73" s="119">
        <f si="36" t="shared"/>
        <v>0</v>
      </c>
      <c r="E73" s="119">
        <f si="36" t="shared"/>
        <v>0</v>
      </c>
      <c r="F73" s="119">
        <f si="36" t="shared"/>
        <v>2.2216151583152543E-3</v>
      </c>
      <c r="G73" s="119">
        <f si="36" t="shared"/>
        <v>2.3773325564703392E-3</v>
      </c>
      <c r="H73" s="119">
        <f si="36" t="shared"/>
        <v>5.1241529322700275E-3</v>
      </c>
      <c r="I73" s="119">
        <f si="36" t="shared"/>
        <v>0</v>
      </c>
      <c r="J73" s="119">
        <f si="36" t="shared"/>
        <v>1.9536919279744249E-4</v>
      </c>
      <c r="K73" s="119">
        <f si="36" t="shared"/>
        <v>0</v>
      </c>
      <c r="L73" s="119">
        <f si="36" t="shared"/>
        <v>0</v>
      </c>
      <c r="M73" s="119">
        <f si="36" t="shared"/>
        <v>2.6503502587326279E-3</v>
      </c>
      <c r="N73" s="119">
        <f si="36" t="shared"/>
        <v>9.2623859151366367E-2</v>
      </c>
      <c r="O73" s="119">
        <f ref="O73:W73" si="38" t="shared">IF($W$55&gt;0,O46/$W$55,0)</f>
        <v>0</v>
      </c>
      <c r="P73" s="119">
        <f si="38" t="shared"/>
        <v>1.1071636264198394E-3</v>
      </c>
      <c r="Q73" s="119">
        <f si="38" t="shared"/>
        <v>0</v>
      </c>
      <c r="R73" s="119">
        <f si="38" t="shared"/>
        <v>0</v>
      </c>
      <c r="S73" s="119">
        <f si="38" t="shared"/>
        <v>4.1915969986249905E-3</v>
      </c>
      <c r="T73" s="119">
        <f si="38" t="shared"/>
        <v>0</v>
      </c>
      <c r="U73" s="119">
        <f si="38" t="shared"/>
        <v>0</v>
      </c>
      <c r="V73" s="119">
        <f si="38" t="shared"/>
        <v>0</v>
      </c>
      <c r="W73" s="119">
        <f si="38" t="shared"/>
        <v>0.11184004204066757</v>
      </c>
      <c r="Y73">
        <v>13</v>
      </c>
      <c r="Z73" s="119">
        <f si="37" t="shared"/>
        <v>1.813851382849781E-3</v>
      </c>
      <c r="AA73" s="119">
        <f si="37" t="shared"/>
        <v>1.6231427094193134E-3</v>
      </c>
      <c r="AB73" s="119">
        <f si="37" t="shared"/>
        <v>8.6454598621811985E-4</v>
      </c>
      <c r="AC73" s="119">
        <f si="37" t="shared"/>
        <v>2.7970605436468583E-4</v>
      </c>
      <c r="AD73" s="119">
        <f si="37" t="shared"/>
        <v>3.8706797422183797E-4</v>
      </c>
      <c r="AE73" s="119">
        <f si="37" t="shared"/>
        <v>2.5300684008442037E-3</v>
      </c>
      <c r="AF73" s="119">
        <f si="37" t="shared"/>
        <v>1.8959267452668932E-2</v>
      </c>
      <c r="AG73" s="119">
        <f si="37" t="shared"/>
        <v>1.2007583141918332E-4</v>
      </c>
      <c r="AH73" s="119">
        <f si="37" t="shared"/>
        <v>2.5385443418855578E-3</v>
      </c>
      <c r="AI73" s="119">
        <f si="37" t="shared"/>
        <v>3.4892623953574443E-4</v>
      </c>
      <c r="AJ73" s="119">
        <f si="37" t="shared"/>
        <v>2.209395298112973E-2</v>
      </c>
      <c r="AK73" s="119">
        <f si="37" t="shared"/>
        <v>1.2811384884006747E-2</v>
      </c>
      <c r="AL73" s="119">
        <f si="37" t="shared"/>
        <v>4.1067347002200917E-2</v>
      </c>
      <c r="AM73" s="119">
        <f ref="AM73:AU73" si="39" t="shared">IF($AU$55&gt;0,AM46/$AU$55,0)</f>
        <v>1.836453892293392E-5</v>
      </c>
      <c r="AN73" s="119">
        <f si="39" t="shared"/>
        <v>4.2648110006413458E-3</v>
      </c>
      <c r="AO73" s="119">
        <f si="39" t="shared"/>
        <v>2.1331118287407858E-4</v>
      </c>
      <c r="AP73" s="119">
        <f si="39" t="shared"/>
        <v>4.6617675727447641E-5</v>
      </c>
      <c r="AQ73" s="119">
        <f si="39" t="shared"/>
        <v>1.3815783897407209E-3</v>
      </c>
      <c r="AR73" s="119">
        <f si="39" t="shared"/>
        <v>2.0059727131204743E-4</v>
      </c>
      <c r="AS73" s="119">
        <f si="39" t="shared"/>
        <v>2.7688074068423445E-4</v>
      </c>
      <c r="AT73" s="119">
        <f si="39" t="shared"/>
        <v>0</v>
      </c>
      <c r="AU73" s="119">
        <f si="39" t="shared"/>
        <v>0.11184004204066757</v>
      </c>
    </row>
    <row r="74" spans="1:47" x14ac:dyDescent="0.25">
      <c r="A74">
        <v>14</v>
      </c>
      <c r="B74" s="119">
        <f ref="B74:W82" si="40" t="shared">IF($W$55&gt;0,B47/$W$55,0)</f>
        <v>9.0148156905209696E-5</v>
      </c>
      <c r="C74" s="119">
        <f si="40" t="shared"/>
        <v>0</v>
      </c>
      <c r="D74" s="119">
        <f si="40" t="shared"/>
        <v>0</v>
      </c>
      <c r="E74" s="119">
        <f si="40" t="shared"/>
        <v>0</v>
      </c>
      <c r="F74" s="119">
        <f si="40" t="shared"/>
        <v>1.0196533101152954E-4</v>
      </c>
      <c r="G74" s="119">
        <f si="40" t="shared"/>
        <v>0</v>
      </c>
      <c r="H74" s="119">
        <f si="40" t="shared"/>
        <v>0</v>
      </c>
      <c r="I74" s="119">
        <f si="40" t="shared"/>
        <v>1.654330495780714E-4</v>
      </c>
      <c r="J74" s="119">
        <f si="40" t="shared"/>
        <v>0</v>
      </c>
      <c r="K74" s="119">
        <f si="40" t="shared"/>
        <v>1.3889320536511732E-3</v>
      </c>
      <c r="L74" s="119">
        <f si="40" t="shared"/>
        <v>7.2246462909616776E-4</v>
      </c>
      <c r="M74" s="119">
        <f si="40" t="shared"/>
        <v>0</v>
      </c>
      <c r="N74" s="119">
        <f si="40" t="shared"/>
        <v>0</v>
      </c>
      <c r="O74" s="119">
        <f si="40" t="shared"/>
        <v>2.6301983591907434E-2</v>
      </c>
      <c r="P74" s="119">
        <f si="40" t="shared"/>
        <v>0</v>
      </c>
      <c r="Q74" s="119">
        <f si="40" t="shared"/>
        <v>0</v>
      </c>
      <c r="R74" s="119">
        <f si="40" t="shared"/>
        <v>9.3265233831981353E-4</v>
      </c>
      <c r="S74" s="119">
        <f si="40" t="shared"/>
        <v>0</v>
      </c>
      <c r="T74" s="119">
        <f si="40" t="shared"/>
        <v>9.0304394986031363E-4</v>
      </c>
      <c r="U74" s="119">
        <f si="40" t="shared"/>
        <v>0</v>
      </c>
      <c r="V74" s="119">
        <f si="40" t="shared"/>
        <v>0</v>
      </c>
      <c r="W74" s="119">
        <f si="40" t="shared"/>
        <v>3.0606623100329713E-2</v>
      </c>
      <c r="Y74">
        <v>14</v>
      </c>
      <c r="Z74" s="119">
        <f ref="Z74:AU82" si="41" t="shared">IF($AU$55&gt;0,Z47/$AU$55,0)</f>
        <v>6.0744244129704502E-5</v>
      </c>
      <c r="AA74" s="119">
        <f si="41" t="shared"/>
        <v>1.1301254721805488E-5</v>
      </c>
      <c r="AB74" s="119">
        <f si="41" t="shared"/>
        <v>7.0632842011284301E-6</v>
      </c>
      <c r="AC74" s="119">
        <f si="41" t="shared"/>
        <v>5.3680959928576068E-5</v>
      </c>
      <c r="AD74" s="119">
        <f si="41" t="shared"/>
        <v>1.412656840225686E-6</v>
      </c>
      <c r="AE74" s="119">
        <f si="41" t="shared"/>
        <v>2.5427823124062348E-5</v>
      </c>
      <c r="AF74" s="119">
        <f si="41" t="shared"/>
        <v>1.412656840225686E-6</v>
      </c>
      <c r="AG74" s="119">
        <f si="41" t="shared"/>
        <v>4.2379705206770585E-6</v>
      </c>
      <c r="AH74" s="119">
        <f si="41" t="shared"/>
        <v>2.8253136804513719E-6</v>
      </c>
      <c r="AI74" s="119">
        <f si="41" t="shared"/>
        <v>1.9777195763159603E-5</v>
      </c>
      <c r="AJ74" s="119">
        <f si="41" t="shared"/>
        <v>2.9126158731773197E-2</v>
      </c>
      <c r="AK74" s="119">
        <f si="41" t="shared"/>
        <v>3.1078450484965096E-5</v>
      </c>
      <c r="AL74" s="119">
        <f si="41" t="shared"/>
        <v>0</v>
      </c>
      <c r="AM74" s="119">
        <f si="41" t="shared"/>
        <v>1.0919837374944554E-3</v>
      </c>
      <c r="AN74" s="119">
        <f si="41" t="shared"/>
        <v>4.2379705206770585E-6</v>
      </c>
      <c r="AO74" s="119">
        <f si="41" t="shared"/>
        <v>2.8253136804513719E-6</v>
      </c>
      <c r="AP74" s="119">
        <f si="41" t="shared"/>
        <v>5.5093616768801758E-5</v>
      </c>
      <c r="AQ74" s="119">
        <f si="41" t="shared"/>
        <v>0</v>
      </c>
      <c r="AR74" s="119">
        <f si="41" t="shared"/>
        <v>1.0594926301692646E-4</v>
      </c>
      <c r="AS74" s="119">
        <f si="41" t="shared"/>
        <v>1.412656840225686E-6</v>
      </c>
      <c r="AT74" s="119">
        <f si="41" t="shared"/>
        <v>0</v>
      </c>
      <c r="AU74" s="119">
        <f si="41" t="shared"/>
        <v>3.0606623100329713E-2</v>
      </c>
    </row>
    <row r="75" spans="1:47" x14ac:dyDescent="0.25">
      <c r="A75">
        <v>15</v>
      </c>
      <c r="B75" s="119">
        <f si="40" t="shared"/>
        <v>0</v>
      </c>
      <c r="C75" s="119">
        <f si="40" t="shared"/>
        <v>0</v>
      </c>
      <c r="D75" s="119">
        <f si="40" t="shared"/>
        <v>0</v>
      </c>
      <c r="E75" s="119">
        <f si="40" t="shared"/>
        <v>0</v>
      </c>
      <c r="F75" s="119">
        <f si="40" t="shared"/>
        <v>0</v>
      </c>
      <c r="G75" s="119">
        <f si="40" t="shared"/>
        <v>6.2867193015401905E-4</v>
      </c>
      <c r="H75" s="119">
        <f si="40" t="shared"/>
        <v>5.8634474524050717E-3</v>
      </c>
      <c r="I75" s="119">
        <f si="40" t="shared"/>
        <v>0</v>
      </c>
      <c r="J75" s="119">
        <f si="40" t="shared"/>
        <v>1.1551915988397931E-3</v>
      </c>
      <c r="K75" s="119">
        <f si="40" t="shared"/>
        <v>0</v>
      </c>
      <c r="L75" s="119">
        <f si="40" t="shared"/>
        <v>0</v>
      </c>
      <c r="M75" s="119">
        <f si="40" t="shared"/>
        <v>0</v>
      </c>
      <c r="N75" s="119">
        <f si="40" t="shared"/>
        <v>8.3057849798882071E-3</v>
      </c>
      <c r="O75" s="119">
        <f si="40" t="shared"/>
        <v>0</v>
      </c>
      <c r="P75" s="119">
        <f si="40" t="shared"/>
        <v>2.8940886155378983E-2</v>
      </c>
      <c r="Q75" s="119">
        <f si="40" t="shared"/>
        <v>0</v>
      </c>
      <c r="R75" s="119">
        <f si="40" t="shared"/>
        <v>0</v>
      </c>
      <c r="S75" s="119">
        <f si="40" t="shared"/>
        <v>0</v>
      </c>
      <c r="T75" s="119">
        <f si="40" t="shared"/>
        <v>2.4887986958594478E-4</v>
      </c>
      <c r="U75" s="119">
        <f si="40" t="shared"/>
        <v>0</v>
      </c>
      <c r="V75" s="119">
        <f si="40" t="shared"/>
        <v>0</v>
      </c>
      <c r="W75" s="119">
        <f si="40" t="shared"/>
        <v>4.5142861986252024E-2</v>
      </c>
      <c r="Y75">
        <v>15</v>
      </c>
      <c r="Z75" s="119">
        <f si="41" t="shared"/>
        <v>2.6981745648310603E-4</v>
      </c>
      <c r="AA75" s="119">
        <f si="41" t="shared"/>
        <v>2.2178712391543272E-4</v>
      </c>
      <c r="AB75" s="119">
        <f si="41" t="shared"/>
        <v>1.3844037034211723E-4</v>
      </c>
      <c r="AC75" s="119">
        <f si="41" t="shared"/>
        <v>4.3792362046996268E-5</v>
      </c>
      <c r="AD75" s="119">
        <f si="41" t="shared"/>
        <v>4.8030332567673323E-5</v>
      </c>
      <c r="AE75" s="119">
        <f si="41" t="shared"/>
        <v>3.2491107325190779E-4</v>
      </c>
      <c r="AF75" s="119">
        <f si="41" t="shared"/>
        <v>1.147077354263257E-3</v>
      </c>
      <c r="AG75" s="119">
        <f si="41" t="shared"/>
        <v>2.5427823124062348E-5</v>
      </c>
      <c r="AH75" s="119">
        <f si="41" t="shared"/>
        <v>6.8937653803013478E-4</v>
      </c>
      <c r="AI75" s="119">
        <f si="41" t="shared"/>
        <v>4.3792362046996268E-5</v>
      </c>
      <c r="AJ75" s="119">
        <f si="41" t="shared"/>
        <v>3.4201834758704086E-2</v>
      </c>
      <c r="AK75" s="119">
        <f si="41" t="shared"/>
        <v>6.2580698021997888E-4</v>
      </c>
      <c r="AL75" s="119">
        <f si="41" t="shared"/>
        <v>1.1739178342275451E-3</v>
      </c>
      <c r="AM75" s="119">
        <f si="41" t="shared"/>
        <v>8.4759410413541171E-6</v>
      </c>
      <c r="AN75" s="119">
        <f si="41" t="shared"/>
        <v>5.8215588385700521E-3</v>
      </c>
      <c r="AO75" s="119">
        <f si="41" t="shared"/>
        <v>1.1301254721805488E-5</v>
      </c>
      <c r="AP75" s="119">
        <f si="41" t="shared"/>
        <v>2.6840479964288034E-5</v>
      </c>
      <c r="AQ75" s="119">
        <f si="41" t="shared"/>
        <v>1.1301254721805488E-5</v>
      </c>
      <c r="AR75" s="119">
        <f si="41" t="shared"/>
        <v>2.8959465224626563E-4</v>
      </c>
      <c r="AS75" s="119">
        <f si="41" t="shared"/>
        <v>1.9777195763159603E-5</v>
      </c>
      <c r="AT75" s="119">
        <f si="41" t="shared"/>
        <v>0</v>
      </c>
      <c r="AU75" s="119">
        <f si="41" t="shared"/>
        <v>4.5142861986252024E-2</v>
      </c>
    </row>
    <row r="76" spans="1:47" x14ac:dyDescent="0.25">
      <c r="A76">
        <v>16</v>
      </c>
      <c r="B76" s="119">
        <f si="40" t="shared"/>
        <v>1.4041148230169213E-3</v>
      </c>
      <c r="C76" s="119">
        <f si="40" t="shared"/>
        <v>0</v>
      </c>
      <c r="D76" s="119">
        <f si="40" t="shared"/>
        <v>2.3589434806549408E-3</v>
      </c>
      <c r="E76" s="119">
        <f si="40" t="shared"/>
        <v>0</v>
      </c>
      <c r="F76" s="119">
        <f si="40" t="shared"/>
        <v>6.9514008799865913E-3</v>
      </c>
      <c r="G76" s="119">
        <f si="40" t="shared"/>
        <v>2.3760994954914422E-3</v>
      </c>
      <c r="H76" s="119">
        <f si="40" t="shared"/>
        <v>0</v>
      </c>
      <c r="I76" s="119">
        <f si="40" t="shared"/>
        <v>0</v>
      </c>
      <c r="J76" s="119">
        <f si="40" t="shared"/>
        <v>5.5906257697005998E-4</v>
      </c>
      <c r="K76" s="119">
        <f si="40" t="shared"/>
        <v>2.3035412312255952E-3</v>
      </c>
      <c r="L76" s="119">
        <f si="40" t="shared"/>
        <v>0</v>
      </c>
      <c r="M76" s="119">
        <f si="40" t="shared"/>
        <v>0</v>
      </c>
      <c r="N76" s="119">
        <f si="40" t="shared"/>
        <v>0</v>
      </c>
      <c r="O76" s="119">
        <f si="40" t="shared"/>
        <v>0</v>
      </c>
      <c r="P76" s="119">
        <f si="40" t="shared"/>
        <v>0</v>
      </c>
      <c r="Q76" s="119">
        <f si="40" t="shared"/>
        <v>5.1872471266318429E-3</v>
      </c>
      <c r="R76" s="119">
        <f si="40" t="shared"/>
        <v>0</v>
      </c>
      <c r="S76" s="119">
        <f si="40" t="shared"/>
        <v>0</v>
      </c>
      <c r="T76" s="119">
        <f si="40" t="shared"/>
        <v>0</v>
      </c>
      <c r="U76" s="119">
        <f si="40" t="shared"/>
        <v>0</v>
      </c>
      <c r="V76" s="119">
        <f si="40" t="shared"/>
        <v>0</v>
      </c>
      <c r="W76" s="119">
        <f si="40" t="shared"/>
        <v>2.1140409613977392E-2</v>
      </c>
      <c r="Y76">
        <v>16</v>
      </c>
      <c r="Z76" s="119">
        <f si="41" t="shared"/>
        <v>2.4862760387972077E-4</v>
      </c>
      <c r="AA76" s="119">
        <f si="41" t="shared"/>
        <v>7.2045498851509992E-5</v>
      </c>
      <c r="AB76" s="119">
        <f si="41" t="shared"/>
        <v>5.2268303088350385E-5</v>
      </c>
      <c r="AC76" s="119">
        <f si="41" t="shared"/>
        <v>7.7696126212412737E-5</v>
      </c>
      <c r="AD76" s="119">
        <f si="41" t="shared"/>
        <v>7.4870812531961357E-5</v>
      </c>
      <c r="AE76" s="119">
        <f si="41" t="shared"/>
        <v>4.0825782682522328E-4</v>
      </c>
      <c r="AF76" s="119">
        <f si="41" t="shared"/>
        <v>4.2379705206770579E-5</v>
      </c>
      <c r="AG76" s="119">
        <f si="41" t="shared"/>
        <v>4.2379705206770579E-5</v>
      </c>
      <c r="AH76" s="119">
        <f si="41" t="shared"/>
        <v>3.1078450484965096E-5</v>
      </c>
      <c r="AI76" s="119">
        <f si="41" t="shared"/>
        <v>3.4892623953574443E-4</v>
      </c>
      <c r="AJ76" s="119">
        <f si="41" t="shared"/>
        <v>1.6475816727552176E-2</v>
      </c>
      <c r="AK76" s="119">
        <f si="41" t="shared"/>
        <v>1.2049962847125101E-3</v>
      </c>
      <c r="AL76" s="119">
        <f si="41" t="shared"/>
        <v>1.2713911562031174E-5</v>
      </c>
      <c r="AM76" s="119">
        <f si="41" t="shared"/>
        <v>8.4759410413541171E-6</v>
      </c>
      <c r="AN76" s="119">
        <f si="41" t="shared"/>
        <v>5.6506273609027439E-6</v>
      </c>
      <c r="AO76" s="119">
        <f si="41" t="shared"/>
        <v>1.898610793263322E-3</v>
      </c>
      <c r="AP76" s="119">
        <f si="41" t="shared"/>
        <v>0</v>
      </c>
      <c r="AQ76" s="119">
        <f si="41" t="shared"/>
        <v>5.5093616768801758E-5</v>
      </c>
      <c r="AR76" s="119">
        <f si="41" t="shared"/>
        <v>1.6951882082708234E-5</v>
      </c>
      <c r="AS76" s="119">
        <f si="41" t="shared"/>
        <v>6.3569557810155868E-5</v>
      </c>
      <c r="AT76" s="119">
        <f si="41" t="shared"/>
        <v>0</v>
      </c>
      <c r="AU76" s="119">
        <f si="41" t="shared"/>
        <v>2.1140409613977392E-2</v>
      </c>
    </row>
    <row r="77" spans="1:47" x14ac:dyDescent="0.25">
      <c r="A77">
        <v>17</v>
      </c>
      <c r="B77" s="119">
        <f si="40" t="shared"/>
        <v>0</v>
      </c>
      <c r="C77" s="119">
        <f si="40" t="shared"/>
        <v>0</v>
      </c>
      <c r="D77" s="119">
        <f si="40" t="shared"/>
        <v>0</v>
      </c>
      <c r="E77" s="119">
        <f si="40" t="shared"/>
        <v>0</v>
      </c>
      <c r="F77" s="119">
        <f si="40" t="shared"/>
        <v>0</v>
      </c>
      <c r="G77" s="119">
        <f si="40" t="shared"/>
        <v>0</v>
      </c>
      <c r="H77" s="119">
        <f si="40" t="shared"/>
        <v>0</v>
      </c>
      <c r="I77" s="119">
        <f si="40" t="shared"/>
        <v>0</v>
      </c>
      <c r="J77" s="119">
        <f si="40" t="shared"/>
        <v>0</v>
      </c>
      <c r="K77" s="119">
        <f si="40" t="shared"/>
        <v>0</v>
      </c>
      <c r="L77" s="119">
        <f si="40" t="shared"/>
        <v>1.851459243002538E-3</v>
      </c>
      <c r="M77" s="119">
        <f si="40" t="shared"/>
        <v>0</v>
      </c>
      <c r="N77" s="119">
        <f si="40" t="shared"/>
        <v>0</v>
      </c>
      <c r="O77" s="119">
        <f si="40" t="shared"/>
        <v>0</v>
      </c>
      <c r="P77" s="119">
        <f si="40" t="shared"/>
        <v>0</v>
      </c>
      <c r="Q77" s="119">
        <f si="40" t="shared"/>
        <v>0</v>
      </c>
      <c r="R77" s="119">
        <f si="40" t="shared"/>
        <v>2.445228789883596E-2</v>
      </c>
      <c r="S77" s="119">
        <f si="40" t="shared"/>
        <v>0</v>
      </c>
      <c r="T77" s="119">
        <f si="40" t="shared"/>
        <v>7.4298072112248385E-4</v>
      </c>
      <c r="U77" s="119">
        <f si="40" t="shared"/>
        <v>0</v>
      </c>
      <c r="V77" s="119">
        <f si="40" t="shared"/>
        <v>0</v>
      </c>
      <c r="W77" s="119">
        <f si="40" t="shared"/>
        <v>2.7046727862960987E-2</v>
      </c>
      <c r="Y77">
        <v>17</v>
      </c>
      <c r="Z77" s="119">
        <f si="41" t="shared"/>
        <v>3.1078450484965096E-5</v>
      </c>
      <c r="AA77" s="119">
        <f si="41" t="shared"/>
        <v>8.4759410413541171E-6</v>
      </c>
      <c r="AB77" s="119">
        <f si="41" t="shared"/>
        <v>2.8253136804513719E-6</v>
      </c>
      <c r="AC77" s="119">
        <f si="41" t="shared"/>
        <v>4.3792362046996268E-5</v>
      </c>
      <c r="AD77" s="119">
        <f si="41" t="shared"/>
        <v>0</v>
      </c>
      <c r="AE77" s="119">
        <f si="41" t="shared"/>
        <v>1.9777195763159603E-5</v>
      </c>
      <c r="AF77" s="119">
        <f si="41" t="shared"/>
        <v>1.412656840225686E-6</v>
      </c>
      <c r="AG77" s="119">
        <f si="41" t="shared"/>
        <v>0</v>
      </c>
      <c r="AH77" s="119">
        <f si="41" t="shared"/>
        <v>0</v>
      </c>
      <c r="AI77" s="119">
        <f si="41" t="shared"/>
        <v>7.0632842011284301E-6</v>
      </c>
      <c r="AJ77" s="119">
        <f si="41" t="shared"/>
        <v>2.5802177186722154E-2</v>
      </c>
      <c r="AK77" s="119">
        <f si="41" t="shared"/>
        <v>3.2491107325190779E-5</v>
      </c>
      <c r="AL77" s="119">
        <f si="41" t="shared"/>
        <v>7.0632842011284301E-6</v>
      </c>
      <c r="AM77" s="119">
        <f si="41" t="shared"/>
        <v>1.0736191985715214E-4</v>
      </c>
      <c r="AN77" s="119">
        <f si="41" t="shared"/>
        <v>2.4015166283836662E-5</v>
      </c>
      <c r="AO77" s="119">
        <f si="41" t="shared"/>
        <v>0</v>
      </c>
      <c r="AP77" s="119">
        <f si="41" t="shared"/>
        <v>5.8766524553388545E-4</v>
      </c>
      <c r="AQ77" s="119">
        <f si="41" t="shared"/>
        <v>0</v>
      </c>
      <c r="AR77" s="119">
        <f si="41" t="shared"/>
        <v>3.7011609213912975E-4</v>
      </c>
      <c r="AS77" s="119">
        <f si="41" t="shared"/>
        <v>1.412656840225686E-6</v>
      </c>
      <c r="AT77" s="119">
        <f si="41" t="shared"/>
        <v>0</v>
      </c>
      <c r="AU77" s="119">
        <f si="41" t="shared"/>
        <v>2.7046727862960987E-2</v>
      </c>
    </row>
    <row r="78" spans="1:47" x14ac:dyDescent="0.25">
      <c r="A78">
        <v>18</v>
      </c>
      <c r="B78" s="119">
        <f si="40" t="shared"/>
        <v>0</v>
      </c>
      <c r="C78" s="119">
        <f si="40" t="shared"/>
        <v>0</v>
      </c>
      <c r="D78" s="119">
        <f si="40" t="shared"/>
        <v>0</v>
      </c>
      <c r="E78" s="119">
        <f si="40" t="shared"/>
        <v>0</v>
      </c>
      <c r="F78" s="119">
        <f si="40" t="shared"/>
        <v>0</v>
      </c>
      <c r="G78" s="119">
        <f si="40" t="shared"/>
        <v>1.3447409189061574E-3</v>
      </c>
      <c r="H78" s="119">
        <f si="40" t="shared"/>
        <v>0</v>
      </c>
      <c r="I78" s="119">
        <f si="40" t="shared"/>
        <v>0</v>
      </c>
      <c r="J78" s="119">
        <f si="40" t="shared"/>
        <v>7.211370629623556E-5</v>
      </c>
      <c r="K78" s="119">
        <f si="40" t="shared"/>
        <v>0</v>
      </c>
      <c r="L78" s="119">
        <f si="40" t="shared"/>
        <v>0</v>
      </c>
      <c r="M78" s="119">
        <f si="40" t="shared"/>
        <v>5.681401030230712E-3</v>
      </c>
      <c r="N78" s="119">
        <f si="40" t="shared"/>
        <v>6.7554838747994972E-3</v>
      </c>
      <c r="O78" s="119">
        <f si="40" t="shared"/>
        <v>0</v>
      </c>
      <c r="P78" s="119">
        <f si="40" t="shared"/>
        <v>0</v>
      </c>
      <c r="Q78" s="119">
        <f si="40" t="shared"/>
        <v>1.249505664756645E-4</v>
      </c>
      <c r="R78" s="119">
        <f si="40" t="shared"/>
        <v>0</v>
      </c>
      <c r="S78" s="119">
        <f si="40" t="shared"/>
        <v>3.386471364469347E-2</v>
      </c>
      <c r="T78" s="119">
        <f si="40" t="shared"/>
        <v>0</v>
      </c>
      <c r="U78" s="119">
        <f si="40" t="shared"/>
        <v>3.4501661271929269E-3</v>
      </c>
      <c r="V78" s="119">
        <f si="40" t="shared"/>
        <v>0</v>
      </c>
      <c r="W78" s="119">
        <f si="40" t="shared"/>
        <v>5.1293569868594659E-2</v>
      </c>
      <c r="Y78">
        <v>18</v>
      </c>
      <c r="Z78" s="119">
        <f si="41" t="shared"/>
        <v>7.2045498851509989E-4</v>
      </c>
      <c r="AA78" s="119">
        <f si="41" t="shared"/>
        <v>4.350983067895113E-4</v>
      </c>
      <c r="AB78" s="119">
        <f si="41" t="shared"/>
        <v>2.2602509443610976E-4</v>
      </c>
      <c r="AC78" s="119">
        <f si="41" t="shared"/>
        <v>9.8885978815798026E-5</v>
      </c>
      <c r="AD78" s="119">
        <f si="41" t="shared"/>
        <v>2.2037446707520703E-4</v>
      </c>
      <c r="AE78" s="119">
        <f si="41" t="shared"/>
        <v>1.2261861373158954E-3</v>
      </c>
      <c r="AF78" s="119">
        <f si="41" t="shared"/>
        <v>1.9974967720791199E-3</v>
      </c>
      <c r="AG78" s="119">
        <f si="41" t="shared"/>
        <v>5.3680959928576068E-5</v>
      </c>
      <c r="AH78" s="119">
        <f si="41" t="shared"/>
        <v>3.4468826901506739E-4</v>
      </c>
      <c r="AI78" s="119">
        <f si="41" t="shared"/>
        <v>3.1219716168987661E-4</v>
      </c>
      <c r="AJ78" s="119">
        <f si="41" t="shared"/>
        <v>1.7717542090110554E-2</v>
      </c>
      <c r="AK78" s="119">
        <f si="41" t="shared"/>
        <v>1.4695869108867813E-2</v>
      </c>
      <c r="AL78" s="119">
        <f si="41" t="shared"/>
        <v>2.7928225731261814E-3</v>
      </c>
      <c r="AM78" s="119">
        <f si="41" t="shared"/>
        <v>2.8253136804513719E-6</v>
      </c>
      <c r="AN78" s="119">
        <f si="41" t="shared"/>
        <v>2.5851620176130057E-4</v>
      </c>
      <c r="AO78" s="119">
        <f si="41" t="shared"/>
        <v>5.735386771316285E-4</v>
      </c>
      <c r="AP78" s="119">
        <f si="41" t="shared"/>
        <v>4.2379705206770585E-6</v>
      </c>
      <c r="AQ78" s="119">
        <f si="41" t="shared"/>
        <v>5.903492935303142E-3</v>
      </c>
      <c r="AR78" s="119">
        <f si="41" t="shared"/>
        <v>1.6951882082708234E-5</v>
      </c>
      <c r="AS78" s="119">
        <f si="41" t="shared"/>
        <v>3.6926849803499435E-3</v>
      </c>
      <c r="AT78" s="119">
        <f si="41" t="shared"/>
        <v>0</v>
      </c>
      <c r="AU78" s="119">
        <f si="41" t="shared"/>
        <v>5.1293569868594659E-2</v>
      </c>
    </row>
    <row r="79" spans="1:47" x14ac:dyDescent="0.25">
      <c r="A79">
        <v>19</v>
      </c>
      <c r="B79" s="119">
        <f si="40" t="shared"/>
        <v>0</v>
      </c>
      <c r="C79" s="119">
        <f si="40" t="shared"/>
        <v>0</v>
      </c>
      <c r="D79" s="119">
        <f si="40" t="shared"/>
        <v>0</v>
      </c>
      <c r="E79" s="119">
        <f si="40" t="shared"/>
        <v>0</v>
      </c>
      <c r="F79" s="119">
        <f si="40" t="shared"/>
        <v>0</v>
      </c>
      <c r="G79" s="119">
        <f si="40" t="shared"/>
        <v>0</v>
      </c>
      <c r="H79" s="119">
        <f si="40" t="shared"/>
        <v>0</v>
      </c>
      <c r="I79" s="119">
        <f si="40" t="shared"/>
        <v>0</v>
      </c>
      <c r="J79" s="119">
        <f si="40" t="shared"/>
        <v>0</v>
      </c>
      <c r="K79" s="119">
        <f si="40" t="shared"/>
        <v>0</v>
      </c>
      <c r="L79" s="119">
        <f si="40" t="shared"/>
        <v>2.6175194139376151E-3</v>
      </c>
      <c r="M79" s="119">
        <f si="40" t="shared"/>
        <v>0</v>
      </c>
      <c r="N79" s="119">
        <f si="40" t="shared"/>
        <v>0</v>
      </c>
      <c r="O79" s="119">
        <f si="40" t="shared"/>
        <v>0</v>
      </c>
      <c r="P79" s="119">
        <f si="40" t="shared"/>
        <v>1.3685998437094552E-3</v>
      </c>
      <c r="Q79" s="119">
        <f si="40" t="shared"/>
        <v>0</v>
      </c>
      <c r="R79" s="119">
        <f si="40" t="shared"/>
        <v>2.9766836019145615E-3</v>
      </c>
      <c r="S79" s="119">
        <f si="40" t="shared"/>
        <v>0</v>
      </c>
      <c r="T79" s="119">
        <f si="40" t="shared"/>
        <v>4.6636222972281351E-2</v>
      </c>
      <c r="U79" s="119">
        <f si="40" t="shared"/>
        <v>0</v>
      </c>
      <c r="V79" s="119">
        <f si="40" t="shared"/>
        <v>0</v>
      </c>
      <c r="W79" s="119">
        <f si="40" t="shared"/>
        <v>5.3599025831842978E-2</v>
      </c>
      <c r="Y79">
        <v>19</v>
      </c>
      <c r="Z79" s="119">
        <f si="41" t="shared"/>
        <v>7.0632842011284302E-5</v>
      </c>
      <c r="AA79" s="119">
        <f si="41" t="shared"/>
        <v>1.9777195763159603E-5</v>
      </c>
      <c r="AB79" s="119">
        <f si="41" t="shared"/>
        <v>2.8253136804513719E-6</v>
      </c>
      <c r="AC79" s="119">
        <f si="41" t="shared"/>
        <v>6.4982214650381558E-5</v>
      </c>
      <c r="AD79" s="119">
        <f si="41" t="shared"/>
        <v>0</v>
      </c>
      <c r="AE79" s="119">
        <f si="41" t="shared"/>
        <v>3.2491107325190779E-5</v>
      </c>
      <c r="AF79" s="119">
        <f si="41" t="shared"/>
        <v>1.5539225242482548E-5</v>
      </c>
      <c r="AG79" s="119">
        <f si="41" t="shared"/>
        <v>0</v>
      </c>
      <c r="AH79" s="119">
        <f si="41" t="shared"/>
        <v>2.8253136804513719E-6</v>
      </c>
      <c r="AI79" s="119">
        <f si="41" t="shared"/>
        <v>1.1301254721805488E-5</v>
      </c>
      <c r="AJ79" s="119">
        <f si="41" t="shared"/>
        <v>5.0378168236128416E-2</v>
      </c>
      <c r="AK79" s="119">
        <f si="41" t="shared"/>
        <v>5.0855646248124696E-5</v>
      </c>
      <c r="AL79" s="119">
        <f si="41" t="shared"/>
        <v>2.8253136804513719E-6</v>
      </c>
      <c r="AM79" s="119">
        <f si="41" t="shared"/>
        <v>4.0967048366544896E-5</v>
      </c>
      <c r="AN79" s="119">
        <f si="41" t="shared"/>
        <v>3.2491107325190779E-4</v>
      </c>
      <c r="AO79" s="119">
        <f si="41" t="shared"/>
        <v>0</v>
      </c>
      <c r="AP79" s="119">
        <f si="41" t="shared"/>
        <v>1.4409099770301998E-4</v>
      </c>
      <c r="AQ79" s="119">
        <f si="41" t="shared"/>
        <v>0</v>
      </c>
      <c r="AR79" s="119">
        <f si="41" t="shared"/>
        <v>2.4297697651881802E-3</v>
      </c>
      <c r="AS79" s="119">
        <f si="41" t="shared"/>
        <v>7.0632842011284301E-6</v>
      </c>
      <c r="AT79" s="119">
        <f si="41" t="shared"/>
        <v>0</v>
      </c>
      <c r="AU79" s="119">
        <f si="41" t="shared"/>
        <v>5.3599025831842978E-2</v>
      </c>
    </row>
    <row r="80" spans="1:47" x14ac:dyDescent="0.25">
      <c r="A80">
        <v>20</v>
      </c>
      <c r="B80" s="119">
        <f si="40" t="shared"/>
        <v>2.0697259989829151E-4</v>
      </c>
      <c r="C80" s="119">
        <f si="40" t="shared"/>
        <v>5.6264259036540839E-4</v>
      </c>
      <c r="D80" s="119">
        <f si="40" t="shared"/>
        <v>0</v>
      </c>
      <c r="E80" s="119">
        <f si="40" t="shared"/>
        <v>0</v>
      </c>
      <c r="F80" s="119">
        <f si="40" t="shared"/>
        <v>0</v>
      </c>
      <c r="G80" s="119">
        <f si="40" t="shared"/>
        <v>0</v>
      </c>
      <c r="H80" s="119">
        <f si="40" t="shared"/>
        <v>0</v>
      </c>
      <c r="I80" s="119">
        <f si="40" t="shared"/>
        <v>0</v>
      </c>
      <c r="J80" s="119">
        <f si="40" t="shared"/>
        <v>0</v>
      </c>
      <c r="K80" s="119">
        <f si="40" t="shared"/>
        <v>0</v>
      </c>
      <c r="L80" s="119">
        <f si="40" t="shared"/>
        <v>0</v>
      </c>
      <c r="M80" s="119">
        <f si="40" t="shared"/>
        <v>0</v>
      </c>
      <c r="N80" s="119">
        <f si="40" t="shared"/>
        <v>1.7881896904870769E-3</v>
      </c>
      <c r="O80" s="119">
        <f si="40" t="shared"/>
        <v>0</v>
      </c>
      <c r="P80" s="119">
        <f si="40" t="shared"/>
        <v>0</v>
      </c>
      <c r="Q80" s="119">
        <f si="40" t="shared"/>
        <v>0</v>
      </c>
      <c r="R80" s="119">
        <f si="40" t="shared"/>
        <v>0</v>
      </c>
      <c r="S80" s="119">
        <f si="40" t="shared"/>
        <v>7.4507405927352617E-4</v>
      </c>
      <c r="T80" s="119">
        <f si="40" t="shared"/>
        <v>0</v>
      </c>
      <c r="U80" s="119">
        <f si="40" t="shared"/>
        <v>3.3609844295072876E-2</v>
      </c>
      <c r="V80" s="119">
        <f si="40" t="shared"/>
        <v>0</v>
      </c>
      <c r="W80" s="119">
        <f si="40" t="shared"/>
        <v>3.6912723235097179E-2</v>
      </c>
      <c r="Y80">
        <v>20</v>
      </c>
      <c r="Z80" s="119">
        <f si="41" t="shared"/>
        <v>1.1583786089850626E-4</v>
      </c>
      <c r="AA80" s="119">
        <f si="41" t="shared"/>
        <v>7.4870812531961357E-5</v>
      </c>
      <c r="AB80" s="119">
        <f si="41" t="shared"/>
        <v>3.8141734686093524E-5</v>
      </c>
      <c r="AC80" s="119">
        <f si="41" t="shared"/>
        <v>2.1189852603385289E-5</v>
      </c>
      <c r="AD80" s="119">
        <f si="41" t="shared"/>
        <v>4.9442989407899013E-5</v>
      </c>
      <c r="AE80" s="119">
        <f si="41" t="shared"/>
        <v>2.6840479964288037E-4</v>
      </c>
      <c r="AF80" s="119">
        <f si="41" t="shared"/>
        <v>8.1934096733089792E-5</v>
      </c>
      <c r="AG80" s="119">
        <f si="41" t="shared"/>
        <v>1.836453892293392E-5</v>
      </c>
      <c r="AH80" s="119">
        <f si="41" t="shared"/>
        <v>3.5316421005642151E-5</v>
      </c>
      <c r="AI80" s="119">
        <f si="41" t="shared"/>
        <v>1.0171129249624939E-4</v>
      </c>
      <c r="AJ80" s="119">
        <f si="41" t="shared"/>
        <v>5.5121869905606271E-3</v>
      </c>
      <c r="AK80" s="119">
        <f si="41" t="shared"/>
        <v>3.1007817642953808E-3</v>
      </c>
      <c r="AL80" s="119">
        <f si="41" t="shared"/>
        <v>5.791893044925313E-5</v>
      </c>
      <c r="AM80" s="119">
        <f si="41" t="shared"/>
        <v>2.8253136804513719E-6</v>
      </c>
      <c r="AN80" s="119">
        <f si="41" t="shared"/>
        <v>8.4759410413541171E-6</v>
      </c>
      <c r="AO80" s="119">
        <f si="41" t="shared"/>
        <v>3.2208575957145641E-4</v>
      </c>
      <c r="AP80" s="119">
        <f si="41" t="shared"/>
        <v>7.0632842011284301E-6</v>
      </c>
      <c r="AQ80" s="119">
        <f si="41" t="shared"/>
        <v>2.2913293948460629E-3</v>
      </c>
      <c r="AR80" s="119">
        <f si="41" t="shared"/>
        <v>1.412656840225686E-6</v>
      </c>
      <c r="AS80" s="119">
        <f si="41" t="shared"/>
        <v>2.4803428800682596E-2</v>
      </c>
      <c r="AT80" s="119">
        <f si="41" t="shared"/>
        <v>0</v>
      </c>
      <c r="AU80" s="119">
        <f si="41" t="shared"/>
        <v>3.6912723235097179E-2</v>
      </c>
    </row>
    <row r="81" spans="1:47" x14ac:dyDescent="0.25">
      <c r="A81" s="108" t="s">
        <v>12</v>
      </c>
      <c r="B81" s="120">
        <f si="40" t="shared"/>
        <v>0</v>
      </c>
      <c r="C81" s="120">
        <f si="40" t="shared"/>
        <v>0</v>
      </c>
      <c r="D81" s="120">
        <f si="40" t="shared"/>
        <v>0</v>
      </c>
      <c r="E81" s="120">
        <f si="40" t="shared"/>
        <v>0</v>
      </c>
      <c r="F81" s="120">
        <f si="40" t="shared"/>
        <v>0</v>
      </c>
      <c r="G81" s="120">
        <f si="40" t="shared"/>
        <v>0</v>
      </c>
      <c r="H81" s="120">
        <f si="40" t="shared"/>
        <v>0</v>
      </c>
      <c r="I81" s="120">
        <f si="40" t="shared"/>
        <v>0</v>
      </c>
      <c r="J81" s="120">
        <f si="40" t="shared"/>
        <v>0</v>
      </c>
      <c r="K81" s="120">
        <f si="40" t="shared"/>
        <v>0</v>
      </c>
      <c r="L81" s="120">
        <f si="40" t="shared"/>
        <v>0</v>
      </c>
      <c r="M81" s="120">
        <f si="40" t="shared"/>
        <v>0</v>
      </c>
      <c r="N81" s="120">
        <f si="40" t="shared"/>
        <v>0</v>
      </c>
      <c r="O81" s="120">
        <f si="40" t="shared"/>
        <v>0</v>
      </c>
      <c r="P81" s="120">
        <f si="40" t="shared"/>
        <v>0</v>
      </c>
      <c r="Q81" s="120">
        <f si="40" t="shared"/>
        <v>0</v>
      </c>
      <c r="R81" s="120">
        <f si="40" t="shared"/>
        <v>0</v>
      </c>
      <c r="S81" s="120">
        <f si="40" t="shared"/>
        <v>0</v>
      </c>
      <c r="T81" s="120">
        <f si="40" t="shared"/>
        <v>0</v>
      </c>
      <c r="U81" s="120">
        <f si="40" t="shared"/>
        <v>0</v>
      </c>
      <c r="V81" s="120">
        <f si="40" t="shared"/>
        <v>0</v>
      </c>
      <c r="W81" s="120">
        <f si="40" t="shared"/>
        <v>0</v>
      </c>
      <c r="Y81" s="108" t="s">
        <v>12</v>
      </c>
      <c r="Z81" s="120">
        <f si="41" t="shared"/>
        <v>0</v>
      </c>
      <c r="AA81" s="120">
        <f si="41" t="shared"/>
        <v>0</v>
      </c>
      <c r="AB81" s="120">
        <f si="41" t="shared"/>
        <v>0</v>
      </c>
      <c r="AC81" s="120">
        <f si="41" t="shared"/>
        <v>0</v>
      </c>
      <c r="AD81" s="120">
        <f si="41" t="shared"/>
        <v>0</v>
      </c>
      <c r="AE81" s="120">
        <f si="41" t="shared"/>
        <v>0</v>
      </c>
      <c r="AF81" s="120">
        <f si="41" t="shared"/>
        <v>0</v>
      </c>
      <c r="AG81" s="120">
        <f si="41" t="shared"/>
        <v>0</v>
      </c>
      <c r="AH81" s="120">
        <f si="41" t="shared"/>
        <v>0</v>
      </c>
      <c r="AI81" s="120">
        <f si="41" t="shared"/>
        <v>0</v>
      </c>
      <c r="AJ81" s="120">
        <f si="41" t="shared"/>
        <v>0</v>
      </c>
      <c r="AK81" s="120">
        <f si="41" t="shared"/>
        <v>0</v>
      </c>
      <c r="AL81" s="120">
        <f si="41" t="shared"/>
        <v>0</v>
      </c>
      <c r="AM81" s="120">
        <f si="41" t="shared"/>
        <v>0</v>
      </c>
      <c r="AN81" s="120">
        <f si="41" t="shared"/>
        <v>0</v>
      </c>
      <c r="AO81" s="120">
        <f si="41" t="shared"/>
        <v>0</v>
      </c>
      <c r="AP81" s="120">
        <f si="41" t="shared"/>
        <v>0</v>
      </c>
      <c r="AQ81" s="120">
        <f si="41" t="shared"/>
        <v>0</v>
      </c>
      <c r="AR81" s="120">
        <f si="41" t="shared"/>
        <v>0</v>
      </c>
      <c r="AS81" s="120">
        <f si="41" t="shared"/>
        <v>0</v>
      </c>
      <c r="AT81" s="120">
        <f si="41" t="shared"/>
        <v>0</v>
      </c>
      <c r="AU81" s="120">
        <f si="41" t="shared"/>
        <v>0</v>
      </c>
    </row>
    <row ht="15.75" r="82" spans="1:47" thickBot="1" x14ac:dyDescent="0.3">
      <c r="A82" s="1" t="s">
        <v>3</v>
      </c>
      <c r="B82" s="121">
        <f si="40" t="shared"/>
        <v>2.0743784980822917E-2</v>
      </c>
      <c r="C82" s="121">
        <f si="40" t="shared"/>
        <v>9.4243999691657407E-3</v>
      </c>
      <c r="D82" s="121">
        <f si="40" t="shared"/>
        <v>3.6445529870481976E-2</v>
      </c>
      <c r="E82" s="121">
        <f si="40" t="shared"/>
        <v>1.5509856369984627E-2</v>
      </c>
      <c r="F82" s="121">
        <f si="40" t="shared"/>
        <v>5.547821774185268E-2</v>
      </c>
      <c r="G82" s="121">
        <f si="40" t="shared"/>
        <v>7.4380181479411112E-2</v>
      </c>
      <c r="H82" s="121">
        <f si="40" t="shared"/>
        <v>7.0743268561928654E-2</v>
      </c>
      <c r="I82" s="121">
        <f si="40" t="shared"/>
        <v>3.9182073800012778E-3</v>
      </c>
      <c r="J82" s="121">
        <f si="40" t="shared"/>
        <v>5.9141109727127321E-2</v>
      </c>
      <c r="K82" s="121">
        <f si="40" t="shared"/>
        <v>3.2760793311061645E-2</v>
      </c>
      <c r="L82" s="121">
        <f si="40" t="shared"/>
        <v>5.7987000317397064E-2</v>
      </c>
      <c r="M82" s="121">
        <f si="40" t="shared"/>
        <v>0.17149452445606764</v>
      </c>
      <c r="N82" s="121">
        <f si="40" t="shared"/>
        <v>0.13841172774834537</v>
      </c>
      <c r="O82" s="121">
        <f si="40" t="shared"/>
        <v>2.9896530032921174E-2</v>
      </c>
      <c r="P82" s="121">
        <f si="40" t="shared"/>
        <v>4.1295381520784699E-2</v>
      </c>
      <c r="Q82" s="121">
        <f si="40" t="shared"/>
        <v>1.9281855015925928E-2</v>
      </c>
      <c r="R82" s="121">
        <f si="40" t="shared"/>
        <v>2.2972647356774567E-2</v>
      </c>
      <c r="S82" s="121">
        <f si="40" t="shared"/>
        <v>5.0982445805994966E-2</v>
      </c>
      <c r="T82" s="121">
        <f si="40" t="shared"/>
        <v>5.2793010853335653E-2</v>
      </c>
      <c r="U82" s="121">
        <f si="40" t="shared"/>
        <v>3.6339527500615122E-2</v>
      </c>
      <c r="V82" s="121">
        <f si="40" t="shared"/>
        <v>0</v>
      </c>
      <c r="W82" s="121">
        <f si="40" t="shared"/>
        <v>1</v>
      </c>
      <c r="Y82" s="1" t="s">
        <v>3</v>
      </c>
      <c r="Z82" s="121">
        <f si="41" t="shared"/>
        <v>1.1603563285613785E-2</v>
      </c>
      <c r="AA82" s="121">
        <f si="41" t="shared"/>
        <v>7.8854504821397799E-3</v>
      </c>
      <c r="AB82" s="121">
        <f si="41" t="shared"/>
        <v>4.3523957247353388E-3</v>
      </c>
      <c r="AC82" s="121">
        <f si="41" t="shared"/>
        <v>2.5215924598028495E-3</v>
      </c>
      <c r="AD82" s="121">
        <f si="41" t="shared"/>
        <v>3.1036070779758324E-3</v>
      </c>
      <c r="AE82" s="121">
        <f si="41" t="shared"/>
        <v>1.7560737180845502E-2</v>
      </c>
      <c r="AF82" s="121">
        <f si="41" t="shared"/>
        <v>3.8174225793418712E-2</v>
      </c>
      <c r="AG82" s="121">
        <f si="41" t="shared"/>
        <v>8.6737129989857128E-4</v>
      </c>
      <c r="AH82" s="121">
        <f si="41" t="shared"/>
        <v>9.1017480215740947E-3</v>
      </c>
      <c r="AI82" s="121">
        <f si="41" t="shared"/>
        <v>4.71544853267334E-3</v>
      </c>
      <c r="AJ82" s="121">
        <f si="41" t="shared"/>
        <v>0.71124729123050889</v>
      </c>
      <c r="AK82" s="121">
        <f si="41" t="shared"/>
        <v>7.9420980214328293E-2</v>
      </c>
      <c r="AL82" s="121">
        <f si="41" t="shared"/>
        <v>4.6847938792404425E-2</v>
      </c>
      <c r="AM82" s="121">
        <f si="41" t="shared"/>
        <v>1.3999429286636548E-3</v>
      </c>
      <c r="AN82" s="121">
        <f si="41" t="shared"/>
        <v>1.1962378123031109E-2</v>
      </c>
      <c r="AO82" s="121">
        <f si="41" t="shared"/>
        <v>4.4300918509477512E-3</v>
      </c>
      <c r="AP82" s="121">
        <f si="41" t="shared"/>
        <v>9.6484462187414362E-4</v>
      </c>
      <c r="AQ82" s="121">
        <f si="41" t="shared"/>
        <v>1.042964545138624E-2</v>
      </c>
      <c r="AR82" s="121">
        <f si="41" t="shared"/>
        <v>4.0924668661338126E-3</v>
      </c>
      <c r="AS82" s="121">
        <f si="41" t="shared"/>
        <v>2.931828006204389E-2</v>
      </c>
      <c r="AT82" s="121">
        <f si="41" t="shared"/>
        <v>0</v>
      </c>
      <c r="AU82" s="121">
        <f si="41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-9.2561778760467137E-4</v>
      </c>
      <c r="AA88" s="118">
        <f ref="AA88:AT88" si="42" t="shared">AA61-C61</f>
        <v>3.6729077845867841E-5</v>
      </c>
      <c r="AB88" s="118">
        <f si="42" t="shared"/>
        <v>-8.7396795242088154E-4</v>
      </c>
      <c r="AC88" s="118">
        <f si="42" t="shared"/>
        <v>2.2602509443610976E-5</v>
      </c>
      <c r="AD88" s="118">
        <f si="42" t="shared"/>
        <v>1.836453892293392E-5</v>
      </c>
      <c r="AE88" s="118">
        <f si="42" t="shared"/>
        <v>-4.137671546456969E-3</v>
      </c>
      <c r="AF88" s="118">
        <f si="42" t="shared"/>
        <v>2.8253136804513719E-6</v>
      </c>
      <c r="AG88" s="118">
        <f si="42" t="shared"/>
        <v>0</v>
      </c>
      <c r="AH88" s="118">
        <f si="42" t="shared"/>
        <v>7.0632842011284301E-6</v>
      </c>
      <c r="AI88" s="118">
        <f si="42" t="shared"/>
        <v>1.1301254721805488E-5</v>
      </c>
      <c r="AJ88" s="118">
        <f si="42" t="shared"/>
        <v>6.6620896585043356E-3</v>
      </c>
      <c r="AK88" s="118">
        <f si="42" t="shared"/>
        <v>-8.336069487191914E-4</v>
      </c>
      <c r="AL88" s="118">
        <f si="42" t="shared"/>
        <v>0</v>
      </c>
      <c r="AM88" s="118">
        <f si="42" t="shared"/>
        <v>1.412656840225686E-6</v>
      </c>
      <c r="AN88" s="118">
        <f si="42" t="shared"/>
        <v>0</v>
      </c>
      <c r="AO88" s="118">
        <f si="42" t="shared"/>
        <v>2.8253136804513719E-6</v>
      </c>
      <c r="AP88" s="118">
        <f si="42" t="shared"/>
        <v>0</v>
      </c>
      <c r="AQ88" s="118">
        <f si="42" t="shared"/>
        <v>0</v>
      </c>
      <c r="AR88" s="118">
        <f si="42" t="shared"/>
        <v>5.6506273609027439E-6</v>
      </c>
      <c r="AS88" s="118">
        <f si="42" t="shared"/>
        <v>0</v>
      </c>
      <c r="AT88" s="118">
        <f si="42" t="shared"/>
        <v>0</v>
      </c>
      <c r="AU88" s="118">
        <f>AU61-W61</f>
        <v>0</v>
      </c>
    </row>
    <row r="89" spans="1:47" x14ac:dyDescent="0.25">
      <c r="Y89">
        <v>2</v>
      </c>
      <c r="Z89" s="119">
        <f ref="Z89:Z109" si="43" t="shared">Z62-B62</f>
        <v>-1.0173061546644931E-4</v>
      </c>
      <c r="AA89" s="119">
        <f ref="AA89:AA109" si="44" t="shared">AA62-C62</f>
        <v>-2.2692879815023751E-3</v>
      </c>
      <c r="AB89" s="119">
        <f ref="AB89:AB109" si="45" t="shared">AB62-D62</f>
        <v>9.0410037774443902E-5</v>
      </c>
      <c r="AC89" s="119">
        <f ref="AC89:AC109" si="46" t="shared">AC62-E62</f>
        <v>5.0855646248124696E-5</v>
      </c>
      <c r="AD89" s="119">
        <f ref="AD89:AD109" si="47" t="shared">AD62-F62</f>
        <v>-6.0715732371172267E-4</v>
      </c>
      <c r="AE89" s="119">
        <f ref="AE89:AE109" si="48" t="shared">AE62-G62</f>
        <v>-1.2027152973642399E-2</v>
      </c>
      <c r="AF89" s="119">
        <f ref="AF89:AF109" si="49" t="shared">AF62-H62</f>
        <v>5.791893044925313E-5</v>
      </c>
      <c r="AG89" s="119">
        <f ref="AG89:AG109" si="50" t="shared">AG62-I62</f>
        <v>1.1301254721805488E-5</v>
      </c>
      <c r="AH89" s="119">
        <f ref="AH89:AH109" si="51" t="shared">AH62-J62</f>
        <v>-2.7002422804094546E-3</v>
      </c>
      <c r="AI89" s="119">
        <f ref="AI89:AI109" si="52" t="shared">AI62-K62</f>
        <v>4.2379705206770579E-5</v>
      </c>
      <c r="AJ89" s="119">
        <f ref="AJ89:AJ109" si="53" t="shared">AJ62-L62</f>
        <v>2.0470810271710417E-2</v>
      </c>
      <c r="AK89" s="119">
        <f ref="AK89:AK109" si="54" t="shared">AK62-M62</f>
        <v>-1.7851519341121383E-3</v>
      </c>
      <c r="AL89" s="119">
        <f ref="AL89:AL109" si="55" t="shared">AL62-N62</f>
        <v>-8.956570882700768E-4</v>
      </c>
      <c r="AM89" s="119">
        <f ref="AM89:AM109" si="56" t="shared">AM62-O62</f>
        <v>1.1301254721805488E-5</v>
      </c>
      <c r="AN89" s="119">
        <f ref="AN89:AN109" si="57" t="shared">AN62-P62</f>
        <v>2.9665793644739406E-5</v>
      </c>
      <c r="AO89" s="119">
        <f ref="AO89:AO109" si="58" t="shared">AO62-Q62</f>
        <v>8.4759410413541171E-6</v>
      </c>
      <c r="AP89" s="119">
        <f ref="AP89:AP109" si="59" t="shared">AP62-R62</f>
        <v>2.8253136804513719E-6</v>
      </c>
      <c r="AQ89" s="119">
        <f ref="AQ89:AQ109" si="60" t="shared">AQ62-S62</f>
        <v>1.412656840225686E-6</v>
      </c>
      <c r="AR89" s="119">
        <f ref="AR89:AR109" si="61" t="shared">AR62-T62</f>
        <v>-3.9380192260522387E-4</v>
      </c>
      <c r="AS89" s="119">
        <f ref="AS89:AS109" si="62" t="shared">AS62-U62</f>
        <v>2.8253136804513719E-6</v>
      </c>
      <c r="AT89" s="119">
        <f ref="AT89:AU104" si="63" t="shared">AT62-V62</f>
        <v>0</v>
      </c>
      <c r="AU89" s="119">
        <f si="63" t="shared"/>
        <v>0</v>
      </c>
    </row>
    <row r="90" spans="1:47" x14ac:dyDescent="0.25">
      <c r="Y90">
        <v>3</v>
      </c>
      <c r="Z90" s="119">
        <f si="43" t="shared"/>
        <v>-1.5206724889364748E-4</v>
      </c>
      <c r="AA90" s="119">
        <f si="44" t="shared"/>
        <v>-9.0834802194683574E-4</v>
      </c>
      <c r="AB90" s="119">
        <f si="45" t="shared"/>
        <v>-1.6447699851769453E-2</v>
      </c>
      <c r="AC90" s="119">
        <f si="46" t="shared"/>
        <v>-8.2821020318479058E-3</v>
      </c>
      <c r="AD90" s="119">
        <f si="47" t="shared"/>
        <v>-5.9758880194190856E-3</v>
      </c>
      <c r="AE90" s="119">
        <f si="48" t="shared"/>
        <v>-3.5717458590631577E-3</v>
      </c>
      <c r="AF90" s="119">
        <f si="49" t="shared"/>
        <v>2.8253136804513719E-6</v>
      </c>
      <c r="AG90" s="119">
        <f si="50" t="shared"/>
        <v>-3.1031333111061136E-4</v>
      </c>
      <c r="AH90" s="119">
        <f si="51" t="shared"/>
        <v>1.2713911562031174E-5</v>
      </c>
      <c r="AI90" s="119">
        <f si="52" t="shared"/>
        <v>-2.2449724443789038E-4</v>
      </c>
      <c r="AJ90" s="119">
        <f si="53" t="shared"/>
        <v>3.6923706071482883E-2</v>
      </c>
      <c r="AK90" s="119">
        <f si="54" t="shared"/>
        <v>-7.5934365110214984E-4</v>
      </c>
      <c r="AL90" s="119">
        <f si="55" t="shared"/>
        <v>-1.7798316459766156E-4</v>
      </c>
      <c r="AM90" s="119">
        <f si="56" t="shared"/>
        <v>1.412656840225686E-6</v>
      </c>
      <c r="AN90" s="119">
        <f si="57" t="shared"/>
        <v>1.2713911562031174E-5</v>
      </c>
      <c r="AO90" s="119">
        <f si="58" t="shared"/>
        <v>2.8253136804513719E-6</v>
      </c>
      <c r="AP90" s="119">
        <f si="59" t="shared"/>
        <v>1.412656840225686E-6</v>
      </c>
      <c r="AQ90" s="119">
        <f si="60" t="shared"/>
        <v>0</v>
      </c>
      <c r="AR90" s="119">
        <f si="61" t="shared"/>
        <v>-1.6174797986215459E-4</v>
      </c>
      <c r="AS90" s="119">
        <f si="62" t="shared"/>
        <v>1.412656840225686E-5</v>
      </c>
      <c r="AT90" s="119">
        <f si="63" t="shared"/>
        <v>0</v>
      </c>
      <c r="AU90" s="119">
        <f ref="AU90:AU109" si="64" t="shared">AU63-W63</f>
        <v>0</v>
      </c>
    </row>
    <row r="91" spans="1:47" x14ac:dyDescent="0.25">
      <c r="Y91">
        <v>4</v>
      </c>
      <c r="Z91" s="119">
        <f si="43" t="shared"/>
        <v>-9.6682249192860462E-4</v>
      </c>
      <c r="AA91" s="119">
        <f si="44" t="shared"/>
        <v>-1.0019881740442585E-4</v>
      </c>
      <c r="AB91" s="119">
        <f si="45" t="shared"/>
        <v>-1.1208783372088217E-3</v>
      </c>
      <c r="AC91" s="119">
        <f si="46" t="shared"/>
        <v>-2.0443249905364126E-3</v>
      </c>
      <c r="AD91" s="119">
        <f si="47" t="shared"/>
        <v>-3.0204290734925795E-3</v>
      </c>
      <c r="AE91" s="119">
        <f si="48" t="shared"/>
        <v>-5.2165466942480669E-4</v>
      </c>
      <c r="AF91" s="119">
        <f si="49" t="shared"/>
        <v>4.2379705206770585E-6</v>
      </c>
      <c r="AG91" s="119">
        <f si="50" t="shared"/>
        <v>-1.4221623272483526E-3</v>
      </c>
      <c r="AH91" s="119">
        <f si="51" t="shared"/>
        <v>-4.3027321956739221E-4</v>
      </c>
      <c r="AI91" s="119">
        <f si="52" t="shared"/>
        <v>-1.8783585983962485E-3</v>
      </c>
      <c r="AJ91" s="119">
        <f si="53" t="shared"/>
        <v>1.2737425384476263E-2</v>
      </c>
      <c r="AK91" s="119">
        <f si="54" t="shared"/>
        <v>-9.9154426038130529E-4</v>
      </c>
      <c r="AL91" s="119">
        <f si="55" t="shared"/>
        <v>0</v>
      </c>
      <c r="AM91" s="119">
        <f si="56" t="shared"/>
        <v>-2.7185704937227734E-4</v>
      </c>
      <c r="AN91" s="119">
        <f si="57" t="shared"/>
        <v>5.6506273609027439E-6</v>
      </c>
      <c r="AO91" s="119">
        <f si="58" t="shared"/>
        <v>1.1301254721805488E-5</v>
      </c>
      <c r="AP91" s="119">
        <f si="59" t="shared"/>
        <v>0</v>
      </c>
      <c r="AQ91" s="119">
        <f si="60" t="shared"/>
        <v>0</v>
      </c>
      <c r="AR91" s="119">
        <f si="61" t="shared"/>
        <v>4.2379705206770585E-6</v>
      </c>
      <c r="AS91" s="119">
        <f si="62" t="shared"/>
        <v>5.6506273609027439E-6</v>
      </c>
      <c r="AT91" s="119">
        <f si="63" t="shared"/>
        <v>0</v>
      </c>
      <c r="AU91" s="119">
        <f si="64" t="shared"/>
        <v>0</v>
      </c>
    </row>
    <row r="92" spans="1:47" x14ac:dyDescent="0.25">
      <c r="Y92">
        <v>5</v>
      </c>
      <c r="Z92" s="119">
        <f si="43" t="shared"/>
        <v>1.7516944818798507E-4</v>
      </c>
      <c r="AA92" s="119">
        <f si="44" t="shared"/>
        <v>5.650627360902744E-5</v>
      </c>
      <c r="AB92" s="119">
        <f si="45" t="shared"/>
        <v>3.5316421005642151E-5</v>
      </c>
      <c r="AC92" s="119">
        <f si="46" t="shared"/>
        <v>-6.5404865616923693E-5</v>
      </c>
      <c r="AD92" s="119">
        <f si="47" t="shared"/>
        <v>-7.3434845906139076E-3</v>
      </c>
      <c r="AE92" s="119">
        <f si="48" t="shared"/>
        <v>-2.0509501961623808E-3</v>
      </c>
      <c r="AF92" s="119">
        <f si="49" t="shared"/>
        <v>1.1301254721805488E-5</v>
      </c>
      <c r="AG92" s="119">
        <f si="50" t="shared"/>
        <v>8.4759410413541171E-6</v>
      </c>
      <c r="AH92" s="119">
        <f si="51" t="shared"/>
        <v>-1.9018202698550915E-4</v>
      </c>
      <c r="AI92" s="119">
        <f si="52" t="shared"/>
        <v>-2.7516927209625757E-3</v>
      </c>
      <c r="AJ92" s="119">
        <f si="53" t="shared"/>
        <v>1.1987805946155172E-2</v>
      </c>
      <c r="AK92" s="119">
        <f si="54" t="shared"/>
        <v>9.4648008295120971E-5</v>
      </c>
      <c r="AL92" s="119">
        <f si="55" t="shared"/>
        <v>0</v>
      </c>
      <c r="AM92" s="119">
        <f si="56" t="shared"/>
        <v>0</v>
      </c>
      <c r="AN92" s="119">
        <f si="57" t="shared"/>
        <v>0</v>
      </c>
      <c r="AO92" s="119">
        <f si="58" t="shared"/>
        <v>1.836453892293392E-5</v>
      </c>
      <c r="AP92" s="119">
        <f si="59" t="shared"/>
        <v>0</v>
      </c>
      <c r="AQ92" s="119">
        <f si="60" t="shared"/>
        <v>0</v>
      </c>
      <c r="AR92" s="119">
        <f si="61" t="shared"/>
        <v>8.4759410413541171E-6</v>
      </c>
      <c r="AS92" s="119">
        <f si="62" t="shared"/>
        <v>5.6506273609027439E-6</v>
      </c>
      <c r="AT92" s="119">
        <f si="63" t="shared"/>
        <v>0</v>
      </c>
      <c r="AU92" s="119">
        <f si="64" t="shared"/>
        <v>0</v>
      </c>
    </row>
    <row r="93" spans="1:47" x14ac:dyDescent="0.25">
      <c r="Y93">
        <v>6</v>
      </c>
      <c r="Z93" s="119">
        <f si="43" t="shared"/>
        <v>3.294482761719052E-4</v>
      </c>
      <c r="AA93" s="119">
        <f si="44" t="shared"/>
        <v>-5.3679645003001323E-4</v>
      </c>
      <c r="AB93" s="119">
        <f si="45" t="shared"/>
        <v>-5.5651098146487082E-3</v>
      </c>
      <c r="AC93" s="119">
        <f si="46" t="shared"/>
        <v>-1.0390623400803097E-3</v>
      </c>
      <c r="AD93" s="119">
        <f si="47" t="shared"/>
        <v>-2.8579460953928105E-3</v>
      </c>
      <c r="AE93" s="119">
        <f si="48" t="shared"/>
        <v>-1.5864580202893729E-2</v>
      </c>
      <c r="AF93" s="119">
        <f si="49" t="shared"/>
        <v>6.2156900969930192E-5</v>
      </c>
      <c r="AG93" s="119">
        <f si="50" t="shared"/>
        <v>4.3792362046996268E-5</v>
      </c>
      <c r="AH93" s="119">
        <f si="51" t="shared"/>
        <v>1.0029863565602372E-4</v>
      </c>
      <c r="AI93" s="119">
        <f si="52" t="shared"/>
        <v>1.4550365454324567E-4</v>
      </c>
      <c r="AJ93" s="119">
        <f si="53" t="shared"/>
        <v>3.3091486482286693E-2</v>
      </c>
      <c r="AK93" s="119">
        <f si="54" t="shared"/>
        <v>-8.0377431810897647E-3</v>
      </c>
      <c r="AL93" s="119">
        <f si="55" t="shared"/>
        <v>7.0632842011284301E-6</v>
      </c>
      <c r="AM93" s="119">
        <f si="56" t="shared"/>
        <v>9.8885978815798016E-6</v>
      </c>
      <c r="AN93" s="119">
        <f si="57" t="shared"/>
        <v>2.8253136804513719E-6</v>
      </c>
      <c r="AO93" s="119">
        <f si="58" t="shared"/>
        <v>5.0855646248124696E-5</v>
      </c>
      <c r="AP93" s="119">
        <f si="59" t="shared"/>
        <v>7.0632842011284301E-6</v>
      </c>
      <c r="AQ93" s="119">
        <f si="60" t="shared"/>
        <v>1.836453892293392E-5</v>
      </c>
      <c r="AR93" s="119">
        <f si="61" t="shared"/>
        <v>2.4015166283836662E-5</v>
      </c>
      <c r="AS93" s="119">
        <f si="62" t="shared"/>
        <v>8.4759410413541171E-6</v>
      </c>
      <c r="AT93" s="119">
        <f si="63" t="shared"/>
        <v>0</v>
      </c>
      <c r="AU93" s="119">
        <f si="64" t="shared"/>
        <v>0</v>
      </c>
    </row>
    <row r="94" spans="1:47" x14ac:dyDescent="0.25">
      <c r="Y94">
        <v>7</v>
      </c>
      <c r="Z94" s="119">
        <f si="43" t="shared"/>
        <v>1.2082224838662566E-3</v>
      </c>
      <c r="AA94" s="119">
        <f si="44" t="shared"/>
        <v>-3.129472616206698E-3</v>
      </c>
      <c r="AB94" s="119">
        <f si="45" t="shared"/>
        <v>1.4440335727724076E-4</v>
      </c>
      <c r="AC94" s="119">
        <f si="46" t="shared"/>
        <v>3.8424266054138659E-4</v>
      </c>
      <c r="AD94" s="119">
        <f si="47" t="shared"/>
        <v>-4.9645085724239401E-3</v>
      </c>
      <c r="AE94" s="119">
        <f si="48" t="shared"/>
        <v>-9.0833887858198306E-3</v>
      </c>
      <c r="AF94" s="119">
        <f si="49" t="shared"/>
        <v>-5.7678200807199473E-2</v>
      </c>
      <c r="AG94" s="119">
        <f si="50" t="shared"/>
        <v>1.0736191985715214E-4</v>
      </c>
      <c r="AH94" s="119">
        <f si="51" t="shared"/>
        <v>-2.8266024470697919E-5</v>
      </c>
      <c r="AI94" s="119">
        <f si="52" t="shared"/>
        <v>3.658781216184527E-4</v>
      </c>
      <c r="AJ94" s="119">
        <f si="53" t="shared"/>
        <v>8.4581415651672723E-2</v>
      </c>
      <c r="AK94" s="119">
        <f si="54" t="shared"/>
        <v>7.6898294578268619E-5</v>
      </c>
      <c r="AL94" s="119">
        <f si="55" t="shared"/>
        <v>-1.2743239271039481E-2</v>
      </c>
      <c r="AM94" s="119">
        <f si="56" t="shared"/>
        <v>2.2602509443610976E-5</v>
      </c>
      <c r="AN94" s="119">
        <f si="57" t="shared"/>
        <v>6.1168041181772204E-4</v>
      </c>
      <c r="AO94" s="119">
        <f si="58" t="shared"/>
        <v>1.2713911562031174E-4</v>
      </c>
      <c r="AP94" s="119">
        <f si="59" t="shared"/>
        <v>1.412656840225686E-5</v>
      </c>
      <c r="AQ94" s="119">
        <f si="60" t="shared"/>
        <v>-2.1325431832664991E-4</v>
      </c>
      <c r="AR94" s="119">
        <f si="61" t="shared"/>
        <v>1.4832896822369703E-4</v>
      </c>
      <c r="AS94" s="119">
        <f si="62" t="shared"/>
        <v>4.8030332567673323E-5</v>
      </c>
      <c r="AT94" s="119">
        <f si="63" t="shared"/>
        <v>0</v>
      </c>
      <c r="AU94" s="119">
        <f si="64" t="shared"/>
        <v>0</v>
      </c>
    </row>
    <row r="95" spans="1:47" x14ac:dyDescent="0.25">
      <c r="Y95">
        <v>8</v>
      </c>
      <c r="Z95" s="119">
        <f si="43" t="shared"/>
        <v>-2.4773717659120888E-4</v>
      </c>
      <c r="AA95" s="119">
        <f si="44" t="shared"/>
        <v>0</v>
      </c>
      <c r="AB95" s="119">
        <f si="45" t="shared"/>
        <v>4.2379705206770585E-6</v>
      </c>
      <c r="AC95" s="119">
        <f si="46" t="shared"/>
        <v>-8.4197359231315445E-4</v>
      </c>
      <c r="AD95" s="119">
        <f si="47" t="shared"/>
        <v>-2.7047857361370657E-3</v>
      </c>
      <c r="AE95" s="119">
        <f si="48" t="shared"/>
        <v>1.1301254721805488E-5</v>
      </c>
      <c r="AF95" s="119">
        <f si="49" t="shared"/>
        <v>0</v>
      </c>
      <c r="AG95" s="119">
        <f si="50" t="shared"/>
        <v>-7.4568460117375947E-4</v>
      </c>
      <c r="AH95" s="119">
        <f si="51" t="shared"/>
        <v>2.8253136804513719E-6</v>
      </c>
      <c r="AI95" s="119">
        <f si="52" t="shared"/>
        <v>5.6506273609027439E-6</v>
      </c>
      <c r="AJ95" s="119">
        <f si="53" t="shared"/>
        <v>4.4497710684407443E-3</v>
      </c>
      <c r="AK95" s="119">
        <f si="54" t="shared"/>
        <v>1.412656840225686E-5</v>
      </c>
      <c r="AL95" s="119">
        <f si="55" t="shared"/>
        <v>7.0632842011284301E-6</v>
      </c>
      <c r="AM95" s="119">
        <f si="56" t="shared"/>
        <v>5.6506273609027439E-6</v>
      </c>
      <c r="AN95" s="119">
        <f si="57" t="shared"/>
        <v>8.4759410413541171E-6</v>
      </c>
      <c r="AO95" s="119">
        <f si="58" t="shared"/>
        <v>1.412656840225686E-6</v>
      </c>
      <c r="AP95" s="119">
        <f si="59" t="shared"/>
        <v>0</v>
      </c>
      <c r="AQ95" s="119">
        <f si="60" t="shared"/>
        <v>0</v>
      </c>
      <c r="AR95" s="119">
        <f si="61" t="shared"/>
        <v>1.5539225242482548E-5</v>
      </c>
      <c r="AS95" s="119">
        <f si="62" t="shared"/>
        <v>1.412656840225686E-5</v>
      </c>
      <c r="AT95" s="119">
        <f si="63" t="shared"/>
        <v>0</v>
      </c>
      <c r="AU95" s="119">
        <f si="64" t="shared"/>
        <v>0</v>
      </c>
    </row>
    <row r="96" spans="1:47" x14ac:dyDescent="0.25">
      <c r="Y96">
        <v>9</v>
      </c>
      <c r="Z96" s="119">
        <f si="43" t="shared"/>
        <v>-4.5282737158806596E-3</v>
      </c>
      <c r="AA96" s="119">
        <f si="44" t="shared"/>
        <v>-1.0032199729847759E-3</v>
      </c>
      <c r="AB96" s="119">
        <f si="45" t="shared"/>
        <v>-3.2389785597507518E-3</v>
      </c>
      <c r="AC96" s="119">
        <f si="46" t="shared"/>
        <v>-5.6989269733593619E-4</v>
      </c>
      <c r="AD96" s="119">
        <f si="47" t="shared"/>
        <v>-5.5094655932878952E-3</v>
      </c>
      <c r="AE96" s="119">
        <f si="48" t="shared"/>
        <v>-1.5843491192823783E-3</v>
      </c>
      <c r="AF96" s="119">
        <f si="49" t="shared"/>
        <v>-2.658837720864018E-3</v>
      </c>
      <c r="AG96" s="119">
        <f si="50" t="shared"/>
        <v>1.2713911562031174E-5</v>
      </c>
      <c r="AH96" s="119">
        <f si="51" t="shared"/>
        <v>-4.3987026276427463E-2</v>
      </c>
      <c r="AI96" s="119">
        <f si="52" t="shared"/>
        <v>5.791893044925313E-5</v>
      </c>
      <c r="AJ96" s="119">
        <f si="53" t="shared"/>
        <v>8.2495867913177923E-2</v>
      </c>
      <c r="AK96" s="119">
        <f si="54" t="shared"/>
        <v>-5.289967141678756E-3</v>
      </c>
      <c r="AL96" s="119">
        <f si="55" t="shared"/>
        <v>-2.1681899591486065E-3</v>
      </c>
      <c r="AM96" s="119">
        <f si="56" t="shared"/>
        <v>1.6951882082708234E-5</v>
      </c>
      <c r="AN96" s="119">
        <f si="57" t="shared"/>
        <v>-7.6831930235559537E-3</v>
      </c>
      <c r="AO96" s="119">
        <f si="58" t="shared"/>
        <v>5.6506273609027439E-6</v>
      </c>
      <c r="AP96" s="119">
        <f si="59" t="shared"/>
        <v>4.2379705206770585E-6</v>
      </c>
      <c r="AQ96" s="119">
        <f si="60" t="shared"/>
        <v>4.2379705206770585E-6</v>
      </c>
      <c r="AR96" s="119">
        <f si="61" t="shared"/>
        <v>-4.3945499643999091E-3</v>
      </c>
      <c r="AS96" s="119">
        <f si="62" t="shared"/>
        <v>1.836453892293392E-5</v>
      </c>
      <c r="AT96" s="119">
        <f si="63" t="shared"/>
        <v>0</v>
      </c>
      <c r="AU96" s="119">
        <f si="64" t="shared"/>
        <v>0</v>
      </c>
    </row>
    <row r="97" spans="25:47" x14ac:dyDescent="0.25">
      <c r="Y97">
        <v>10</v>
      </c>
      <c r="Z97" s="119">
        <f si="43" t="shared"/>
        <v>4.8030332567673326E-4</v>
      </c>
      <c r="AA97" s="119">
        <f si="44" t="shared"/>
        <v>2.1472383971430427E-4</v>
      </c>
      <c r="AB97" s="119">
        <f si="45" t="shared"/>
        <v>-1.4688548730010359E-4</v>
      </c>
      <c r="AC97" s="119">
        <f si="46" t="shared"/>
        <v>1.3420239982144018E-4</v>
      </c>
      <c r="AD97" s="119">
        <f si="47" t="shared"/>
        <v>-3.064748535365158E-3</v>
      </c>
      <c r="AE97" s="119">
        <f si="48" t="shared"/>
        <v>-2.7078152343148944E-3</v>
      </c>
      <c r="AF97" s="119">
        <f si="49" t="shared"/>
        <v>4.6617675727447641E-5</v>
      </c>
      <c r="AG97" s="119">
        <f si="50" t="shared"/>
        <v>5.650627360902744E-5</v>
      </c>
      <c r="AH97" s="119">
        <f si="51" t="shared"/>
        <v>5.791893044925313E-5</v>
      </c>
      <c r="AI97" s="119">
        <f si="52" t="shared"/>
        <v>-1.5032387953704205E-2</v>
      </c>
      <c r="AJ97" s="119">
        <f si="53" t="shared"/>
        <v>3.2721370390147567E-2</v>
      </c>
      <c r="AK97" s="119">
        <f si="54" t="shared"/>
        <v>-9.3154588056391947E-3</v>
      </c>
      <c r="AL97" s="119">
        <f si="55" t="shared"/>
        <v>-1.6510848132748172E-4</v>
      </c>
      <c r="AM97" s="119">
        <f si="56" t="shared"/>
        <v>2.8253136804513719E-6</v>
      </c>
      <c r="AN97" s="119">
        <f si="57" t="shared"/>
        <v>1.412656840225686E-6</v>
      </c>
      <c r="AO97" s="119">
        <f si="58" t="shared"/>
        <v>-3.3286813269026321E-3</v>
      </c>
      <c r="AP97" s="119">
        <f si="59" t="shared"/>
        <v>5.6506273609027439E-6</v>
      </c>
      <c r="AQ97" s="119">
        <f si="60" t="shared"/>
        <v>9.8885978815798016E-6</v>
      </c>
      <c r="AR97" s="119">
        <f si="61" t="shared"/>
        <v>1.9777195763159603E-5</v>
      </c>
      <c r="AS97" s="119">
        <f si="62" t="shared"/>
        <v>9.8885978815798016E-6</v>
      </c>
      <c r="AT97" s="119">
        <f si="63" t="shared"/>
        <v>0</v>
      </c>
      <c r="AU97" s="119">
        <f si="64" t="shared"/>
        <v>0</v>
      </c>
    </row>
    <row r="98" spans="25:47" x14ac:dyDescent="0.25">
      <c r="Y98">
        <v>11</v>
      </c>
      <c r="Z98" s="119">
        <f si="43" t="shared"/>
        <v>-3.2957025318926356E-4</v>
      </c>
      <c r="AA98" s="119">
        <f si="44" t="shared"/>
        <v>4.6617675727447641E-5</v>
      </c>
      <c r="AB98" s="119">
        <f si="45" t="shared"/>
        <v>-1.423270456836912E-3</v>
      </c>
      <c r="AC98" s="119">
        <f si="46" t="shared"/>
        <v>-1.0253843685265641E-3</v>
      </c>
      <c r="AD98" s="119">
        <f si="47" t="shared"/>
        <v>-7.4359049141873646E-4</v>
      </c>
      <c r="AE98" s="119">
        <f si="48" t="shared"/>
        <v>-1.2512917170939209E-4</v>
      </c>
      <c r="AF98" s="119">
        <f si="49" t="shared"/>
        <v>7.0632842011284301E-6</v>
      </c>
      <c r="AG98" s="119">
        <f si="50" t="shared"/>
        <v>-1.0379828691228685E-3</v>
      </c>
      <c r="AH98" s="119">
        <f si="51" t="shared"/>
        <v>-7.5831309205937969E-3</v>
      </c>
      <c r="AI98" s="119">
        <f si="52" t="shared"/>
        <v>1.836453892293392E-5</v>
      </c>
      <c r="AJ98" s="119">
        <f si="53" t="shared"/>
        <v>1.8343177019200387E-2</v>
      </c>
      <c r="AK98" s="119">
        <f si="54" t="shared"/>
        <v>-1.5211602990390495E-4</v>
      </c>
      <c r="AL98" s="119">
        <f si="55" t="shared"/>
        <v>-2.959153647184726E-4</v>
      </c>
      <c r="AM98" s="119">
        <f si="56" t="shared"/>
        <v>-3.7186402101437309E-4</v>
      </c>
      <c r="AN98" s="119">
        <f si="57" t="shared"/>
        <v>8.6172067253766847E-5</v>
      </c>
      <c r="AO98" s="119">
        <f si="58" t="shared"/>
        <v>0</v>
      </c>
      <c r="AP98" s="119">
        <f si="59" t="shared"/>
        <v>2.9665793644739406E-5</v>
      </c>
      <c r="AQ98" s="119">
        <f si="60" t="shared"/>
        <v>0</v>
      </c>
      <c r="AR98" s="119">
        <f si="61" t="shared"/>
        <v>-5.4868987939631127E-3</v>
      </c>
      <c r="AS98" s="119">
        <f si="62" t="shared"/>
        <v>4.3792362046996268E-5</v>
      </c>
      <c r="AT98" s="119">
        <f si="63" t="shared"/>
        <v>0</v>
      </c>
      <c r="AU98" s="119">
        <f si="64" t="shared"/>
        <v>0</v>
      </c>
    </row>
    <row r="99" spans="25:47" x14ac:dyDescent="0.25">
      <c r="Y99">
        <v>12</v>
      </c>
      <c r="Z99" s="119">
        <f si="43" t="shared"/>
        <v>-4.5418394286657789E-3</v>
      </c>
      <c r="AA99" s="119">
        <f si="44" t="shared"/>
        <v>1.9974967720791199E-3</v>
      </c>
      <c r="AB99" s="119">
        <f si="45" t="shared"/>
        <v>-4.098490188159437E-4</v>
      </c>
      <c r="AC99" s="119">
        <f si="46" t="shared"/>
        <v>5.4669819716734048E-4</v>
      </c>
      <c r="AD99" s="119">
        <f si="47" t="shared"/>
        <v>-7.0203025138632514E-5</v>
      </c>
      <c r="AE99" s="119">
        <f si="48" t="shared"/>
        <v>-1.2706846094929693E-2</v>
      </c>
      <c r="AF99" s="119">
        <f si="49" t="shared"/>
        <v>-1.0329416633032114E-2</v>
      </c>
      <c r="AG99" s="119">
        <f si="50" t="shared"/>
        <v>2.3308837863723821E-4</v>
      </c>
      <c r="AH99" s="119">
        <f si="51" t="shared"/>
        <v>1.0665559143703931E-3</v>
      </c>
      <c r="AI99" s="119">
        <f si="52" t="shared"/>
        <v>1.0308167148224002E-3</v>
      </c>
      <c r="AJ99" s="119">
        <f si="53" t="shared"/>
        <v>0.10241620825952201</v>
      </c>
      <c r="AK99" s="119">
        <f si="54" t="shared"/>
        <v>-7.0868713816664902E-2</v>
      </c>
      <c r="AL99" s="119">
        <f si="55" t="shared"/>
        <v>-3.0313339584793339E-3</v>
      </c>
      <c r="AM99" s="119">
        <f si="56" t="shared"/>
        <v>2.5427823124062348E-5</v>
      </c>
      <c r="AN99" s="119">
        <f si="57" t="shared"/>
        <v>-7.6563257908080949E-4</v>
      </c>
      <c r="AO99" s="119">
        <f si="58" t="shared"/>
        <v>-3.8589993020125592E-3</v>
      </c>
      <c r="AP99" s="119">
        <f si="59" t="shared"/>
        <v>2.825313680451372E-5</v>
      </c>
      <c r="AQ99" s="119">
        <f si="60" t="shared"/>
        <v>-1.0894477266396843E-3</v>
      </c>
      <c r="AR99" s="119">
        <f si="61" t="shared"/>
        <v>4.6617675727447641E-5</v>
      </c>
      <c r="AS99" s="119">
        <f si="62" t="shared"/>
        <v>2.8111871120491155E-4</v>
      </c>
      <c r="AT99" s="119">
        <f si="63" t="shared"/>
        <v>0</v>
      </c>
      <c r="AU99" s="119">
        <f si="64" t="shared"/>
        <v>0</v>
      </c>
    </row>
    <row r="100" spans="25:47" x14ac:dyDescent="0.25">
      <c r="Y100">
        <v>13</v>
      </c>
      <c r="Z100" s="119">
        <f si="43" t="shared"/>
        <v>1.813851382849781E-3</v>
      </c>
      <c r="AA100" s="119">
        <f si="44" t="shared"/>
        <v>2.745405437486418E-4</v>
      </c>
      <c r="AB100" s="119">
        <f si="45" t="shared"/>
        <v>8.6454598621811985E-4</v>
      </c>
      <c r="AC100" s="119">
        <f si="46" t="shared"/>
        <v>2.7970605436468583E-4</v>
      </c>
      <c r="AD100" s="119">
        <f si="47" t="shared"/>
        <v>-1.8345471840934162E-3</v>
      </c>
      <c r="AE100" s="119">
        <f si="48" t="shared"/>
        <v>1.5273584437386443E-4</v>
      </c>
      <c r="AF100" s="119">
        <f si="49" t="shared"/>
        <v>1.3835114520398904E-2</v>
      </c>
      <c r="AG100" s="119">
        <f si="50" t="shared"/>
        <v>1.2007583141918332E-4</v>
      </c>
      <c r="AH100" s="119">
        <f si="51" t="shared"/>
        <v>2.3431751490881154E-3</v>
      </c>
      <c r="AI100" s="119">
        <f si="52" t="shared"/>
        <v>3.4892623953574443E-4</v>
      </c>
      <c r="AJ100" s="119">
        <f si="53" t="shared"/>
        <v>2.209395298112973E-2</v>
      </c>
      <c r="AK100" s="119">
        <f si="54" t="shared"/>
        <v>1.0161034625274118E-2</v>
      </c>
      <c r="AL100" s="119">
        <f si="55" t="shared"/>
        <v>-5.155651214916545E-2</v>
      </c>
      <c r="AM100" s="119">
        <f si="56" t="shared"/>
        <v>1.836453892293392E-5</v>
      </c>
      <c r="AN100" s="119">
        <f si="57" t="shared"/>
        <v>3.1576473742215066E-3</v>
      </c>
      <c r="AO100" s="119">
        <f si="58" t="shared"/>
        <v>2.1331118287407858E-4</v>
      </c>
      <c r="AP100" s="119">
        <f si="59" t="shared"/>
        <v>4.6617675727447641E-5</v>
      </c>
      <c r="AQ100" s="119">
        <f si="60" t="shared"/>
        <v>-2.8100186088842695E-3</v>
      </c>
      <c r="AR100" s="119">
        <f si="61" t="shared"/>
        <v>2.0059727131204743E-4</v>
      </c>
      <c r="AS100" s="119">
        <f si="62" t="shared"/>
        <v>2.7688074068423445E-4</v>
      </c>
      <c r="AT100" s="119">
        <f si="63" t="shared"/>
        <v>0</v>
      </c>
      <c r="AU100" s="119">
        <f si="64" t="shared"/>
        <v>0</v>
      </c>
    </row>
    <row r="101" spans="25:47" x14ac:dyDescent="0.25">
      <c r="Y101">
        <v>14</v>
      </c>
      <c r="Z101" s="119">
        <f si="43" t="shared"/>
        <v>-2.9403912775505193E-5</v>
      </c>
      <c r="AA101" s="119">
        <f si="44" t="shared"/>
        <v>1.1301254721805488E-5</v>
      </c>
      <c r="AB101" s="119">
        <f si="45" t="shared"/>
        <v>7.0632842011284301E-6</v>
      </c>
      <c r="AC101" s="119">
        <f si="46" t="shared"/>
        <v>5.3680959928576068E-5</v>
      </c>
      <c r="AD101" s="119">
        <f si="47" t="shared"/>
        <v>-1.0055267417130385E-4</v>
      </c>
      <c r="AE101" s="119">
        <f si="48" t="shared"/>
        <v>2.5427823124062348E-5</v>
      </c>
      <c r="AF101" s="119">
        <f si="49" t="shared"/>
        <v>1.412656840225686E-6</v>
      </c>
      <c r="AG101" s="119">
        <f si="50" t="shared"/>
        <v>-1.6119507905739433E-4</v>
      </c>
      <c r="AH101" s="119">
        <f si="51" t="shared"/>
        <v>2.8253136804513719E-6</v>
      </c>
      <c r="AI101" s="119">
        <f si="52" t="shared"/>
        <v>-1.3691548578880135E-3</v>
      </c>
      <c r="AJ101" s="119">
        <f si="53" t="shared"/>
        <v>2.840369410267703E-2</v>
      </c>
      <c r="AK101" s="119">
        <f si="54" t="shared"/>
        <v>3.1078450484965096E-5</v>
      </c>
      <c r="AL101" s="119">
        <f si="55" t="shared"/>
        <v>0</v>
      </c>
      <c r="AM101" s="119">
        <f si="56" t="shared"/>
        <v>-2.5209999854412978E-2</v>
      </c>
      <c r="AN101" s="119">
        <f si="57" t="shared"/>
        <v>4.2379705206770585E-6</v>
      </c>
      <c r="AO101" s="119">
        <f si="58" t="shared"/>
        <v>2.8253136804513719E-6</v>
      </c>
      <c r="AP101" s="119">
        <f si="59" t="shared"/>
        <v>-8.7755872155101172E-4</v>
      </c>
      <c r="AQ101" s="119">
        <f si="60" t="shared"/>
        <v>0</v>
      </c>
      <c r="AR101" s="119">
        <f si="61" t="shared"/>
        <v>-7.9709468684338721E-4</v>
      </c>
      <c r="AS101" s="119">
        <f si="62" t="shared"/>
        <v>1.412656840225686E-6</v>
      </c>
      <c r="AT101" s="119">
        <f si="63" t="shared"/>
        <v>0</v>
      </c>
      <c r="AU101" s="119">
        <f si="64" t="shared"/>
        <v>0</v>
      </c>
    </row>
    <row r="102" spans="25:47" x14ac:dyDescent="0.25">
      <c r="Y102">
        <v>15</v>
      </c>
      <c r="Z102" s="119">
        <f si="43" t="shared"/>
        <v>2.6981745648310603E-4</v>
      </c>
      <c r="AA102" s="119">
        <f si="44" t="shared"/>
        <v>2.2178712391543272E-4</v>
      </c>
      <c r="AB102" s="119">
        <f si="45" t="shared"/>
        <v>1.3844037034211723E-4</v>
      </c>
      <c r="AC102" s="119">
        <f si="46" t="shared"/>
        <v>4.3792362046996268E-5</v>
      </c>
      <c r="AD102" s="119">
        <f si="47" t="shared"/>
        <v>4.8030332567673323E-5</v>
      </c>
      <c r="AE102" s="119">
        <f si="48" t="shared"/>
        <v>-3.0376085690211126E-4</v>
      </c>
      <c r="AF102" s="119">
        <f si="49" t="shared"/>
        <v>-4.7163700981418151E-3</v>
      </c>
      <c r="AG102" s="119">
        <f si="50" t="shared"/>
        <v>2.5427823124062348E-5</v>
      </c>
      <c r="AH102" s="119">
        <f si="51" t="shared"/>
        <v>-4.6581506080965837E-4</v>
      </c>
      <c r="AI102" s="119">
        <f si="52" t="shared"/>
        <v>4.3792362046996268E-5</v>
      </c>
      <c r="AJ102" s="119">
        <f si="53" t="shared"/>
        <v>3.4201834758704086E-2</v>
      </c>
      <c r="AK102" s="119">
        <f si="54" t="shared"/>
        <v>6.2580698021997888E-4</v>
      </c>
      <c r="AL102" s="119">
        <f si="55" t="shared"/>
        <v>-7.1318671456606624E-3</v>
      </c>
      <c r="AM102" s="119">
        <f si="56" t="shared"/>
        <v>8.4759410413541171E-6</v>
      </c>
      <c r="AN102" s="119">
        <f si="57" t="shared"/>
        <v>-2.3119327316808932E-2</v>
      </c>
      <c r="AO102" s="119">
        <f si="58" t="shared"/>
        <v>1.1301254721805488E-5</v>
      </c>
      <c r="AP102" s="119">
        <f si="59" t="shared"/>
        <v>2.6840479964288034E-5</v>
      </c>
      <c r="AQ102" s="119">
        <f si="60" t="shared"/>
        <v>1.1301254721805488E-5</v>
      </c>
      <c r="AR102" s="119">
        <f si="61" t="shared"/>
        <v>4.0714782660320847E-5</v>
      </c>
      <c r="AS102" s="119">
        <f si="62" t="shared"/>
        <v>1.9777195763159603E-5</v>
      </c>
      <c r="AT102" s="119">
        <f si="63" t="shared"/>
        <v>0</v>
      </c>
      <c r="AU102" s="119">
        <f si="64" t="shared"/>
        <v>0</v>
      </c>
    </row>
    <row r="103" spans="25:47" x14ac:dyDescent="0.25">
      <c r="Y103">
        <v>16</v>
      </c>
      <c r="Z103" s="119">
        <f si="43" t="shared"/>
        <v>-1.1554872191372005E-3</v>
      </c>
      <c r="AA103" s="119">
        <f si="44" t="shared"/>
        <v>7.2045498851509992E-5</v>
      </c>
      <c r="AB103" s="119">
        <f si="45" t="shared"/>
        <v>-2.3066751775665906E-3</v>
      </c>
      <c r="AC103" s="119">
        <f si="46" t="shared"/>
        <v>7.7696126212412737E-5</v>
      </c>
      <c r="AD103" s="119">
        <f si="47" t="shared"/>
        <v>-6.87653006745463E-3</v>
      </c>
      <c r="AE103" s="119">
        <f si="48" t="shared"/>
        <v>-1.9678416686662189E-3</v>
      </c>
      <c r="AF103" s="119">
        <f si="49" t="shared"/>
        <v>4.2379705206770579E-5</v>
      </c>
      <c r="AG103" s="119">
        <f si="50" t="shared"/>
        <v>4.2379705206770579E-5</v>
      </c>
      <c r="AH103" s="119">
        <f si="51" t="shared"/>
        <v>-5.2798412648509486E-4</v>
      </c>
      <c r="AI103" s="119">
        <f si="52" t="shared"/>
        <v>-1.9546149916898508E-3</v>
      </c>
      <c r="AJ103" s="119">
        <f si="53" t="shared"/>
        <v>1.6475816727552176E-2</v>
      </c>
      <c r="AK103" s="119">
        <f si="54" t="shared"/>
        <v>1.2049962847125101E-3</v>
      </c>
      <c r="AL103" s="119">
        <f si="55" t="shared"/>
        <v>1.2713911562031174E-5</v>
      </c>
      <c r="AM103" s="119">
        <f si="56" t="shared"/>
        <v>8.4759410413541171E-6</v>
      </c>
      <c r="AN103" s="119">
        <f si="57" t="shared"/>
        <v>5.6506273609027439E-6</v>
      </c>
      <c r="AO103" s="119">
        <f si="58" t="shared"/>
        <v>-3.2886363333685209E-3</v>
      </c>
      <c r="AP103" s="119">
        <f si="59" t="shared"/>
        <v>0</v>
      </c>
      <c r="AQ103" s="119">
        <f si="60" t="shared"/>
        <v>5.5093616768801758E-5</v>
      </c>
      <c r="AR103" s="119">
        <f si="61" t="shared"/>
        <v>1.6951882082708234E-5</v>
      </c>
      <c r="AS103" s="119">
        <f si="62" t="shared"/>
        <v>6.3569557810155868E-5</v>
      </c>
      <c r="AT103" s="119">
        <f si="63" t="shared"/>
        <v>0</v>
      </c>
      <c r="AU103" s="119">
        <f si="64" t="shared"/>
        <v>0</v>
      </c>
    </row>
    <row r="104" spans="25:47" x14ac:dyDescent="0.25">
      <c r="Y104">
        <v>17</v>
      </c>
      <c r="Z104" s="119">
        <f si="43" t="shared"/>
        <v>3.1078450484965096E-5</v>
      </c>
      <c r="AA104" s="119">
        <f si="44" t="shared"/>
        <v>8.4759410413541171E-6</v>
      </c>
      <c r="AB104" s="119">
        <f si="45" t="shared"/>
        <v>2.8253136804513719E-6</v>
      </c>
      <c r="AC104" s="119">
        <f si="46" t="shared"/>
        <v>4.3792362046996268E-5</v>
      </c>
      <c r="AD104" s="119">
        <f si="47" t="shared"/>
        <v>0</v>
      </c>
      <c r="AE104" s="119">
        <f si="48" t="shared"/>
        <v>1.9777195763159603E-5</v>
      </c>
      <c r="AF104" s="119">
        <f si="49" t="shared"/>
        <v>1.412656840225686E-6</v>
      </c>
      <c r="AG104" s="119">
        <f si="50" t="shared"/>
        <v>0</v>
      </c>
      <c r="AH104" s="119">
        <f si="51" t="shared"/>
        <v>0</v>
      </c>
      <c r="AI104" s="119">
        <f si="52" t="shared"/>
        <v>7.0632842011284301E-6</v>
      </c>
      <c r="AJ104" s="119">
        <f si="53" t="shared"/>
        <v>2.3950717943719616E-2</v>
      </c>
      <c r="AK104" s="119">
        <f si="54" t="shared"/>
        <v>3.2491107325190779E-5</v>
      </c>
      <c r="AL104" s="119">
        <f si="55" t="shared"/>
        <v>7.0632842011284301E-6</v>
      </c>
      <c r="AM104" s="119">
        <f si="56" t="shared"/>
        <v>1.0736191985715214E-4</v>
      </c>
      <c r="AN104" s="119">
        <f si="57" t="shared"/>
        <v>2.4015166283836662E-5</v>
      </c>
      <c r="AO104" s="119">
        <f si="58" t="shared"/>
        <v>0</v>
      </c>
      <c r="AP104" s="119">
        <f si="59" t="shared"/>
        <v>-2.3864622653302074E-2</v>
      </c>
      <c r="AQ104" s="119">
        <f si="60" t="shared"/>
        <v>0</v>
      </c>
      <c r="AR104" s="119">
        <f si="61" t="shared"/>
        <v>-3.728646289833541E-4</v>
      </c>
      <c r="AS104" s="119">
        <f si="62" t="shared"/>
        <v>1.412656840225686E-6</v>
      </c>
      <c r="AT104" s="119">
        <f si="63" t="shared"/>
        <v>0</v>
      </c>
      <c r="AU104" s="119">
        <f si="64" t="shared"/>
        <v>0</v>
      </c>
    </row>
    <row r="105" spans="25:47" x14ac:dyDescent="0.25">
      <c r="Y105">
        <v>18</v>
      </c>
      <c r="Z105" s="119">
        <f si="43" t="shared"/>
        <v>7.2045498851509989E-4</v>
      </c>
      <c r="AA105" s="119">
        <f si="44" t="shared"/>
        <v>4.350983067895113E-4</v>
      </c>
      <c r="AB105" s="119">
        <f si="45" t="shared"/>
        <v>2.2602509443610976E-4</v>
      </c>
      <c r="AC105" s="119">
        <f si="46" t="shared"/>
        <v>9.8885978815798026E-5</v>
      </c>
      <c r="AD105" s="119">
        <f si="47" t="shared"/>
        <v>2.2037446707520703E-4</v>
      </c>
      <c r="AE105" s="119">
        <f si="48" t="shared"/>
        <v>-1.1855478159026201E-4</v>
      </c>
      <c r="AF105" s="119">
        <f si="49" t="shared"/>
        <v>1.9974967720791199E-3</v>
      </c>
      <c r="AG105" s="119">
        <f si="50" t="shared"/>
        <v>5.3680959928576068E-5</v>
      </c>
      <c r="AH105" s="119">
        <f si="51" t="shared"/>
        <v>2.7257456271883185E-4</v>
      </c>
      <c r="AI105" s="119">
        <f si="52" t="shared"/>
        <v>3.1219716168987661E-4</v>
      </c>
      <c r="AJ105" s="119">
        <f si="53" t="shared"/>
        <v>1.7717542090110554E-2</v>
      </c>
      <c r="AK105" s="119">
        <f si="54" t="shared"/>
        <v>9.0144680786371015E-3</v>
      </c>
      <c r="AL105" s="119">
        <f si="55" t="shared"/>
        <v>-3.9626613016733158E-3</v>
      </c>
      <c r="AM105" s="119">
        <f si="56" t="shared"/>
        <v>2.8253136804513719E-6</v>
      </c>
      <c r="AN105" s="119">
        <f si="57" t="shared"/>
        <v>2.5851620176130057E-4</v>
      </c>
      <c r="AO105" s="119">
        <f si="58" t="shared"/>
        <v>4.4858811065596397E-4</v>
      </c>
      <c r="AP105" s="119">
        <f si="59" t="shared"/>
        <v>4.2379705206770585E-6</v>
      </c>
      <c r="AQ105" s="119">
        <f si="60" t="shared"/>
        <v>-2.7961220709390326E-2</v>
      </c>
      <c r="AR105" s="119">
        <f si="61" t="shared"/>
        <v>1.6951882082708234E-5</v>
      </c>
      <c r="AS105" s="119">
        <f si="62" t="shared"/>
        <v>2.4251885315701655E-4</v>
      </c>
      <c r="AT105" s="119">
        <f ref="AT105:AT109" si="65" t="shared">AT78-V78</f>
        <v>0</v>
      </c>
      <c r="AU105" s="119">
        <f si="64" t="shared"/>
        <v>0</v>
      </c>
    </row>
    <row r="106" spans="25:47" x14ac:dyDescent="0.25">
      <c r="Y106">
        <v>19</v>
      </c>
      <c r="Z106" s="119">
        <f si="43" t="shared"/>
        <v>7.0632842011284302E-5</v>
      </c>
      <c r="AA106" s="119">
        <f si="44" t="shared"/>
        <v>1.9777195763159603E-5</v>
      </c>
      <c r="AB106" s="119">
        <f si="45" t="shared"/>
        <v>2.8253136804513719E-6</v>
      </c>
      <c r="AC106" s="119">
        <f si="46" t="shared"/>
        <v>6.4982214650381558E-5</v>
      </c>
      <c r="AD106" s="119">
        <f si="47" t="shared"/>
        <v>0</v>
      </c>
      <c r="AE106" s="119">
        <f si="48" t="shared"/>
        <v>3.2491107325190779E-5</v>
      </c>
      <c r="AF106" s="119">
        <f si="49" t="shared"/>
        <v>1.5539225242482548E-5</v>
      </c>
      <c r="AG106" s="119">
        <f si="50" t="shared"/>
        <v>0</v>
      </c>
      <c r="AH106" s="119">
        <f si="51" t="shared"/>
        <v>2.8253136804513719E-6</v>
      </c>
      <c r="AI106" s="119">
        <f si="52" t="shared"/>
        <v>1.1301254721805488E-5</v>
      </c>
      <c r="AJ106" s="119">
        <f si="53" t="shared"/>
        <v>4.7760648822190804E-2</v>
      </c>
      <c r="AK106" s="119">
        <f si="54" t="shared"/>
        <v>5.0855646248124696E-5</v>
      </c>
      <c r="AL106" s="119">
        <f si="55" t="shared"/>
        <v>2.8253136804513719E-6</v>
      </c>
      <c r="AM106" s="119">
        <f si="56" t="shared"/>
        <v>4.0967048366544896E-5</v>
      </c>
      <c r="AN106" s="119">
        <f si="57" t="shared"/>
        <v>-1.0436887704575475E-3</v>
      </c>
      <c r="AO106" s="119">
        <f si="58" t="shared"/>
        <v>0</v>
      </c>
      <c r="AP106" s="119">
        <f si="59" t="shared"/>
        <v>-2.8325926042115416E-3</v>
      </c>
      <c r="AQ106" s="119">
        <f si="60" t="shared"/>
        <v>0</v>
      </c>
      <c r="AR106" s="119">
        <f si="61" t="shared"/>
        <v>-4.4206453207093169E-2</v>
      </c>
      <c r="AS106" s="119">
        <f si="62" t="shared"/>
        <v>7.0632842011284301E-6</v>
      </c>
      <c r="AT106" s="119">
        <f si="65" t="shared"/>
        <v>0</v>
      </c>
      <c r="AU106" s="119">
        <f si="64" t="shared"/>
        <v>0</v>
      </c>
    </row>
    <row r="107" spans="25:47" x14ac:dyDescent="0.25">
      <c r="Y107">
        <v>20</v>
      </c>
      <c r="Z107" s="119">
        <f si="43" t="shared"/>
        <v>-9.1134738999785247E-5</v>
      </c>
      <c r="AA107" s="119">
        <f si="44" t="shared"/>
        <v>-4.8777177783344703E-4</v>
      </c>
      <c r="AB107" s="119">
        <f si="45" t="shared"/>
        <v>3.8141734686093524E-5</v>
      </c>
      <c r="AC107" s="119">
        <f si="46" t="shared"/>
        <v>2.1189852603385289E-5</v>
      </c>
      <c r="AD107" s="119">
        <f si="47" t="shared"/>
        <v>4.9442989407899013E-5</v>
      </c>
      <c r="AE107" s="119">
        <f si="48" t="shared"/>
        <v>2.6840479964288037E-4</v>
      </c>
      <c r="AF107" s="119">
        <f si="49" t="shared"/>
        <v>8.1934096733089792E-5</v>
      </c>
      <c r="AG107" s="119">
        <f si="50" t="shared"/>
        <v>1.836453892293392E-5</v>
      </c>
      <c r="AH107" s="119">
        <f si="51" t="shared"/>
        <v>3.5316421005642151E-5</v>
      </c>
      <c r="AI107" s="119">
        <f si="52" t="shared"/>
        <v>1.0171129249624939E-4</v>
      </c>
      <c r="AJ107" s="119">
        <f si="53" t="shared"/>
        <v>5.5121869905606271E-3</v>
      </c>
      <c r="AK107" s="119">
        <f si="54" t="shared"/>
        <v>3.1007817642953808E-3</v>
      </c>
      <c r="AL107" s="119">
        <f si="55" t="shared"/>
        <v>-1.7302707600378238E-3</v>
      </c>
      <c r="AM107" s="119">
        <f si="56" t="shared"/>
        <v>2.8253136804513719E-6</v>
      </c>
      <c r="AN107" s="119">
        <f si="57" t="shared"/>
        <v>8.4759410413541171E-6</v>
      </c>
      <c r="AO107" s="119">
        <f si="58" t="shared"/>
        <v>3.2208575957145641E-4</v>
      </c>
      <c r="AP107" s="119">
        <f si="59" t="shared"/>
        <v>7.0632842011284301E-6</v>
      </c>
      <c r="AQ107" s="119">
        <f si="60" t="shared"/>
        <v>1.5462553355725366E-3</v>
      </c>
      <c r="AR107" s="119">
        <f si="61" t="shared"/>
        <v>1.412656840225686E-6</v>
      </c>
      <c r="AS107" s="119">
        <f si="62" t="shared"/>
        <v>-8.8064154943902802E-3</v>
      </c>
      <c r="AT107" s="119">
        <f si="65" t="shared"/>
        <v>0</v>
      </c>
      <c r="AU107" s="119">
        <f si="64" t="shared"/>
        <v>0</v>
      </c>
    </row>
    <row r="108" spans="25:47" x14ac:dyDescent="0.25">
      <c r="Y108" s="108" t="s">
        <v>12</v>
      </c>
      <c r="Z108" s="120">
        <f si="43" t="shared"/>
        <v>0</v>
      </c>
      <c r="AA108" s="120">
        <f si="44" t="shared"/>
        <v>0</v>
      </c>
      <c r="AB108" s="120">
        <f si="45" t="shared"/>
        <v>0</v>
      </c>
      <c r="AC108" s="120">
        <f si="46" t="shared"/>
        <v>0</v>
      </c>
      <c r="AD108" s="120">
        <f si="47" t="shared"/>
        <v>0</v>
      </c>
      <c r="AE108" s="120">
        <f si="48" t="shared"/>
        <v>0</v>
      </c>
      <c r="AF108" s="120">
        <f si="49" t="shared"/>
        <v>0</v>
      </c>
      <c r="AG108" s="120">
        <f si="50" t="shared"/>
        <v>0</v>
      </c>
      <c r="AH108" s="120">
        <f si="51" t="shared"/>
        <v>0</v>
      </c>
      <c r="AI108" s="120">
        <f si="52" t="shared"/>
        <v>0</v>
      </c>
      <c r="AJ108" s="120">
        <f si="53" t="shared"/>
        <v>0</v>
      </c>
      <c r="AK108" s="120">
        <f si="54" t="shared"/>
        <v>0</v>
      </c>
      <c r="AL108" s="120">
        <f si="55" t="shared"/>
        <v>0</v>
      </c>
      <c r="AM108" s="120">
        <f si="56" t="shared"/>
        <v>0</v>
      </c>
      <c r="AN108" s="120">
        <f si="57" t="shared"/>
        <v>0</v>
      </c>
      <c r="AO108" s="120">
        <f si="58" t="shared"/>
        <v>0</v>
      </c>
      <c r="AP108" s="120">
        <f si="59" t="shared"/>
        <v>0</v>
      </c>
      <c r="AQ108" s="120">
        <f si="60" t="shared"/>
        <v>0</v>
      </c>
      <c r="AR108" s="120">
        <f si="61" t="shared"/>
        <v>0</v>
      </c>
      <c r="AS108" s="120">
        <f si="62" t="shared"/>
        <v>0</v>
      </c>
      <c r="AT108" s="120">
        <f si="65" t="shared"/>
        <v>0</v>
      </c>
      <c r="AU108" s="120">
        <f si="64" t="shared"/>
        <v>0</v>
      </c>
    </row>
    <row ht="15.75" r="109" spans="25:47" thickBot="1" x14ac:dyDescent="0.3">
      <c r="Y109" s="1" t="s">
        <v>3</v>
      </c>
      <c r="Z109" s="121">
        <f si="43" t="shared"/>
        <v>-9.140221695209132E-3</v>
      </c>
      <c r="AA109" s="121">
        <f si="44" t="shared"/>
        <v>-1.5389494870259608E-3</v>
      </c>
      <c r="AB109" s="121">
        <f si="45" t="shared"/>
        <v>-3.2093134145746639E-2</v>
      </c>
      <c r="AC109" s="121">
        <f si="46" t="shared"/>
        <v>-1.2988263910181777E-2</v>
      </c>
      <c r="AD109" s="121">
        <f si="47" t="shared"/>
        <v>-5.2374610663876844E-2</v>
      </c>
      <c r="AE109" s="121">
        <f si="48" t="shared"/>
        <v>-5.6819444298565613E-2</v>
      </c>
      <c r="AF109" s="121">
        <f si="49" t="shared"/>
        <v>-3.2569042768509943E-2</v>
      </c>
      <c r="AG109" s="121">
        <f si="50" t="shared"/>
        <v>-3.0508360801027065E-3</v>
      </c>
      <c r="AH109" s="121">
        <f si="51" t="shared"/>
        <v>-5.0039361705553224E-2</v>
      </c>
      <c r="AI109" s="121">
        <f si="52" t="shared"/>
        <v>-2.8045344778388305E-2</v>
      </c>
      <c r="AJ109" s="121">
        <f si="53" t="shared"/>
        <v>0.65326029091311177</v>
      </c>
      <c r="AK109" s="121">
        <f si="54" t="shared"/>
        <v>-9.2073544241739344E-2</v>
      </c>
      <c r="AL109" s="121">
        <f si="55" t="shared"/>
        <v>-9.1563788955940945E-2</v>
      </c>
      <c r="AM109" s="121">
        <f si="56" t="shared"/>
        <v>-2.849658710425752E-2</v>
      </c>
      <c r="AN109" s="121">
        <f si="57" t="shared"/>
        <v>-2.933300339775359E-2</v>
      </c>
      <c r="AO109" s="121">
        <f si="58" t="shared"/>
        <v>-1.4851763164978177E-2</v>
      </c>
      <c r="AP109" s="121">
        <f si="59" t="shared"/>
        <v>-2.2007802734900425E-2</v>
      </c>
      <c r="AQ109" s="121">
        <f si="60" t="shared"/>
        <v>-4.0552800354608724E-2</v>
      </c>
      <c r="AR109" s="121">
        <f si="61" t="shared"/>
        <v>-4.870054398720184E-2</v>
      </c>
      <c r="AS109" s="121">
        <f si="62" t="shared"/>
        <v>-7.0212474385712327E-3</v>
      </c>
      <c r="AT109" s="121">
        <f si="65" t="shared"/>
        <v>0</v>
      </c>
      <c r="AU109" s="121">
        <f si="64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1093.7130981487203</v>
      </c>
      <c r="C7" s="62" t="n">
        <v>0.0</v>
      </c>
      <c r="D7" s="62" t="n">
        <v>941.501357163123</v>
      </c>
      <c r="E7" s="62">
        <f>SUM(B7:D7)</f>
        <v>2035.2144553118433</v>
      </c>
      <c r="H7" s="13">
        <f>$A$7</f>
        <v>1</v>
      </c>
      <c r="I7" s="62" t="n">
        <v>4655.0</v>
      </c>
      <c r="J7" s="62" t="n">
        <v>510.0</v>
      </c>
      <c r="K7" s="62" t="n">
        <v>1037.0</v>
      </c>
      <c r="L7" s="62">
        <f>SUM(I7:K7)</f>
        <v>6026</v>
      </c>
      <c r="O7" s="13">
        <f>$A$7</f>
        <v>1</v>
      </c>
      <c r="P7" s="18">
        <f>I7-B7</f>
        <v>3398.2869018512797</v>
      </c>
      <c r="Q7" s="18">
        <f ref="Q7:S14" si="0" t="shared">J7-C7</f>
        <v>496</v>
      </c>
      <c r="R7" s="18">
        <f si="0" t="shared"/>
        <v>96.498642836877025</v>
      </c>
      <c r="S7" s="18">
        <f si="0" t="shared"/>
        <v>3990.7855446881567</v>
      </c>
    </row>
    <row r="8" spans="1:19" x14ac:dyDescent="0.25">
      <c r="A8" s="7">
        <v>2</v>
      </c>
      <c r="B8" s="62" t="n">
        <v>381.3436978725345</v>
      </c>
      <c r="C8" s="62" t="n">
        <v>0.0</v>
      </c>
      <c r="D8" s="62" t="n">
        <v>0.0</v>
      </c>
      <c r="E8" s="62">
        <f>SUM(B8:D8)</f>
        <v>381.34369787253451</v>
      </c>
      <c r="H8">
        <f>$A$8</f>
        <v>2</v>
      </c>
      <c r="I8" s="62" t="n">
        <v>557.0</v>
      </c>
      <c r="J8" s="62" t="n">
        <v>28.0</v>
      </c>
      <c r="K8" s="62" t="n">
        <v>56.0</v>
      </c>
      <c r="L8" s="62">
        <f>SUM(I8:K8)</f>
        <v>626</v>
      </c>
      <c r="O8">
        <f>$A$8</f>
        <v>2</v>
      </c>
      <c r="P8" s="18">
        <f ref="P8:P14" si="1" t="shared">I8-B8</f>
        <v>150.65630212746549</v>
      </c>
      <c r="Q8" s="18">
        <f si="0" t="shared"/>
        <v>37</v>
      </c>
      <c r="R8" s="18">
        <f si="0" t="shared"/>
        <v>57</v>
      </c>
      <c r="S8" s="18">
        <f si="0" t="shared"/>
        <v>244.65630212746549</v>
      </c>
    </row>
    <row r="9" spans="1:19" x14ac:dyDescent="0.25">
      <c r="A9" s="7">
        <v>3</v>
      </c>
      <c r="B9" s="62" t="n">
        <v>96.8019625171952</v>
      </c>
      <c r="C9" s="62" t="n">
        <v>0.0</v>
      </c>
      <c r="D9" s="62" t="n">
        <v>0.0</v>
      </c>
      <c r="E9" s="62">
        <f ref="E9:E11" si="2" t="shared">SUM(B9:D9)</f>
        <v>96.801962517195193</v>
      </c>
      <c r="H9">
        <f>$A$9</f>
        <v>3</v>
      </c>
      <c r="I9" s="62" t="n">
        <v>679.0</v>
      </c>
      <c r="J9" s="62" t="n">
        <v>68.0</v>
      </c>
      <c r="K9" s="62" t="n">
        <v>17.0</v>
      </c>
      <c r="L9" s="62">
        <f ref="L9:L11" si="3" t="shared">SUM(I9:K9)</f>
        <v>646</v>
      </c>
      <c r="O9">
        <f>$A$9</f>
        <v>3</v>
      </c>
      <c r="P9" s="18">
        <f ref="P9:P11" si="4" t="shared">I9-B9</f>
        <v>471.19803748280481</v>
      </c>
      <c r="Q9" s="18">
        <f ref="Q9:Q11" si="5" t="shared">J9-C9</f>
        <v>66</v>
      </c>
      <c r="R9" s="18">
        <f ref="R9:R11" si="6" t="shared">K9-D9</f>
        <v>12</v>
      </c>
      <c r="S9" s="18">
        <f ref="S9:S11" si="7" t="shared">L9-E9</f>
        <v>549.19803748280481</v>
      </c>
    </row>
    <row r="10" spans="1:19" x14ac:dyDescent="0.25">
      <c r="A10" s="7">
        <v>4</v>
      </c>
      <c r="B10" s="62" t="n">
        <v>138.4496107827072</v>
      </c>
      <c r="C10" s="62" t="n">
        <v>138.90468971559392</v>
      </c>
      <c r="D10" s="62" t="n">
        <v>319.0059258203151</v>
      </c>
      <c r="E10" s="62">
        <f si="2" t="shared"/>
        <v>596.36022631861624</v>
      </c>
      <c r="H10">
        <f>$A$10</f>
        <v>4</v>
      </c>
      <c r="I10" s="62" t="n">
        <v>2290.0</v>
      </c>
      <c r="J10" s="62" t="n">
        <v>286.0</v>
      </c>
      <c r="K10" s="62" t="n">
        <v>65.0</v>
      </c>
      <c r="L10" s="62">
        <f si="3" t="shared"/>
        <v>2630</v>
      </c>
      <c r="O10" s="7">
        <f>$A$10</f>
        <v>4</v>
      </c>
      <c r="P10" s="19">
        <f si="4" t="shared"/>
        <v>2130.5503892172928</v>
      </c>
      <c r="Q10" s="19">
        <f si="5" t="shared"/>
        <v>156.09531028440608</v>
      </c>
      <c r="R10" s="19">
        <f si="6" t="shared"/>
        <v>-253.0059258203151</v>
      </c>
      <c r="S10" s="19">
        <f si="7" t="shared"/>
        <v>2033.6397736813838</v>
      </c>
    </row>
    <row r="11" spans="1:19" x14ac:dyDescent="0.25">
      <c r="A11" s="7">
        <v>5</v>
      </c>
      <c r="B11" s="62" t="n">
        <v>312.698225902866</v>
      </c>
      <c r="C11" s="62" t="n">
        <v>0.0</v>
      </c>
      <c r="D11" s="62" t="n">
        <v>47.0454430212218</v>
      </c>
      <c r="E11" s="62">
        <f si="2" t="shared"/>
        <v>359.74366892408779</v>
      </c>
      <c r="H11">
        <f>$A$11</f>
        <v>5</v>
      </c>
      <c r="I11" s="62" t="n">
        <v>1628.0</v>
      </c>
      <c r="J11" s="62" t="n">
        <v>169.0</v>
      </c>
      <c r="K11" s="62" t="n">
        <v>117.0</v>
      </c>
      <c r="L11" s="62">
        <f si="3" t="shared"/>
        <v>1735</v>
      </c>
      <c r="O11" s="7">
        <f>$A$11</f>
        <v>5</v>
      </c>
      <c r="P11" s="19">
        <f si="4" t="shared"/>
        <v>1151.3017740971341</v>
      </c>
      <c r="Q11" s="19">
        <f si="5" t="shared"/>
        <v>163</v>
      </c>
      <c r="R11" s="19">
        <f si="6" t="shared"/>
        <v>60.9545569787782</v>
      </c>
      <c r="S11" s="19">
        <f si="7" t="shared"/>
        <v>1375.2563310759122</v>
      </c>
    </row>
    <row r="12" spans="1:19" x14ac:dyDescent="0.25">
      <c r="A12" s="7">
        <v>6</v>
      </c>
      <c r="B12" s="66" t="n">
        <v>749.6847640255826</v>
      </c>
      <c r="C12" s="66" t="n">
        <v>0.0</v>
      </c>
      <c r="D12" s="66" t="n">
        <v>42.1697872186607</v>
      </c>
      <c r="E12" s="66">
        <f>SUM(B12:D12)</f>
        <v>791.85455124424334</v>
      </c>
      <c r="H12" s="7">
        <f>$A$12</f>
        <v>6</v>
      </c>
      <c r="I12" s="66" t="n">
        <v>2743.0</v>
      </c>
      <c r="J12" s="66" t="n">
        <v>398.0</v>
      </c>
      <c r="K12" s="66" t="n">
        <v>88.0</v>
      </c>
      <c r="L12" s="66">
        <f>SUM(I12:K12)</f>
        <v>3092</v>
      </c>
      <c r="O12" s="7">
        <f>$A$12</f>
        <v>6</v>
      </c>
      <c r="P12" s="19">
        <f si="1" t="shared"/>
        <v>1877.3152359744174</v>
      </c>
      <c r="Q12" s="19">
        <f si="0" t="shared"/>
        <v>383</v>
      </c>
      <c r="R12" s="19">
        <f si="0" t="shared"/>
        <v>39.830212781339299</v>
      </c>
      <c r="S12" s="19">
        <f si="0" t="shared"/>
        <v>2300.1454487557567</v>
      </c>
    </row>
    <row r="13" spans="1:19" x14ac:dyDescent="0.25">
      <c r="A13" s="13">
        <v>7</v>
      </c>
      <c r="B13" s="65" t="n">
        <v>577.0800195956172</v>
      </c>
      <c r="C13" s="65" t="n">
        <v>117.943458806056</v>
      </c>
      <c r="D13" s="65" t="n">
        <v>0.0</v>
      </c>
      <c r="E13" s="66">
        <f>SUM(B13:D13)</f>
        <v>695.02347840167317</v>
      </c>
      <c r="H13" s="7">
        <v>7</v>
      </c>
      <c r="I13" s="66" t="n">
        <v>1563.0</v>
      </c>
      <c r="J13" s="66" t="n">
        <v>293.0</v>
      </c>
      <c r="K13" s="66" t="n">
        <v>35.0</v>
      </c>
      <c r="L13" s="66">
        <f>SUM(I13:K13)</f>
        <v>1891</v>
      </c>
      <c r="O13" s="7">
        <v>7</v>
      </c>
      <c r="P13" s="19">
        <f si="1" t="shared"/>
        <v>959.91998040438284</v>
      </c>
      <c r="Q13" s="19">
        <f si="0" t="shared"/>
        <v>189.05654119394399</v>
      </c>
      <c r="R13" s="19">
        <f ref="R13" si="8" t="shared">K13-D13</f>
        <v>47</v>
      </c>
      <c r="S13" s="19">
        <f ref="S13" si="9" t="shared">L13-E13</f>
        <v>1195.9765215983268</v>
      </c>
    </row>
    <row ht="15.75" r="14" spans="1:19" thickBot="1" x14ac:dyDescent="0.3">
      <c r="A14" s="10" t="s">
        <v>3</v>
      </c>
      <c r="B14" s="61">
        <f ref="B14:D14" si="10" t="shared">SUM(B7:B13)</f>
        <v>3349.7713788452229</v>
      </c>
      <c r="C14" s="61">
        <f si="10" t="shared"/>
        <v>256.84814852164993</v>
      </c>
      <c r="D14" s="61">
        <f si="10" t="shared"/>
        <v>1349.7225132233207</v>
      </c>
      <c r="E14" s="61">
        <f>SUM(E7:E13)</f>
        <v>4956.3420405901934</v>
      </c>
      <c r="H14" s="10" t="s">
        <v>3</v>
      </c>
      <c r="I14" s="61">
        <f ref="I14:K14" si="11" t="shared">SUM(I7:I13)</f>
        <v>13489</v>
      </c>
      <c r="J14" s="61">
        <f si="11" t="shared"/>
        <v>1747</v>
      </c>
      <c r="K14" s="61">
        <f si="11" t="shared"/>
        <v>1410</v>
      </c>
      <c r="L14" s="61">
        <f>SUM(L7:L13)</f>
        <v>16646</v>
      </c>
      <c r="O14" s="10" t="s">
        <v>3</v>
      </c>
      <c r="P14" s="61">
        <f si="1" t="shared"/>
        <v>10139.228621154776</v>
      </c>
      <c r="Q14" s="61">
        <f si="0" t="shared"/>
        <v>1490.1518514783502</v>
      </c>
      <c r="R14" s="33">
        <f si="0" t="shared"/>
        <v>60.277486776679325</v>
      </c>
      <c r="S14" s="61">
        <f si="0" t="shared"/>
        <v>11689.657959409808</v>
      </c>
    </row>
    <row r="15" spans="1:19" x14ac:dyDescent="0.25"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/>
      <c r="C16" s="1"/>
      <c r="D16" s="1"/>
      <c r="H16" s="4" t="s">
        <v>28</v>
      </c>
      <c r="I16" s="1"/>
      <c r="J16" s="1"/>
      <c r="K16" s="1"/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57456.590679883724</v>
      </c>
      <c r="C18" s="62" t="n">
        <v>12684.89388215014</v>
      </c>
      <c r="D18" s="62" t="n">
        <v>27804.710877612266</v>
      </c>
      <c r="E18" s="62">
        <f>SUM(B18:D18)</f>
        <v>97946.195439646122</v>
      </c>
      <c r="H18" s="13">
        <f>$A$7</f>
        <v>1</v>
      </c>
      <c r="I18" s="62" t="n">
        <v>75253.0</v>
      </c>
      <c r="J18" s="62" t="n">
        <v>18844.0</v>
      </c>
      <c r="K18" s="62" t="n">
        <v>32097.0</v>
      </c>
      <c r="L18" s="62">
        <f>SUM(I18:K18)</f>
        <v>126194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2" t="shared">L18-E18</f>
        <v>28247.804560353878</v>
      </c>
    </row>
    <row r="19" spans="1:20" x14ac:dyDescent="0.25">
      <c r="A19">
        <f>$A$8</f>
        <v>2</v>
      </c>
      <c r="B19" s="62" t="n">
        <v>9409.104358888062</v>
      </c>
      <c r="C19" s="62" t="n">
        <v>2685.191694412533</v>
      </c>
      <c r="D19" s="62" t="n">
        <v>1534.0183446464803</v>
      </c>
      <c r="E19" s="62">
        <f>SUM(B19:D19)</f>
        <v>13628.314397947075</v>
      </c>
      <c r="H19">
        <f>$A$8</f>
        <v>2</v>
      </c>
      <c r="I19" s="62" t="n">
        <v>12020.0</v>
      </c>
      <c r="J19" s="62" t="n">
        <v>1905.0</v>
      </c>
      <c r="K19" s="62" t="n">
        <v>1647.0</v>
      </c>
      <c r="L19" s="62">
        <f>SUM(I19:K19)</f>
        <v>15572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2" t="shared"/>
        <v>1943.6856020529249</v>
      </c>
    </row>
    <row r="20" spans="1:20" x14ac:dyDescent="0.25">
      <c r="A20">
        <f>$A$9</f>
        <v>3</v>
      </c>
      <c r="B20" s="62" t="n">
        <v>7752.843800195903</v>
      </c>
      <c r="C20" s="62" t="n">
        <v>2057.715178037335</v>
      </c>
      <c r="D20" s="62" t="n">
        <v>435.7562240142647</v>
      </c>
      <c r="E20" s="62">
        <f ref="E20:E22" si="13" t="shared">SUM(B20:D20)</f>
        <v>10246.315202247504</v>
      </c>
      <c r="H20">
        <f>$A$9</f>
        <v>3</v>
      </c>
      <c r="I20" s="62" t="n">
        <v>8966.0</v>
      </c>
      <c r="J20" s="62" t="n">
        <v>2187.0</v>
      </c>
      <c r="K20" s="62" t="n">
        <v>1043.0</v>
      </c>
      <c r="L20" s="62">
        <f ref="L20:L22" si="14" t="shared">SUM(I20:K20)</f>
        <v>12196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5" t="shared">L20-E20</f>
        <v>1949.6847977524958</v>
      </c>
    </row>
    <row r="21" spans="1:20" x14ac:dyDescent="0.25">
      <c r="A21">
        <f>$A$10</f>
        <v>4</v>
      </c>
      <c r="B21" s="62" t="n">
        <v>32277.006853281542</v>
      </c>
      <c r="C21" s="62" t="n">
        <v>7239.3730317554</v>
      </c>
      <c r="D21" s="62" t="n">
        <v>10299.535346578325</v>
      </c>
      <c r="E21" s="62">
        <f si="13" t="shared"/>
        <v>49815.915231615269</v>
      </c>
      <c r="H21">
        <f>$A$10</f>
        <v>4</v>
      </c>
      <c r="I21" s="62" t="n">
        <v>41742.0</v>
      </c>
      <c r="J21" s="62" t="n">
        <v>12081.0</v>
      </c>
      <c r="K21" s="62" t="n">
        <v>11033.0</v>
      </c>
      <c r="L21" s="62">
        <f si="14" t="shared"/>
        <v>64856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5" t="shared"/>
        <v>15040.084768384731</v>
      </c>
      <c r="T21" s="7"/>
    </row>
    <row r="22" spans="1:20" x14ac:dyDescent="0.25">
      <c r="A22">
        <f>$A$11</f>
        <v>5</v>
      </c>
      <c r="B22" s="62" t="n">
        <v>18007.432776777085</v>
      </c>
      <c r="C22" s="62" t="n">
        <v>5422.212872302618</v>
      </c>
      <c r="D22" s="62" t="n">
        <v>1799.7971611117741</v>
      </c>
      <c r="E22" s="62">
        <f si="13" t="shared"/>
        <v>25229.442810191478</v>
      </c>
      <c r="H22">
        <f>$A$11</f>
        <v>5</v>
      </c>
      <c r="I22" s="62" t="n">
        <v>22893.0</v>
      </c>
      <c r="J22" s="62" t="n">
        <v>6343.0</v>
      </c>
      <c r="K22" s="62" t="n">
        <v>6731.0</v>
      </c>
      <c r="L22" s="62">
        <f si="14" t="shared"/>
        <v>35967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5" t="shared"/>
        <v>10737.557189808522</v>
      </c>
      <c r="T22" s="7"/>
    </row>
    <row r="23" spans="1:20" x14ac:dyDescent="0.25">
      <c r="A23" s="7">
        <f>$A$12</f>
        <v>6</v>
      </c>
      <c r="B23" s="66" t="n">
        <v>29649.37321646958</v>
      </c>
      <c r="C23" s="66" t="n">
        <v>5577.434182850986</v>
      </c>
      <c r="D23" s="66" t="n">
        <v>1250.3171842377183</v>
      </c>
      <c r="E23" s="66">
        <f>SUM(B23:D23)</f>
        <v>36477.124583558281</v>
      </c>
      <c r="H23" s="7">
        <f>$A$12</f>
        <v>6</v>
      </c>
      <c r="I23" s="66" t="n">
        <v>34102.0</v>
      </c>
      <c r="J23" s="66" t="n">
        <v>10735.0</v>
      </c>
      <c r="K23" s="66" t="n">
        <v>5200.0</v>
      </c>
      <c r="L23" s="66">
        <f>SUM(I23:K23)</f>
        <v>50037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2" t="shared"/>
        <v>13559.875416441719</v>
      </c>
      <c r="T23" s="7"/>
    </row>
    <row r="24" spans="1:20" x14ac:dyDescent="0.25">
      <c r="A24" s="7">
        <v>7</v>
      </c>
      <c r="B24" s="65" t="n">
        <v>13360.763960393946</v>
      </c>
      <c r="C24" s="65" t="n">
        <v>3659.7620409962033</v>
      </c>
      <c r="D24" s="65" t="n">
        <v>1234.2079741563894</v>
      </c>
      <c r="E24" s="66">
        <f>SUM(B24:D24)</f>
        <v>18254.73397554654</v>
      </c>
      <c r="H24" s="7">
        <v>7</v>
      </c>
      <c r="I24" s="66" t="n">
        <v>17325.0</v>
      </c>
      <c r="J24" s="66" t="n">
        <v>4311.0</v>
      </c>
      <c r="K24" s="66" t="n">
        <v>2829.0</v>
      </c>
      <c r="L24" s="66">
        <f>SUM(I24:K24)</f>
        <v>24465</v>
      </c>
      <c r="O24" s="7">
        <v>7</v>
      </c>
      <c r="P24" s="19">
        <v>4826</v>
      </c>
      <c r="Q24" s="19">
        <v>66</v>
      </c>
      <c r="R24" s="19">
        <v>2069</v>
      </c>
      <c r="S24" s="19">
        <f si="12" t="shared"/>
        <v>6210.26602445346</v>
      </c>
      <c r="T24" s="7"/>
    </row>
    <row ht="15.75" r="25" spans="1:20" thickBot="1" x14ac:dyDescent="0.3">
      <c r="A25" s="10" t="s">
        <v>3</v>
      </c>
      <c r="B25" s="61">
        <f ref="B25:D25" si="16" t="shared">SUM(B18:B24)</f>
        <v>167913.11564588983</v>
      </c>
      <c r="C25" s="61">
        <f si="16" t="shared"/>
        <v>39326.582882505216</v>
      </c>
      <c r="D25" s="61">
        <f si="16" t="shared"/>
        <v>44358.343112357215</v>
      </c>
      <c r="E25" s="61">
        <f>SUM(E18:E24)</f>
        <v>251598.04164075229</v>
      </c>
      <c r="H25" s="10" t="s">
        <v>3</v>
      </c>
      <c r="I25" s="61">
        <f ref="I25:K25" si="17" t="shared">SUM(I18:I24)</f>
        <v>212301</v>
      </c>
      <c r="J25" s="61">
        <f si="17" t="shared"/>
        <v>56406</v>
      </c>
      <c r="K25" s="61">
        <f si="17" t="shared"/>
        <v>60580</v>
      </c>
      <c r="L25" s="61">
        <f>SUM(L18:L24)</f>
        <v>329287</v>
      </c>
      <c r="O25" s="10" t="s">
        <v>3</v>
      </c>
      <c r="P25" s="61">
        <f ref="P25" si="18" t="shared">I25-B25</f>
        <v>44387.884354110167</v>
      </c>
      <c r="Q25" s="61">
        <f ref="Q25" si="19" t="shared">J25-C25</f>
        <v>17079.417117494784</v>
      </c>
      <c r="R25" s="61">
        <f ref="R25" si="20" t="shared">K25-D25</f>
        <v>16221.656887642785</v>
      </c>
      <c r="S25" s="61">
        <f si="12" t="shared"/>
        <v>77688.958359247714</v>
      </c>
      <c r="T25" s="7"/>
    </row>
    <row ht="15.75" r="27" spans="1:20" thickBot="1" x14ac:dyDescent="0.3">
      <c r="A27" s="4" t="s">
        <v>187</v>
      </c>
      <c r="B27" s="1"/>
      <c r="C27" s="1"/>
      <c r="D27" s="1"/>
      <c r="H27" s="4" t="s">
        <v>30</v>
      </c>
      <c r="I27" s="1"/>
      <c r="J27" s="1"/>
      <c r="K27" s="1"/>
      <c r="O27" s="4" t="s">
        <v>62</v>
      </c>
      <c r="P27" s="1"/>
      <c r="Q27" s="1"/>
      <c r="R27" s="1"/>
      <c r="S27" s="1"/>
    </row>
    <row r="28" spans="1:20" x14ac:dyDescent="0.25">
      <c r="A28" s="2"/>
      <c r="B28" s="5" t="s">
        <v>33</v>
      </c>
      <c r="C28" s="5" t="s">
        <v>34</v>
      </c>
      <c r="D28" s="5" t="s">
        <v>35</v>
      </c>
      <c r="E28" s="3" t="s">
        <v>3</v>
      </c>
      <c r="H28" s="2"/>
      <c r="I28" s="5" t="s">
        <v>33</v>
      </c>
      <c r="J28" s="5" t="s">
        <v>34</v>
      </c>
      <c r="K28" s="5" t="s">
        <v>35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f ref="B29:E34" si="21" t="shared">IF(B18&lt;&gt;0,B7/B18,0)</f>
        <v>1.9035468084806554E-2</v>
      </c>
      <c r="C29" s="14">
        <f si="21" t="shared"/>
        <v>0</v>
      </c>
      <c r="D29" s="14">
        <f si="21" t="shared"/>
        <v>3.3861217306208315E-2</v>
      </c>
      <c r="E29" s="14">
        <f si="21" t="shared"/>
        <v>2.0778902602357135E-2</v>
      </c>
      <c r="H29" s="13">
        <f>$A$7</f>
        <v>1</v>
      </c>
      <c r="I29" s="14">
        <f ref="I29:L34" si="22" t="shared">IF(I18&lt;&gt;0,I7/I18,0)</f>
        <v>5.9691972413059943E-2</v>
      </c>
      <c r="J29" s="14">
        <f si="22" t="shared"/>
        <v>2.6321375504139249E-2</v>
      </c>
      <c r="K29" s="14">
        <f si="22" t="shared"/>
        <v>3.233947097859613E-2</v>
      </c>
      <c r="L29" s="14">
        <f si="22" t="shared"/>
        <v>4.7751874098610078E-2</v>
      </c>
      <c r="O29" s="13">
        <f>$A$7</f>
        <v>1</v>
      </c>
      <c r="P29" s="22">
        <f ref="P29:S36" si="23" t="shared">I29-B29</f>
        <v>4.0656504328253393E-2</v>
      </c>
      <c r="Q29" s="22">
        <f si="23" t="shared"/>
        <v>2.6321375504139249E-2</v>
      </c>
      <c r="R29" s="22">
        <f si="23" t="shared"/>
        <v>-1.5217463276121848E-3</v>
      </c>
      <c r="S29" s="22">
        <f si="23" t="shared"/>
        <v>2.6972971496252943E-2</v>
      </c>
    </row>
    <row r="30" spans="1:20" x14ac:dyDescent="0.25">
      <c r="A30">
        <f>$A$8</f>
        <v>2</v>
      </c>
      <c r="B30" s="14">
        <f si="21" t="shared"/>
        <v>4.0529223965117177E-2</v>
      </c>
      <c r="C30" s="14">
        <f si="21" t="shared"/>
        <v>0</v>
      </c>
      <c r="D30" s="14">
        <f si="21" t="shared"/>
        <v>0</v>
      </c>
      <c r="E30" s="14">
        <f si="21" t="shared"/>
        <v>2.7981721490808787E-2</v>
      </c>
      <c r="H30">
        <f>$A$8</f>
        <v>2</v>
      </c>
      <c r="I30" s="14">
        <f si="22" t="shared"/>
        <v>4.4259567387687188E-2</v>
      </c>
      <c r="J30" s="14">
        <f si="22" t="shared"/>
        <v>1.942257217847769E-2</v>
      </c>
      <c r="K30" s="14">
        <f si="22" t="shared"/>
        <v>3.4608378870673952E-2</v>
      </c>
      <c r="L30" s="14">
        <f si="22" t="shared"/>
        <v>4.0200359619830463E-2</v>
      </c>
      <c r="O30">
        <f>$A$8</f>
        <v>2</v>
      </c>
      <c r="P30" s="22">
        <f si="23" t="shared"/>
        <v>3.7303434225700108E-3</v>
      </c>
      <c r="Q30" s="22">
        <f si="23" t="shared"/>
        <v>1.942257217847769E-2</v>
      </c>
      <c r="R30" s="22">
        <f si="23" t="shared"/>
        <v>3.4608378870673952E-2</v>
      </c>
      <c r="S30" s="22">
        <f si="23" t="shared"/>
        <v>1.2218638129021676E-2</v>
      </c>
    </row>
    <row r="31" spans="1:20" x14ac:dyDescent="0.25">
      <c r="A31">
        <f>$A$9</f>
        <v>3</v>
      </c>
      <c r="B31" s="14">
        <f si="21" t="shared"/>
        <v>1.2485994173486269E-2</v>
      </c>
      <c r="C31" s="14">
        <f si="21" t="shared"/>
        <v>0</v>
      </c>
      <c r="D31" s="14">
        <f si="21" t="shared"/>
        <v>0</v>
      </c>
      <c r="E31" s="14">
        <f si="21" t="shared"/>
        <v>9.4474902056460187E-3</v>
      </c>
      <c r="H31">
        <f>$A$9</f>
        <v>3</v>
      </c>
      <c r="I31" s="14">
        <f si="22" t="shared"/>
        <v>6.335043497657819E-2</v>
      </c>
      <c r="J31" s="14">
        <f si="22" t="shared"/>
        <v>3.017832647462277E-2</v>
      </c>
      <c r="K31" s="14">
        <f si="22" t="shared"/>
        <v>1.1505273250239693E-2</v>
      </c>
      <c r="L31" s="14">
        <f si="22" t="shared"/>
        <v>5.2968186290587076E-2</v>
      </c>
      <c r="O31">
        <f>$A$9</f>
        <v>3</v>
      </c>
      <c r="P31" s="22">
        <f ref="P31:P33" si="24" t="shared">I31-B31</f>
        <v>5.0864440803091923E-2</v>
      </c>
      <c r="Q31" s="22">
        <f ref="Q31:Q33" si="25" t="shared">J31-C31</f>
        <v>3.017832647462277E-2</v>
      </c>
      <c r="R31" s="22">
        <f ref="R31:R33" si="26" t="shared">K31-D31</f>
        <v>1.1505273250239693E-2</v>
      </c>
      <c r="S31" s="22">
        <f ref="S31:S33" si="27" t="shared">L31-E31</f>
        <v>4.3520696084941059E-2</v>
      </c>
    </row>
    <row r="32" spans="1:20" x14ac:dyDescent="0.25">
      <c r="A32">
        <f>$A$10</f>
        <v>4</v>
      </c>
      <c r="B32" s="14">
        <f si="21" t="shared"/>
        <v>4.2894191339377949E-3</v>
      </c>
      <c r="C32" s="14">
        <f si="21" t="shared"/>
        <v>1.9187392210111374E-2</v>
      </c>
      <c r="D32" s="14">
        <f si="21" t="shared"/>
        <v>3.0972846355277001E-2</v>
      </c>
      <c r="E32" s="14">
        <f si="21" t="shared"/>
        <v>1.1971279129288004E-2</v>
      </c>
      <c r="H32">
        <f>$A$10</f>
        <v>4</v>
      </c>
      <c r="I32" s="14">
        <f si="22" t="shared"/>
        <v>5.4357721239998082E-2</v>
      </c>
      <c r="J32" s="14">
        <f si="22" t="shared"/>
        <v>2.4418508401622383E-2</v>
      </c>
      <c r="K32" s="14">
        <f si="22" t="shared"/>
        <v>5.9820538384845467E-3</v>
      </c>
      <c r="L32" s="14">
        <f si="22" t="shared"/>
        <v>4.0551375354631797E-2</v>
      </c>
      <c r="O32">
        <f>$A$10</f>
        <v>4</v>
      </c>
      <c r="P32" s="22">
        <f si="24" t="shared"/>
        <v>5.0068302106060288E-2</v>
      </c>
      <c r="Q32" s="22">
        <f si="25" t="shared"/>
        <v>5.2311161915110094E-3</v>
      </c>
      <c r="R32" s="22">
        <f si="26" t="shared"/>
        <v>-2.4990792516792454E-2</v>
      </c>
      <c r="S32" s="22">
        <f si="27" t="shared"/>
        <v>2.8580096225343792E-2</v>
      </c>
    </row>
    <row r="33" spans="1:19" x14ac:dyDescent="0.25">
      <c r="A33" s="7">
        <f>$A$11</f>
        <v>5</v>
      </c>
      <c r="B33" s="30">
        <f si="21" t="shared"/>
        <v>1.7364953115700691E-2</v>
      </c>
      <c r="C33" s="30">
        <f si="21" t="shared"/>
        <v>0</v>
      </c>
      <c r="D33" s="30">
        <f si="21" t="shared"/>
        <v>2.6139302826859001E-2</v>
      </c>
      <c r="E33" s="30">
        <f si="21" t="shared"/>
        <v>1.4258882831085302E-2</v>
      </c>
      <c r="H33" s="7">
        <f>$A$11</f>
        <v>5</v>
      </c>
      <c r="I33" s="30">
        <f si="22" t="shared"/>
        <v>6.3949678941161048E-2</v>
      </c>
      <c r="J33" s="30">
        <f si="22" t="shared"/>
        <v>2.5697619422985967E-2</v>
      </c>
      <c r="K33" s="30">
        <f si="22" t="shared"/>
        <v>1.6045164165800031E-2</v>
      </c>
      <c r="L33" s="30">
        <f si="22" t="shared"/>
        <v>4.8238663219061916E-2</v>
      </c>
      <c r="O33" s="7">
        <f>$A$11</f>
        <v>5</v>
      </c>
      <c r="P33" s="31">
        <f si="24" t="shared"/>
        <v>4.658472582546036E-2</v>
      </c>
      <c r="Q33" s="31">
        <f si="25" t="shared"/>
        <v>2.5697619422985967E-2</v>
      </c>
      <c r="R33" s="31">
        <f si="26" t="shared"/>
        <v>-1.009413866105897E-2</v>
      </c>
      <c r="S33" s="31">
        <f si="27" t="shared"/>
        <v>3.397978038797661E-2</v>
      </c>
    </row>
    <row r="34" spans="1:19" x14ac:dyDescent="0.25">
      <c r="A34" s="7">
        <f>$A$12</f>
        <v>6</v>
      </c>
      <c r="B34" s="30">
        <f si="21" t="shared"/>
        <v>2.5285012217700072E-2</v>
      </c>
      <c r="C34" s="30">
        <f si="21" t="shared"/>
        <v>0</v>
      </c>
      <c r="D34" s="30">
        <f si="21" t="shared"/>
        <v>3.3727271567790526E-2</v>
      </c>
      <c r="E34" s="30">
        <f si="21" t="shared"/>
        <v>2.1708250315354196E-2</v>
      </c>
      <c r="H34" s="7">
        <f>$A$12</f>
        <v>6</v>
      </c>
      <c r="I34" s="30">
        <f si="22" t="shared"/>
        <v>7.7033605067151484E-2</v>
      </c>
      <c r="J34" s="30">
        <f si="22" t="shared"/>
        <v>3.5677689799720538E-2</v>
      </c>
      <c r="K34" s="30">
        <f si="22" t="shared"/>
        <v>1.5769230769230768E-2</v>
      </c>
      <c r="L34" s="30">
        <f si="22" t="shared"/>
        <v>6.1794272238543481E-2</v>
      </c>
      <c r="O34" s="7">
        <f>$A$12</f>
        <v>6</v>
      </c>
      <c r="P34" s="31">
        <f si="23" t="shared"/>
        <v>5.1748592849451408E-2</v>
      </c>
      <c r="Q34" s="31">
        <f si="23" t="shared"/>
        <v>3.5677689799720538E-2</v>
      </c>
      <c r="R34" s="31">
        <f si="23" t="shared"/>
        <v>-1.7958040798559758E-2</v>
      </c>
      <c r="S34" s="31">
        <f si="23" t="shared"/>
        <v>4.0086021923189288E-2</v>
      </c>
    </row>
    <row r="35" spans="1:19" x14ac:dyDescent="0.25">
      <c r="A35" s="7">
        <v>7</v>
      </c>
      <c r="B35" s="30">
        <f>IF(B24&lt;&gt;0,B13/B24,0)</f>
        <v>4.3192142403405034E-2</v>
      </c>
      <c r="C35" s="30">
        <f ref="C35:E35" si="28" t="shared">IF(C24&lt;&gt;0,C13/C24,0)</f>
        <v>3.2227084024826727E-2</v>
      </c>
      <c r="D35" s="30">
        <f si="28" t="shared"/>
        <v>0</v>
      </c>
      <c r="E35" s="30">
        <f si="28" t="shared"/>
        <v>3.8073602131518565E-2</v>
      </c>
      <c r="H35" s="7">
        <v>7</v>
      </c>
      <c r="I35" s="30">
        <f>IF(I24&lt;&gt;0,I13/I24,0)</f>
        <v>8.871572871572872E-2</v>
      </c>
      <c r="J35" s="30">
        <f ref="J35:L35" si="29" t="shared">IF(J24&lt;&gt;0,J13/J24,0)</f>
        <v>7.1213175597309206E-2</v>
      </c>
      <c r="K35" s="30">
        <f si="29" t="shared"/>
        <v>1.661364439731354E-2</v>
      </c>
      <c r="L35" s="30">
        <f si="29" t="shared"/>
        <v>7.7294093603106476E-2</v>
      </c>
      <c r="O35" s="7">
        <v>7</v>
      </c>
      <c r="P35" s="31">
        <f si="23" t="shared"/>
        <v>4.5523586312323686E-2</v>
      </c>
      <c r="Q35" s="31">
        <f ref="Q35" si="30" t="shared">J35-C35</f>
        <v>3.8986091572482479E-2</v>
      </c>
      <c r="R35" s="31">
        <f ref="R35" si="31" t="shared">K35-D35</f>
        <v>1.661364439731354E-2</v>
      </c>
      <c r="S35" s="31">
        <f ref="S35" si="32" t="shared">L35-E35</f>
        <v>3.9220491471587911E-2</v>
      </c>
    </row>
    <row ht="15.75" r="36" spans="1:19" thickBot="1" x14ac:dyDescent="0.3">
      <c r="A36" s="10" t="s">
        <v>3</v>
      </c>
      <c r="B36" s="15">
        <f ref="B36:E36" si="33" t="shared">IF(B25&lt;&gt;0,B14/B25,0)</f>
        <v>1.9949432573864688E-2</v>
      </c>
      <c r="C36" s="15">
        <f si="33" t="shared"/>
        <v>6.5311585623654871E-3</v>
      </c>
      <c r="D36" s="15">
        <f si="33" t="shared"/>
        <v>3.0427703528162642E-2</v>
      </c>
      <c r="E36" s="15">
        <f si="33" t="shared"/>
        <v>1.9699446022187941E-2</v>
      </c>
      <c r="H36" s="10" t="s">
        <v>3</v>
      </c>
      <c r="I36" s="15">
        <f ref="I36:L36" si="34" t="shared">IF(I25&lt;&gt;0,I14/I25,0)</f>
        <v>6.3537147728932042E-2</v>
      </c>
      <c r="J36" s="15">
        <f si="34" t="shared"/>
        <v>3.0971882423855616E-2</v>
      </c>
      <c r="K36" s="15">
        <f si="34" t="shared"/>
        <v>2.3275008253549025E-2</v>
      </c>
      <c r="L36" s="15">
        <f si="34" t="shared"/>
        <v>5.0551646436087672E-2</v>
      </c>
      <c r="O36" s="10" t="s">
        <v>3</v>
      </c>
      <c r="P36" s="28">
        <f si="23" t="shared"/>
        <v>4.3587715155067354E-2</v>
      </c>
      <c r="Q36" s="28">
        <f ref="Q36" si="35" t="shared">J36-C36</f>
        <v>2.444072386149013E-2</v>
      </c>
      <c r="R36" s="28">
        <f ref="R36" si="36" t="shared">K36-D36</f>
        <v>-7.1526952746136171E-3</v>
      </c>
      <c r="S36" s="28">
        <f ref="S36" si="37" t="shared">L36-E36</f>
        <v>3.085220041389973E-2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7945.7872551928094</v>
      </c>
      <c r="C8" s="62">
        <f>TLFD!H11</f>
        <v>33047</v>
      </c>
      <c r="D8" s="7"/>
      <c r="E8" s="37" t="s">
        <v>205</v>
      </c>
      <c r="F8" s="51">
        <f>B8/B$11</f>
        <v>4.8284065267285826E-2</v>
      </c>
      <c r="G8" s="51">
        <f>C8/C$11</f>
        <v>0.17342590551759607</v>
      </c>
      <c r="H8" s="51"/>
      <c r="I8" s="7">
        <v>1</v>
      </c>
      <c r="J8">
        <v>10</v>
      </c>
      <c r="K8" s="8">
        <f>F8/G8</f>
        <v>0.27841322277188196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97721.60222401077</v>
      </c>
      <c r="C9" s="62">
        <f>SUM(TLFD!H12:H15)</f>
        <v>102405</v>
      </c>
      <c r="E9" s="37" t="s">
        <v>207</v>
      </c>
      <c r="F9" s="51">
        <f ref="F9:F10" si="1" t="shared">B9/B$11</f>
        <v>0.5938236285805748</v>
      </c>
      <c r="G9" s="51">
        <f ref="G9:G10" si="2" t="shared">C9/C$11</f>
        <v>0.53740671935514339</v>
      </c>
      <c r="H9" s="51"/>
      <c r="I9">
        <v>0.5</v>
      </c>
      <c r="J9">
        <v>11</v>
      </c>
      <c r="K9" s="8">
        <f ref="K9:K10" si="3" t="shared">F9/G9</f>
        <v>1.1049799103612408</v>
      </c>
      <c r="L9" s="8">
        <f>(LN(K9)-LN(K8))*I9</f>
        <v>0.68923800509849054</v>
      </c>
      <c r="M9" s="39">
        <f ref="M9:M10" si="4" t="shared">U13</f>
        <v>-7.4066036002882996</v>
      </c>
      <c r="N9" s="39">
        <f ref="N9:N10" si="5" t="shared">M9+L9</f>
        <v>-6.7173655951898095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58895.954787841045</v>
      </c>
      <c r="C10" s="65">
        <f>SUM(TLFD!H16:H101)</f>
        <v>55102</v>
      </c>
      <c r="E10" s="48" t="s">
        <v>208</v>
      </c>
      <c r="F10" s="54">
        <f si="1" t="shared"/>
        <v>0.35789230615213935</v>
      </c>
      <c r="G10" s="54">
        <f si="2" t="shared"/>
        <v>0.28916737512726054</v>
      </c>
      <c r="H10" s="75"/>
      <c r="I10">
        <v>0.5</v>
      </c>
      <c r="J10" s="6">
        <v>12</v>
      </c>
      <c r="K10" s="16">
        <f si="3" t="shared"/>
        <v>1.237664885240368</v>
      </c>
      <c r="L10" s="16">
        <f>(LN(K10)-LN(K9)-LN(K8))*I10</f>
        <v>0.69602407455422788</v>
      </c>
      <c r="M10" s="53">
        <f si="4" t="shared"/>
        <v>-1.8879082177877999</v>
      </c>
      <c r="N10" s="53">
        <f si="5" t="shared"/>
        <v>-1.1918841432335721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164563.34426704462</v>
      </c>
      <c r="C11" s="61">
        <f>SUM(C8:C10)</f>
        <v>190554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-6.7173655951898095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-1.1918841432335721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4956.3420405901934</v>
      </c>
      <c r="C17" s="60">
        <f>SchoolAtHome!L14</f>
        <v>16646</v>
      </c>
      <c r="E17" s="43" t="s">
        <v>206</v>
      </c>
      <c r="F17" s="56">
        <f>B17/B18</f>
        <v>1.9699446022187941E-2</v>
      </c>
      <c r="G17" s="56">
        <f>C17/C18</f>
        <v>5.0551646436087672E-2</v>
      </c>
      <c r="H17" s="31"/>
      <c r="I17">
        <v>1</v>
      </c>
      <c r="J17" s="44">
        <v>50</v>
      </c>
      <c r="K17" s="45">
        <f>F17/G17</f>
        <v>0.38968950392335699</v>
      </c>
      <c r="L17" s="45">
        <f>LN(K17)</f>
        <v>-0.94240500073548428</v>
      </c>
      <c r="M17" s="58">
        <f>U33</f>
        <v>-33.7029399673442</v>
      </c>
      <c r="N17" s="57">
        <f>M17+I17*L17</f>
        <v>-34.645344968079684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251598.04164075229</v>
      </c>
      <c r="C18" s="61">
        <f>SchoolAtHome!L25</f>
        <v>329287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34" t="s">
        <v>34</v>
      </c>
      <c r="D21" s="134"/>
      <c r="E21" s="134" t="s">
        <v>35</v>
      </c>
      <c r="F21" s="134"/>
      <c r="G21" s="128" t="s">
        <v>261</v>
      </c>
      <c r="H21" s="128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1.9990122489840688E-2</v>
      </c>
      <c r="D23" s="68">
        <f>TLFD!I11/SUM(TLFD!$I$11:$I$101)</f>
        <v>4.5884483799557257E-2</v>
      </c>
      <c r="E23" s="68">
        <f>TLFD!D11/SUM(TLFD!$D$11:$D$101)</f>
        <v>5.1686893063648646E-2</v>
      </c>
      <c r="F23" s="68">
        <f>TLFD!J11/SUM(TLFD!$J$11:$J$101)</f>
        <v>7.9956058813587971E-2</v>
      </c>
      <c r="G23">
        <f ref="G23:G67" si="6" t="shared">IF(AND(C23&gt;0, D23&gt;0),LN(C23/D23),0)</f>
        <v>-0.83088874028490967</v>
      </c>
      <c r="H23">
        <f>IF(AND(E23&gt;0, F23&gt;0),LN(E23/F23),0)</f>
        <v>-0.43627298864791869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0.1202989869016735</v>
      </c>
      <c r="D24" s="68">
        <f>TLFD!I12/SUM(TLFD!$I$11:$I$101)</f>
        <v>0.11546131469657329</v>
      </c>
      <c r="E24" s="68">
        <f>TLFD!D12/SUM(TLFD!$D$11:$D$101)</f>
        <v>0.11154261029801817</v>
      </c>
      <c r="F24" s="68">
        <f>TLFD!J12/SUM(TLFD!$J$11:$J$101)</f>
        <v>8.5347304377218186E-2</v>
      </c>
      <c r="G24">
        <f si="6" t="shared"/>
        <v>4.1044665347014203E-2</v>
      </c>
      <c r="H24">
        <f ref="H24:H67" si="8" t="shared">IF(AND(E24&gt;0, F24&gt;0),LN(E24/F24),0)</f>
        <v>0.26767780745587016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0.12889889042172326</v>
      </c>
      <c r="D25" s="68">
        <f>TLFD!I13/SUM(TLFD!$I$11:$I$101)</f>
        <v>0.13774492764229129</v>
      </c>
      <c r="E25" s="68">
        <f>TLFD!D13/SUM(TLFD!$D$11:$D$101)</f>
        <v>8.0982593954980128E-2</v>
      </c>
      <c r="F25" s="68">
        <f>TLFD!J13/SUM(TLFD!$J$11:$J$101)</f>
        <v>7.760689538617542E-2</v>
      </c>
      <c r="G25">
        <f si="6" t="shared"/>
        <v>-6.6375322578377E-2</v>
      </c>
      <c r="H25">
        <f si="8" t="shared"/>
        <v>4.2577960824904441E-2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4.6414800033751626E-2</v>
      </c>
      <c r="D26" s="68">
        <f>TLFD!I14/SUM(TLFD!$I$11:$I$101)</f>
        <v>0.11734572531513567</v>
      </c>
      <c r="E26" s="68">
        <f>TLFD!D14/SUM(TLFD!$D$11:$D$101)</f>
        <v>4.6011847616456755E-2</v>
      </c>
      <c r="F26" s="68">
        <f>TLFD!J14/SUM(TLFD!$J$11:$J$101)</f>
        <v>7.0914314686496532E-2</v>
      </c>
      <c r="G26">
        <f si="6" t="shared"/>
        <v>-0.9275061202166075</v>
      </c>
      <c r="H26">
        <f si="8" t="shared"/>
        <v>-0.43257339262107442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0.13627187858588016</v>
      </c>
      <c r="D27" s="68">
        <f>TLFD!I15/SUM(TLFD!$I$11:$I$101)</f>
        <v>0.10495984192905103</v>
      </c>
      <c r="E27" s="68">
        <f>TLFD!D15/SUM(TLFD!$D$11:$D$101)</f>
        <v>6.3595519979014442E-2</v>
      </c>
      <c r="F27" s="68">
        <f>TLFD!J15/SUM(TLFD!$J$11:$J$101)</f>
        <v>5.031265844177793E-2</v>
      </c>
      <c r="G27">
        <f si="6" t="shared"/>
        <v>0.26107417824606788</v>
      </c>
      <c r="H27">
        <f si="8" t="shared"/>
        <v>0.23428632295631455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9.5195977313308394E-2</v>
      </c>
      <c r="D28" s="68">
        <f>TLFD!I16/SUM(TLFD!$I$11:$I$101)</f>
        <v>9.8117418906310025E-2</v>
      </c>
      <c r="E28" s="68">
        <f>TLFD!D16/SUM(TLFD!$D$11:$D$101)</f>
        <v>1.7919033153135335E-2</v>
      </c>
      <c r="F28" s="68">
        <f>TLFD!J16/SUM(TLFD!$J$11:$J$101)</f>
        <v>4.3890485043096165E-2</v>
      </c>
      <c r="G28">
        <f si="6" t="shared"/>
        <v>-3.0227227772130615E-2</v>
      </c>
      <c r="H28">
        <f si="8" t="shared"/>
        <v>-0.89583410239097705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4.3656087169735291E-2</v>
      </c>
      <c r="D29" s="68">
        <f>TLFD!I17/SUM(TLFD!$I$11:$I$101)</f>
        <v>7.4315300316507807E-2</v>
      </c>
      <c r="E29" s="68">
        <f>TLFD!D17/SUM(TLFD!$D$11:$D$101)</f>
        <v>2.4140593804431752E-2</v>
      </c>
      <c r="F29" s="68">
        <f>TLFD!J17/SUM(TLFD!$J$11:$J$101)</f>
        <v>3.9394963664018928E-2</v>
      </c>
      <c r="G29">
        <f si="6" t="shared"/>
        <v>-0.53197413009860506</v>
      </c>
      <c r="H29">
        <f si="8" t="shared"/>
        <v>-0.48974316861941919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7.963547111444455E-2</v>
      </c>
      <c r="D30" s="68">
        <f>TLFD!I18/SUM(TLFD!$I$11:$I$101)</f>
        <v>6.0099892058032532E-2</v>
      </c>
      <c r="E30" s="68">
        <f>TLFD!D18/SUM(TLFD!$D$11:$D$101)</f>
        <v>4.7590068736265867E-2</v>
      </c>
      <c r="F30" s="68">
        <f>TLFD!J18/SUM(TLFD!$J$11:$J$101)</f>
        <v>3.2110866993408822E-2</v>
      </c>
      <c r="G30">
        <f si="6" t="shared"/>
        <v>0.28145156510803931</v>
      </c>
      <c r="H30">
        <f si="8" t="shared"/>
        <v>0.39342959100867919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3.3502827023791322E-2</v>
      </c>
      <c r="D31" s="68">
        <f>TLFD!I19/SUM(TLFD!$I$11:$I$101)</f>
        <v>4.5390512084011785E-2</v>
      </c>
      <c r="E31" s="68">
        <f>TLFD!D19/SUM(TLFD!$D$11:$D$101)</f>
        <v>3.7809420001860092E-2</v>
      </c>
      <c r="F31" s="68">
        <f>TLFD!J19/SUM(TLFD!$J$11:$J$101)</f>
        <v>3.5136048673314178E-2</v>
      </c>
      <c r="G31">
        <f si="6" t="shared"/>
        <v>-0.303673274232868</v>
      </c>
      <c r="H31">
        <f si="8" t="shared"/>
        <v>7.3330646807790376E-2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3.6653948630382051E-2</v>
      </c>
      <c r="D32" s="68">
        <f>TLFD!I20/SUM(TLFD!$I$11:$I$101)</f>
        <v>3.5492782524378416E-2</v>
      </c>
      <c r="E32" s="68">
        <f>TLFD!D20/SUM(TLFD!$D$11:$D$101)</f>
        <v>1.8344208071458781E-2</v>
      </c>
      <c r="F32" s="68">
        <f>TLFD!J20/SUM(TLFD!$J$11:$J$101)</f>
        <v>3.2195369274970423E-2</v>
      </c>
      <c r="G32">
        <f si="6" t="shared"/>
        <v>3.2191794782157349E-2</v>
      </c>
      <c r="H32">
        <f si="8" t="shared"/>
        <v>-0.56250874262804651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4.2667925748673353E-3</v>
      </c>
      <c r="D33" s="68">
        <f>TLFD!I21/SUM(TLFD!$I$11:$I$101)</f>
        <v>3.1541008800014633E-2</v>
      </c>
      <c r="E33" s="68">
        <f>TLFD!D21/SUM(TLFD!$D$11:$D$101)</f>
        <v>7.3369322332004328E-2</v>
      </c>
      <c r="F33" s="68">
        <f>TLFD!J21/SUM(TLFD!$J$11:$J$101)</f>
        <v>3.4527632246070646E-2</v>
      </c>
      <c r="G33">
        <f si="6" t="shared"/>
        <v>-2.0004261742484943</v>
      </c>
      <c r="H33">
        <f si="8" t="shared"/>
        <v>0.75374595824516932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-34.645344968079684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6.2342974899061133E-2</v>
      </c>
      <c r="D34" s="68">
        <f>TLFD!I22/SUM(TLFD!$I$11:$I$101)</f>
        <v>2.6400043908596939E-2</v>
      </c>
      <c r="E34" s="68">
        <f>TLFD!D22/SUM(TLFD!$D$11:$D$101)</f>
        <v>2.9965917148504429E-2</v>
      </c>
      <c r="F34" s="68">
        <f>TLFD!J22/SUM(TLFD!$J$11:$J$101)</f>
        <v>2.8071657934764238E-2</v>
      </c>
      <c r="G34">
        <f si="6" t="shared"/>
        <v>0.85928532039486993</v>
      </c>
      <c r="H34">
        <f si="8" t="shared"/>
        <v>6.5300187842422253E-2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2.2332738070084842E-2</v>
      </c>
      <c r="D35" s="68">
        <f>TLFD!I23/SUM(TLFD!$I$11:$I$101)</f>
        <v>2.2009184214859402E-2</v>
      </c>
      <c r="E35" s="68">
        <f>TLFD!D23/SUM(TLFD!$D$11:$D$101)</f>
        <v>5.1844100045133838E-2</v>
      </c>
      <c r="F35" s="68">
        <f>TLFD!J23/SUM(TLFD!$J$11:$J$101)</f>
        <v>2.9981409498056447E-2</v>
      </c>
      <c r="G35">
        <f si="6" t="shared"/>
        <v>1.4593846233227993E-2</v>
      </c>
      <c r="H35">
        <f si="8" t="shared"/>
        <v>0.54766363311242838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1.6772301693984533E-2</v>
      </c>
      <c r="D36" s="68">
        <f>TLFD!I24/SUM(TLFD!$I$11:$I$101)</f>
        <v>1.758173402367405E-2</v>
      </c>
      <c r="E36" s="68">
        <f>TLFD!D24/SUM(TLFD!$D$11:$D$101)</f>
        <v>7.5291145475993415E-2</v>
      </c>
      <c r="F36" s="68">
        <f>TLFD!J24/SUM(TLFD!$J$11:$J$101)</f>
        <v>2.9795504478620921E-2</v>
      </c>
      <c r="G36">
        <f si="6" t="shared"/>
        <v>-4.7131706449808353E-2</v>
      </c>
      <c r="H36">
        <f si="8" t="shared"/>
        <v>0.9270050122220922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5.1956197971667568E-2</v>
      </c>
      <c r="D37" s="68">
        <f>TLFD!I25/SUM(TLFD!$I$11:$I$101)</f>
        <v>1.3154283832488702E-2</v>
      </c>
      <c r="E37" s="68">
        <f>TLFD!D25/SUM(TLFD!$D$11:$D$101)</f>
        <v>1.708136963795966E-2</v>
      </c>
      <c r="F37" s="68">
        <f>TLFD!J25/SUM(TLFD!$J$11:$J$101)</f>
        <v>2.536758492479297E-2</v>
      </c>
      <c r="G37">
        <f si="6" t="shared"/>
        <v>1.3736535446068994</v>
      </c>
      <c r="H37">
        <f si="8" t="shared"/>
        <v>-0.39548380022335511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4.3024843904754161E-2</v>
      </c>
      <c r="D38" s="68">
        <f>TLFD!I26/SUM(TLFD!$I$11:$I$101)</f>
        <v>1.1196692219030718E-2</v>
      </c>
      <c r="E38" s="68">
        <f>TLFD!D26/SUM(TLFD!$D$11:$D$101)</f>
        <v>2.6571659025252197E-2</v>
      </c>
      <c r="F38" s="68">
        <f>TLFD!J26/SUM(TLFD!$J$11:$J$101)</f>
        <v>1.9655230691228664E-2</v>
      </c>
      <c r="G38">
        <f si="6" t="shared"/>
        <v>1.3461593169845631</v>
      </c>
      <c r="H38">
        <f si="8" t="shared"/>
        <v>0.30150170178357821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8.4158144129969446E-3</v>
      </c>
      <c r="E39" s="68">
        <f>TLFD!D27/SUM(TLFD!$D$11:$D$101)</f>
        <v>1.0558844939107187E-2</v>
      </c>
      <c r="F39" s="68">
        <f>TLFD!J27/SUM(TLFD!$J$11:$J$101)</f>
        <v>1.7508872739563967E-2</v>
      </c>
      <c r="G39">
        <f si="6" t="shared"/>
        <v>0</v>
      </c>
      <c r="H39">
        <f si="8" t="shared"/>
        <v>-0.50574387460158732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8.0435040893303954E-3</v>
      </c>
      <c r="D40" s="68">
        <f>TLFD!I28/SUM(TLFD!$I$11:$I$101)</f>
        <v>6.3484513071955214E-3</v>
      </c>
      <c r="E40" s="68">
        <f>TLFD!D28/SUM(TLFD!$D$11:$D$101)</f>
        <v>5.7104174001709977E-3</v>
      </c>
      <c r="F40" s="68">
        <f>TLFD!J28/SUM(TLFD!$J$11:$J$101)</f>
        <v>2.2139597769139766E-2</v>
      </c>
      <c r="G40">
        <f si="6" t="shared"/>
        <v>0.23665392572165553</v>
      </c>
      <c r="H40">
        <f si="8" t="shared"/>
        <v>-1.3550756386555243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5.1592601401416055E-3</v>
      </c>
      <c r="E41" s="68">
        <f>TLFD!D29/SUM(TLFD!$D$11:$D$101)</f>
        <v>6.4985788149662903E-3</v>
      </c>
      <c r="F41" s="68">
        <f>TLFD!J29/SUM(TLFD!$J$11:$J$101)</f>
        <v>1.8455298293053913E-2</v>
      </c>
      <c r="G41">
        <f si="6" t="shared"/>
        <v>0</v>
      </c>
      <c r="H41">
        <f si="8" t="shared"/>
        <v>-1.0437679904720478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1.4687431364045829E-2</v>
      </c>
      <c r="D42" s="68">
        <f>TLFD!I30/SUM(TLFD!$I$11:$I$101)</f>
        <v>4.6652884245961326E-3</v>
      </c>
      <c r="E42" s="68">
        <f>TLFD!D30/SUM(TLFD!$D$11:$D$101)</f>
        <v>9.1191033025580463E-3</v>
      </c>
      <c r="F42" s="68">
        <f>TLFD!J30/SUM(TLFD!$J$11:$J$101)</f>
        <v>1.4399188778097009E-2</v>
      </c>
      <c r="G42">
        <f si="6" t="shared"/>
        <v>1.1468424590673452</v>
      </c>
      <c r="H42">
        <f si="8" t="shared"/>
        <v>-0.45680039297633995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7.1020188309461069E-3</v>
      </c>
      <c r="D43" s="68">
        <f>TLFD!I31/SUM(TLFD!$I$11:$I$101)</f>
        <v>3.0004207907206497E-3</v>
      </c>
      <c r="E43" s="68">
        <f>TLFD!D31/SUM(TLFD!$D$11:$D$101)</f>
        <v>1.1728956024340823E-2</v>
      </c>
      <c r="F43" s="68">
        <f>TLFD!J31/SUM(TLFD!$J$11:$J$101)</f>
        <v>1.4940003380091263E-2</v>
      </c>
      <c r="G43">
        <f si="6" t="shared"/>
        <v>0.86162654361076607</v>
      </c>
      <c r="H43">
        <f si="8" t="shared"/>
        <v>-0.2419817477268878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5.8234622349402076E-3</v>
      </c>
      <c r="D44" s="68">
        <f>TLFD!I32/SUM(TLFD!$I$11:$I$101)</f>
        <v>2.6711063136903345E-3</v>
      </c>
      <c r="E44" s="68">
        <f>TLFD!D32/SUM(TLFD!$D$11:$D$101)</f>
        <v>5.2196646841804811E-3</v>
      </c>
      <c r="F44" s="68">
        <f>TLFD!J32/SUM(TLFD!$J$11:$J$101)</f>
        <v>1.1289504816630049E-2</v>
      </c>
      <c r="G44">
        <f si="6" t="shared"/>
        <v>0.77940223430775046</v>
      </c>
      <c r="H44">
        <f si="8" t="shared"/>
        <v>-0.77144035376379816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7.375596211753415E-3</v>
      </c>
      <c r="D45" s="68">
        <f>TLFD!I33/SUM(TLFD!$I$11:$I$101)</f>
        <v>2.323496587936113E-3</v>
      </c>
      <c r="E45" s="68">
        <f>TLFD!D33/SUM(TLFD!$D$11:$D$101)</f>
        <v>2.8041394690570625E-3</v>
      </c>
      <c r="F45" s="68">
        <f>TLFD!J33/SUM(TLFD!$J$11:$J$101)</f>
        <v>1.7491972283251649E-2</v>
      </c>
      <c r="G45">
        <f si="6" t="shared"/>
        <v>1.1551035401899354</v>
      </c>
      <c r="H45">
        <f si="8" t="shared"/>
        <v>-1.8306453417541333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1.7929343749428274E-3</v>
      </c>
      <c r="E46" s="68">
        <f>TLFD!D34/SUM(TLFD!$D$11:$D$101)</f>
        <v>8.7563031786694577E-3</v>
      </c>
      <c r="F46" s="68">
        <f>TLFD!J34/SUM(TLFD!$J$11:$J$101)</f>
        <v>1.370627006929187E-2</v>
      </c>
      <c r="G46">
        <f si="6" t="shared"/>
        <v>0</v>
      </c>
      <c r="H46">
        <f si="8" t="shared"/>
        <v>-0.4480795931178656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1.2440769132256353E-3</v>
      </c>
      <c r="E47" s="68">
        <f>TLFD!D35/SUM(TLFD!$D$11:$D$101)</f>
        <v>5.9998546111189269E-3</v>
      </c>
      <c r="F47" s="68">
        <f>TLFD!J35/SUM(TLFD!$J$11:$J$101)</f>
        <v>1.1914821700185905E-2</v>
      </c>
      <c r="G47">
        <f si="6" t="shared"/>
        <v>0</v>
      </c>
      <c r="H47">
        <f si="8" t="shared"/>
        <v>-0.68604790866937682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1.299337869112371E-2</v>
      </c>
      <c r="D48" s="68">
        <f>TLFD!I36/SUM(TLFD!$I$11:$I$101)</f>
        <v>1.4819151466364186E-3</v>
      </c>
      <c r="E48" s="68">
        <f>TLFD!D36/SUM(TLFD!$D$11:$D$101)</f>
        <v>2.1721989822527599E-2</v>
      </c>
      <c r="F48" s="68">
        <f>TLFD!J36/SUM(TLFD!$J$11:$J$101)</f>
        <v>1.1171201622443805E-2</v>
      </c>
      <c r="G48">
        <f si="6" t="shared"/>
        <v>2.1711046270023058</v>
      </c>
      <c r="H48">
        <f si="8" t="shared"/>
        <v>0.66498592016171654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7.684004464040689E-4</v>
      </c>
      <c r="E49" s="68">
        <f>TLFD!D37/SUM(TLFD!$D$11:$D$101)</f>
        <v>7.7261786027359673E-3</v>
      </c>
      <c r="F49" s="68">
        <f>TLFD!J37/SUM(TLFD!$J$11:$J$101)</f>
        <v>1.3148555010985297E-2</v>
      </c>
      <c r="G49">
        <f si="6" t="shared"/>
        <v>0</v>
      </c>
      <c r="H49">
        <f si="8" t="shared"/>
        <v>-0.53169748641012982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8.2328619257578811E-4</v>
      </c>
      <c r="E50" s="68">
        <f>TLFD!D38/SUM(TLFD!$D$11:$D$101)</f>
        <v>3.0799147208615305E-2</v>
      </c>
      <c r="F50" s="68">
        <f>TLFD!J38/SUM(TLFD!$J$11:$J$101)</f>
        <v>1.3266858205171539E-2</v>
      </c>
      <c r="G50">
        <f si="6" t="shared"/>
        <v>0</v>
      </c>
      <c r="H50">
        <f si="8" t="shared"/>
        <v>0.84221794047043186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6.0374320788891128E-4</v>
      </c>
      <c r="E51" s="68">
        <f>TLFD!D39/SUM(TLFD!$D$11:$D$101)</f>
        <v>2.9475052469811872E-2</v>
      </c>
      <c r="F51" s="68">
        <f>TLFD!J39/SUM(TLFD!$J$11:$J$101)</f>
        <v>1.1374007098191651E-2</v>
      </c>
      <c r="G51">
        <f si="6" t="shared"/>
        <v>0</v>
      </c>
      <c r="H51">
        <f si="8" t="shared"/>
        <v>0.95221355361201421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2.7597697789098416E-3</v>
      </c>
      <c r="D52" s="68">
        <f>TLFD!I40/SUM(TLFD!$I$11:$I$101)</f>
        <v>6.2203845661281765E-4</v>
      </c>
      <c r="E52" s="68">
        <f>TLFD!D40/SUM(TLFD!$D$11:$D$101)</f>
        <v>5.0016159346533981E-3</v>
      </c>
      <c r="F52" s="68">
        <f>TLFD!J40/SUM(TLFD!$J$11:$J$101)</f>
        <v>9.7684637485212101E-3</v>
      </c>
      <c r="G52">
        <f si="6" t="shared"/>
        <v>1.4899006236138936</v>
      </c>
      <c r="H52">
        <f si="8" t="shared"/>
        <v>-0.66939816483264125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5.305622129932856E-4</v>
      </c>
      <c r="E53" s="68">
        <f>TLFD!D41/SUM(TLFD!$D$11:$D$101)</f>
        <v>2.7450648699864277E-3</v>
      </c>
      <c r="F53" s="68">
        <f>TLFD!J41/SUM(TLFD!$J$11:$J$101)</f>
        <v>1.0376880175764746E-2</v>
      </c>
      <c r="G53">
        <f si="6" t="shared"/>
        <v>0</v>
      </c>
      <c r="H53">
        <f si="8" t="shared"/>
        <v>-1.329775564722935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3.4760972575422161E-4</v>
      </c>
      <c r="E54" s="68">
        <f>TLFD!D42/SUM(TLFD!$D$11:$D$101)</f>
        <v>1.598610241262054E-2</v>
      </c>
      <c r="F54" s="68">
        <f>TLFD!J42/SUM(TLFD!$J$11:$J$101)</f>
        <v>9.464255534899442E-3</v>
      </c>
      <c r="G54">
        <f si="6" t="shared"/>
        <v>0</v>
      </c>
      <c r="H54">
        <f si="8" t="shared"/>
        <v>0.52419761853709312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3.6590497447812803E-4</v>
      </c>
      <c r="E55" s="68">
        <f>TLFD!D43/SUM(TLFD!$D$11:$D$101)</f>
        <v>1.1630314402947255E-3</v>
      </c>
      <c r="F55" s="68">
        <f>TLFD!J43/SUM(TLFD!$J$11:$J$101)</f>
        <v>6.6925806996788913E-3</v>
      </c>
      <c r="G55">
        <f si="6" t="shared"/>
        <v>0</v>
      </c>
      <c r="H55">
        <f si="8" t="shared"/>
        <v>-1.7499696476073745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4.2079072064984724E-4</v>
      </c>
      <c r="E56" s="68">
        <f>TLFD!D44/SUM(TLFD!$D$11:$D$101)</f>
        <v>0</v>
      </c>
      <c r="F56" s="68">
        <f>TLFD!J44/SUM(TLFD!$J$11:$J$101)</f>
        <v>1.2928849078925131E-2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3.8420022320203445E-4</v>
      </c>
      <c r="E57" s="68">
        <f>TLFD!D45/SUM(TLFD!$D$11:$D$101)</f>
        <v>1.2761242445186829E-2</v>
      </c>
      <c r="F57" s="68">
        <f>TLFD!J45/SUM(TLFD!$J$11:$J$101)</f>
        <v>8.7713368260943052E-3</v>
      </c>
      <c r="G57">
        <f si="6" t="shared"/>
        <v>0</v>
      </c>
      <c r="H57">
        <f si="8" t="shared"/>
        <v>0.37492341701162402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1.6465723851515762E-4</v>
      </c>
      <c r="E58" s="68">
        <f>TLFD!D46/SUM(TLFD!$D$11:$D$101)</f>
        <v>1.5440990623547814E-3</v>
      </c>
      <c r="F58" s="68">
        <f>TLFD!J46/SUM(TLFD!$J$11:$J$101)</f>
        <v>5.3236437383809366E-3</v>
      </c>
      <c r="G58">
        <f si="6" t="shared"/>
        <v>0</v>
      </c>
      <c r="H58">
        <f si="8" t="shared"/>
        <v>-1.2377173730363766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2.1954298468687683E-4</v>
      </c>
      <c r="E59" s="68">
        <f>TLFD!D47/SUM(TLFD!$D$11:$D$101)</f>
        <v>8.5118383218922653E-3</v>
      </c>
      <c r="F59" s="68">
        <f>TLFD!J47/SUM(TLFD!$J$11:$J$101)</f>
        <v>4.1744127091431467E-3</v>
      </c>
      <c r="G59">
        <f si="6" t="shared"/>
        <v>0</v>
      </c>
      <c r="H59">
        <f si="8" t="shared"/>
        <v>0.71248425834092644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2.0124773596297041E-4</v>
      </c>
      <c r="E60" s="68">
        <f>TLFD!D48/SUM(TLFD!$D$11:$D$101)</f>
        <v>5.7730049197634112E-3</v>
      </c>
      <c r="F60" s="68">
        <f>TLFD!J48/SUM(TLFD!$J$11:$J$101)</f>
        <v>3.2110866993408822E-3</v>
      </c>
      <c r="G60">
        <f si="6" t="shared"/>
        <v>0</v>
      </c>
      <c r="H60">
        <f si="8" t="shared"/>
        <v>0.58658331280876908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1.6465723851515762E-4</v>
      </c>
      <c r="E61" s="68">
        <f>TLFD!D49/SUM(TLFD!$D$11:$D$101)</f>
        <v>1.249529541401226E-3</v>
      </c>
      <c r="F61" s="68">
        <f>TLFD!J49/SUM(TLFD!$J$11:$J$101)</f>
        <v>3.042082136217678E-3</v>
      </c>
      <c r="G61">
        <f si="6" t="shared"/>
        <v>0</v>
      </c>
      <c r="H61">
        <f si="8" t="shared"/>
        <v>-0.88977508061020694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7.3180994895625601E-5</v>
      </c>
      <c r="E62" s="68">
        <f>TLFD!D50/SUM(TLFD!$D$11:$D$101)</f>
        <v>0</v>
      </c>
      <c r="F62" s="68">
        <f>TLFD!J50/SUM(TLFD!$J$11:$J$101)</f>
        <v>3.2448876119655231E-3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9.1476243619532008E-5</v>
      </c>
      <c r="E63" s="68">
        <f>TLFD!D51/SUM(TLFD!$D$11:$D$101)</f>
        <v>0</v>
      </c>
      <c r="F63" s="68">
        <f>TLFD!J51/SUM(TLFD!$J$11:$J$101)</f>
        <v>2.078756126415413E-3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1.0977149234343841E-4</v>
      </c>
      <c r="E64" s="68">
        <f>TLFD!D52/SUM(TLFD!$D$11:$D$101)</f>
        <v>0</v>
      </c>
      <c r="F64" s="68">
        <f>TLFD!J52/SUM(TLFD!$J$11:$J$101)</f>
        <v>1.9266520196045294E-3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7.3180994895625601E-5</v>
      </c>
      <c r="E65" s="68">
        <f>TLFD!D53/SUM(TLFD!$D$11:$D$101)</f>
        <v>0</v>
      </c>
      <c r="F65" s="68">
        <f>TLFD!J53/SUM(TLFD!$J$11:$J$101)</f>
        <v>2.653371641034308E-3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3.65904974478128E-5</v>
      </c>
      <c r="E66" s="68">
        <f>TLFD!D54/SUM(TLFD!$D$11:$D$101)</f>
        <v>1.1273427323318104E-3</v>
      </c>
      <c r="F66" s="68">
        <f>TLFD!J54/SUM(TLFD!$J$11:$J$101)</f>
        <v>1.1999323981747507E-3</v>
      </c>
      <c r="G66">
        <f si="6" t="shared"/>
        <v>0</v>
      </c>
      <c r="H66">
        <f si="8" t="shared"/>
        <v>-6.2401921206205774E-2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1.82952487239064E-5</v>
      </c>
      <c r="E67" s="68">
        <f>TLFD!D55/SUM(TLFD!$D$11:$D$101)</f>
        <v>0</v>
      </c>
      <c r="F67" s="68">
        <f>TLFD!J55/SUM(TLFD!$J$11:$J$101)</f>
        <v>1.0985296603008281E-3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3.65904974478128E-5</v>
      </c>
      <c r="E68" s="68">
        <f>TLFD!D56/SUM(TLFD!$D$11:$D$101)</f>
        <v>4.1485558335930929E-3</v>
      </c>
      <c r="F68" s="68">
        <f>TLFD!J56/SUM(TLFD!$J$11:$J$101)</f>
        <v>9.8022646611458514E-4</v>
      </c>
      <c r="G68">
        <f ref="G68:G93" si="9" t="shared">IF(AND(C68&gt;0, D68&gt;0),LN(C68/D68),0)</f>
        <v>0</v>
      </c>
      <c r="H68">
        <f ref="H68:H93" si="10" t="shared">IF(AND(E68&gt;0, F68&gt;0),LN(E68/F68),0)</f>
        <v>1.4427319279162776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3.65904974478128E-5</v>
      </c>
      <c r="E69" s="68">
        <f>TLFD!D57/SUM(TLFD!$D$11:$D$101)</f>
        <v>0</v>
      </c>
      <c r="F69" s="68">
        <f>TLFD!J57/SUM(TLFD!$J$11:$J$101)</f>
        <v>1.0985296603008281E-3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0</v>
      </c>
      <c r="E70" s="68">
        <f>TLFD!D58/SUM(TLFD!$D$11:$D$101)</f>
        <v>0</v>
      </c>
      <c r="F70" s="68">
        <f>TLFD!J58/SUM(TLFD!$J$11:$J$101)</f>
        <v>6.7601825249281725E-4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1.82952487239064E-5</v>
      </c>
      <c r="E71" s="68">
        <f>TLFD!D59/SUM(TLFD!$D$11:$D$101)</f>
        <v>1.204120692989277E-3</v>
      </c>
      <c r="F71" s="68">
        <f>TLFD!J59/SUM(TLFD!$J$11:$J$101)</f>
        <v>1.0478282913638668E-3</v>
      </c>
      <c r="G71">
        <f si="9" t="shared"/>
        <v>0</v>
      </c>
      <c r="H71">
        <f si="10" t="shared"/>
        <v>0.13902985685268751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0</v>
      </c>
      <c r="E72" s="68">
        <f>TLFD!D60/SUM(TLFD!$D$11:$D$101)</f>
        <v>2.9987691779070338E-3</v>
      </c>
      <c r="F72" s="68">
        <f>TLFD!J60/SUM(TLFD!$J$11:$J$101)</f>
        <v>6.5911779618049683E-4</v>
      </c>
      <c r="G72">
        <f si="9" t="shared"/>
        <v>0</v>
      </c>
      <c r="H72">
        <f si="10" t="shared"/>
        <v>1.5150549410106602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2.0242187026885041E-3</v>
      </c>
      <c r="F73" s="68">
        <f>TLFD!J61/SUM(TLFD!$J$11:$J$101)</f>
        <v>9.8022646611458514E-4</v>
      </c>
      <c r="G73">
        <f si="9" t="shared"/>
        <v>0</v>
      </c>
      <c r="H73">
        <f si="10" t="shared"/>
        <v>0.72515544641791119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0</v>
      </c>
      <c r="E74" s="68">
        <f>TLFD!D62/SUM(TLFD!$D$11:$D$101)</f>
        <v>8.3231748542203119E-4</v>
      </c>
      <c r="F74" s="68">
        <f>TLFD!J62/SUM(TLFD!$J$11:$J$101)</f>
        <v>5.5771505830657427E-4</v>
      </c>
      <c r="G74">
        <f si="9" t="shared"/>
        <v>0</v>
      </c>
      <c r="H74">
        <f si="10" t="shared"/>
        <v>0.40036577732840639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1.82952487239064E-5</v>
      </c>
      <c r="E75" s="68">
        <f>TLFD!D63/SUM(TLFD!$D$11:$D$101)</f>
        <v>3.0646135549366642E-3</v>
      </c>
      <c r="F75" s="68">
        <f>TLFD!J63/SUM(TLFD!$J$11:$J$101)</f>
        <v>4.3941186412033124E-4</v>
      </c>
      <c r="G75">
        <f si="9" t="shared"/>
        <v>0</v>
      </c>
      <c r="H75">
        <f si="10" t="shared"/>
        <v>1.9422395968880841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1.82952487239064E-5</v>
      </c>
      <c r="E76" s="68">
        <f>TLFD!D64/SUM(TLFD!$D$11:$D$101)</f>
        <v>0</v>
      </c>
      <c r="F76" s="68">
        <f>TLFD!J64/SUM(TLFD!$J$11:$J$101)</f>
        <v>6.2531688355585598E-4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1.82952487239064E-5</v>
      </c>
      <c r="E77" s="68">
        <f>TLFD!D65/SUM(TLFD!$D$11:$D$101)</f>
        <v>0</v>
      </c>
      <c r="F77" s="68">
        <f>TLFD!J65/SUM(TLFD!$J$11:$J$101)</f>
        <v>5.4081460199425385E-4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1.3520365049856346E-4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4.7321277674497209E-4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0</v>
      </c>
      <c r="E80" s="68">
        <f>TLFD!D68/SUM(TLFD!$D$11:$D$101)</f>
        <v>0</v>
      </c>
      <c r="F80" s="68">
        <f>TLFD!J68/SUM(TLFD!$J$11:$J$101)</f>
        <v>3.8871049518336996E-4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1.014027378739226E-4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1.1830319418624302E-4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5.0701368936961298E-5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1.6900456312320433E-5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1.6900456312320433E-5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1.82952487239064E-5</v>
      </c>
      <c r="E86" s="68">
        <f>TLFD!D74/SUM(TLFD!$D$11:$D$101)</f>
        <v>0</v>
      </c>
      <c r="F86" s="68">
        <f>TLFD!J74/SUM(TLFD!$J$11:$J$101)</f>
        <v>0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1.82952487239064E-5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1.6900456312320433E-5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1.6900456312320433E-5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1.6900456312320433E-5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0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1.6900456312320433E-5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0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2020-05-05T23:44:13Z</dcterms:modified>
</cp:coreProperties>
</file>